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4.xml" ContentType="application/vnd.openxmlformats-officedocument.spreadsheetml.comments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START" sheetId="1" state="visible" r:id="rId1"/>
    <sheet name="01_FIRMA" sheetId="2" state="visible" r:id="rId2"/>
    <sheet name="02_SETARI" sheetId="3" state="visible" r:id="rId3"/>
    <sheet name="10_VANZARI" sheetId="4" state="visible" r:id="rId4"/>
    <sheet name="11_CLIENTI" sheetId="5" state="visible" r:id="rId5"/>
    <sheet name="12_CONCURENTA" sheetId="6" state="visible" r:id="rId6"/>
    <sheet name="13_CE_CRED_OAMENII" sheetId="7" state="visible" r:id="rId7"/>
    <sheet name="20_REZULTATE" sheetId="8" state="visible" r:id="rId8"/>
    <sheet name="21_CE_SE_INTAMPLA" sheetId="9" state="visible" r:id="rId9"/>
    <sheet name="30_PLAN" sheetId="10" state="visible" r:id="rId10"/>
    <sheet name="40_GRAFICE" sheetId="11" state="visible" r:id="rId11"/>
  </sheets>
  <definedNames>
    <definedName name="_xlnm._FilterDatabase" localSheetId="3" hidden="1">'10_VANZARI'!$A$4:$J$604</definedName>
    <definedName name="_xlnm._FilterDatabase" localSheetId="4" hidden="1">'11_CLIENTI'!$A$4:$G$124</definedName>
    <definedName name="_xlnm._FilterDatabase" localSheetId="5" hidden="1">'12_CONCURENTA'!$A$4:$M$14</definedName>
    <definedName name="_xlnm._FilterDatabase" localSheetId="8" hidden="1">'21_CE_SE_INTAMPLA'!$A$4:$N$124</definedName>
    <definedName name="_xlnm._FilterDatabase" localSheetId="9" hidden="1">'30_PLAN'!$A$4:$J$16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yyyy-mm"/>
  </numFmts>
  <fonts count="23">
    <font>
      <name val="Calibri"/>
      <family val="2"/>
      <color theme="1"/>
      <sz val="11"/>
      <scheme val="minor"/>
    </font>
    <font>
      <b val="1"/>
      <color rgb="001F3A3D"/>
      <sz val="16"/>
    </font>
    <font>
      <i val="1"/>
      <color rgb="005B6770"/>
      <sz val="10"/>
    </font>
    <font>
      <b val="1"/>
      <color rgb="00FFFFFF"/>
      <sz val="11"/>
    </font>
    <font>
      <b val="1"/>
      <color rgb="001F3A3D"/>
      <sz val="10"/>
    </font>
    <font>
      <color rgb="00000000"/>
      <sz val="10"/>
    </font>
    <font>
      <i val="1"/>
      <color rgb="005B6770"/>
      <sz val="9"/>
    </font>
    <font>
      <color rgb="005B6770"/>
      <sz val="10"/>
    </font>
    <font>
      <b val="1"/>
      <color rgb="005B6770"/>
      <sz val="9"/>
    </font>
    <font>
      <color rgb="005B6770"/>
      <sz val="9"/>
    </font>
    <font>
      <b val="1"/>
      <color rgb="00FFFFFF"/>
      <sz val="10"/>
    </font>
    <font>
      <color rgb="005B6770"/>
      <sz val="8"/>
    </font>
    <font>
      <sz val="9"/>
    </font>
    <font>
      <sz val="10"/>
    </font>
    <font>
      <b val="1"/>
      <color rgb="001F3A3D"/>
      <sz val="11"/>
    </font>
    <font>
      <b val="1"/>
      <color rgb="001F3A3D"/>
      <sz val="12"/>
    </font>
    <font>
      <b val="1"/>
      <color rgb="005B6770"/>
      <sz val="10"/>
    </font>
    <font>
      <color rgb="00333333"/>
      <sz val="9"/>
    </font>
    <font>
      <color rgb="001A2E2E"/>
      <sz val="10"/>
    </font>
    <font>
      <b val="1"/>
      <color rgb="009C2A2A"/>
      <sz val="10"/>
    </font>
    <font>
      <b val="1"/>
      <color rgb="00FFFFFF"/>
      <sz val="9"/>
    </font>
    <font>
      <b val="1"/>
      <color rgb="0012706E"/>
      <sz val="11"/>
    </font>
    <font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2706E"/>
      </patternFill>
    </fill>
    <fill>
      <patternFill patternType="solid">
        <fgColor rgb="00FFF8DC"/>
      </patternFill>
    </fill>
    <fill>
      <patternFill patternType="solid">
        <fgColor rgb="00EEF1F3"/>
      </patternFill>
    </fill>
    <fill>
      <patternFill patternType="solid">
        <fgColor rgb="00D7EDEC"/>
      </patternFill>
    </fill>
    <fill>
      <patternFill patternType="solid">
        <fgColor rgb="001F3A3D"/>
      </patternFill>
    </fill>
  </fills>
  <borders count="6">
    <border>
      <left/>
      <right/>
      <top/>
      <bottom/>
      <diagonal/>
    </border>
    <border>
      <left style="thin">
        <color rgb="00C9D2D6"/>
      </left>
      <right style="thin">
        <color rgb="00C9D2D6"/>
      </right>
      <top style="thin">
        <color rgb="00C9D2D6"/>
      </top>
      <bottom style="thin">
        <color rgb="00C9D2D6"/>
      </bottom>
    </border>
    <border>
      <left/>
      <right/>
      <top style="thin">
        <color rgb="00C9D2D6"/>
      </top>
      <bottom/>
      <diagonal/>
    </border>
    <border>
      <left/>
      <right style="thin">
        <color rgb="00C9D2D6"/>
      </right>
      <top style="thin">
        <color rgb="00C9D2D6"/>
      </top>
      <bottom/>
      <diagonal/>
    </border>
    <border>
      <left/>
      <right/>
      <top style="thin">
        <color rgb="00C9D2D6"/>
      </top>
      <bottom style="thin">
        <color rgb="00C9D2D6"/>
      </bottom>
      <diagonal/>
    </border>
    <border>
      <left/>
      <right style="thin">
        <color rgb="00C9D2D6"/>
      </right>
      <top style="thin">
        <color rgb="00C9D2D6"/>
      </top>
      <bottom style="thin">
        <color rgb="00C9D2D6"/>
      </bottom>
      <diagonal/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1" fillId="5" borderId="0" applyAlignment="1" pivotButton="0" quotePrefix="0" xfId="0">
      <alignment vertical="top" wrapText="1"/>
    </xf>
    <xf numFmtId="0" fontId="22" fillId="5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2" fillId="0" borderId="0" applyAlignment="1" pivotButton="0" quotePrefix="0" xfId="0">
      <alignment vertical="top" wrapText="1"/>
    </xf>
    <xf numFmtId="0" fontId="0" fillId="3" borderId="1" pivotButton="0" quotePrefix="0" xfId="0"/>
    <xf numFmtId="0" fontId="0" fillId="4" borderId="1" pivotButton="0" quotePrefix="0" xfId="0"/>
    <xf numFmtId="0" fontId="4" fillId="0" borderId="0" pivotButton="0" quotePrefix="0" xfId="0"/>
    <xf numFmtId="0" fontId="5" fillId="3" borderId="1" pivotButton="0" quotePrefix="0" xfId="0"/>
    <xf numFmtId="0" fontId="6" fillId="0" borderId="0" applyAlignment="1" pivotButton="0" quotePrefix="0" xfId="0">
      <alignment vertical="center" wrapText="1"/>
    </xf>
    <xf numFmtId="0" fontId="3" fillId="2" borderId="0" pivotButton="0" quotePrefix="0" xfId="0"/>
    <xf numFmtId="0" fontId="0" fillId="2" borderId="0" pivotButton="0" quotePrefix="0" xfId="0"/>
    <xf numFmtId="0" fontId="6" fillId="0" borderId="0" pivotButton="0" quotePrefix="0" xfId="0"/>
    <xf numFmtId="164" fontId="5" fillId="3" borderId="1" pivotButton="0" quotePrefix="0" xfId="0"/>
    <xf numFmtId="0" fontId="8" fillId="0" borderId="0" pivotButton="0" quotePrefix="0" xfId="0"/>
    <xf numFmtId="0" fontId="9" fillId="0" borderId="0" pivotButton="0" quotePrefix="0" xfId="0"/>
    <xf numFmtId="3" fontId="5" fillId="3" borderId="1" pivotButton="0" quotePrefix="0" xfId="0"/>
    <xf numFmtId="165" fontId="5" fillId="3" borderId="1" pivotButton="0" quotePrefix="0" xfId="0"/>
    <xf numFmtId="164" fontId="7" fillId="4" borderId="1" pivotButton="0" quotePrefix="0" xfId="0"/>
    <xf numFmtId="0" fontId="10" fillId="2" borderId="1" applyAlignment="1" pivotButton="0" quotePrefix="0" xfId="0">
      <alignment horizontal="center" vertical="center" wrapText="1"/>
    </xf>
    <xf numFmtId="4" fontId="5" fillId="3" borderId="1" pivotButton="0" quotePrefix="0" xfId="0"/>
    <xf numFmtId="3" fontId="7" fillId="4" borderId="1" pivotButton="0" quotePrefix="0" xfId="0"/>
    <xf numFmtId="165" fontId="7" fillId="4" borderId="1" pivotButton="0" quotePrefix="0" xfId="0"/>
    <xf numFmtId="0" fontId="7" fillId="4" borderId="1" pivotButton="0" quotePrefix="0" xfId="0"/>
    <xf numFmtId="0" fontId="11" fillId="0" borderId="0" pivotButton="0" quotePrefix="0" xfId="0"/>
    <xf numFmtId="0" fontId="12" fillId="0" borderId="0" pivotButton="0" quotePrefix="0" xfId="0"/>
    <xf numFmtId="0" fontId="10" fillId="6" borderId="0" pivotButton="0" quotePrefix="0" xfId="0"/>
    <xf numFmtId="0" fontId="0" fillId="6" borderId="0" pivotButton="0" quotePrefix="0" xfId="0"/>
    <xf numFmtId="0" fontId="4" fillId="5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3" fontId="5" fillId="3" borderId="1" applyAlignment="1" pivotButton="0" quotePrefix="0" xfId="0">
      <alignment vertical="top" wrapText="1"/>
    </xf>
    <xf numFmtId="4" fontId="5" fillId="3" borderId="1" applyAlignment="1" pivotButton="0" quotePrefix="0" xfId="0">
      <alignment vertical="top" wrapText="1"/>
    </xf>
    <xf numFmtId="164" fontId="5" fillId="3" borderId="1" applyAlignment="1" pivotButton="0" quotePrefix="0" xfId="0">
      <alignment vertical="top" wrapText="1"/>
    </xf>
    <xf numFmtId="165" fontId="7" fillId="4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4" fontId="7" fillId="4" borderId="1" pivotButton="0" quotePrefix="0" xfId="0"/>
    <xf numFmtId="0" fontId="13" fillId="3" borderId="1" applyAlignment="1" pivotButton="0" quotePrefix="0" xfId="0">
      <alignment vertical="top" wrapText="1"/>
    </xf>
    <xf numFmtId="164" fontId="13" fillId="3" borderId="1" applyAlignment="1" pivotButton="0" quotePrefix="0" xfId="0">
      <alignment vertical="top" wrapText="1"/>
    </xf>
    <xf numFmtId="4" fontId="13" fillId="3" borderId="1" applyAlignment="1" pivotButton="0" quotePrefix="0" xfId="0">
      <alignment vertical="top" wrapText="1"/>
    </xf>
    <xf numFmtId="3" fontId="13" fillId="3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4" fillId="5" borderId="1" applyAlignment="1" pivotButton="0" quotePrefix="0" xfId="0">
      <alignment vertical="center" wrapText="1"/>
    </xf>
    <xf numFmtId="3" fontId="13" fillId="3" borderId="1" applyAlignment="1" pivotButton="0" quotePrefix="0" xfId="0">
      <alignment horizontal="center"/>
    </xf>
    <xf numFmtId="0" fontId="13" fillId="3" borderId="1" pivotButton="0" quotePrefix="0" xfId="0"/>
    <xf numFmtId="0" fontId="6" fillId="4" borderId="1" applyAlignment="1" pivotButton="0" quotePrefix="0" xfId="0">
      <alignment vertical="center" wrapText="1"/>
    </xf>
    <xf numFmtId="4" fontId="7" fillId="4" borderId="1" applyAlignment="1" pivotButton="0" quotePrefix="0" xfId="0">
      <alignment horizontal="center"/>
    </xf>
    <xf numFmtId="3" fontId="7" fillId="4" borderId="1" applyAlignment="1" pivotButton="0" quotePrefix="0" xfId="0">
      <alignment horizontal="center"/>
    </xf>
    <xf numFmtId="1" fontId="7" fillId="4" borderId="1" applyAlignment="1" pivotButton="0" quotePrefix="0" xfId="0">
      <alignment horizontal="center"/>
    </xf>
    <xf numFmtId="0" fontId="14" fillId="0" borderId="0" pivotButton="0" quotePrefix="0" xfId="0"/>
    <xf numFmtId="1" fontId="15" fillId="4" borderId="1" applyAlignment="1" pivotButton="0" quotePrefix="0" xfId="0">
      <alignment horizontal="center"/>
    </xf>
    <xf numFmtId="0" fontId="7" fillId="4" borderId="1" applyAlignment="1" pivotButton="0" quotePrefix="0" xfId="0">
      <alignment horizontal="left"/>
    </xf>
    <xf numFmtId="0" fontId="7" fillId="4" borderId="1" applyAlignment="1" pivotButton="0" quotePrefix="0" xfId="0">
      <alignment horizontal="left" vertical="center" wrapText="1"/>
    </xf>
    <xf numFmtId="0" fontId="4" fillId="0" borderId="1" pivotButton="0" quotePrefix="0" xfId="0"/>
    <xf numFmtId="0" fontId="16" fillId="4" borderId="1" applyAlignment="1" pivotButton="0" quotePrefix="0" xfId="0">
      <alignment horizontal="center"/>
    </xf>
    <xf numFmtId="0" fontId="9" fillId="0" borderId="1" pivotButton="0" quotePrefix="0" xfId="0"/>
    <xf numFmtId="0" fontId="17" fillId="0" borderId="1" applyAlignment="1" pivotButton="0" quotePrefix="0" xfId="0">
      <alignment vertical="center" wrapText="1"/>
    </xf>
    <xf numFmtId="0" fontId="18" fillId="5" borderId="1" applyAlignment="1" pivotButton="0" quotePrefix="0" xfId="0">
      <alignment vertical="center" wrapText="1"/>
    </xf>
    <xf numFmtId="3" fontId="4" fillId="4" borderId="1" pivotButton="0" quotePrefix="0" xfId="0"/>
    <xf numFmtId="0" fontId="9" fillId="0" borderId="0" applyAlignment="1" pivotButton="0" quotePrefix="0" xfId="0">
      <alignment vertical="center" wrapText="1"/>
    </xf>
    <xf numFmtId="165" fontId="4" fillId="4" borderId="1" pivotButton="0" quotePrefix="0" xfId="0"/>
    <xf numFmtId="2" fontId="4" fillId="4" borderId="1" pivotButton="0" quotePrefix="0" xfId="0"/>
    <xf numFmtId="2" fontId="7" fillId="4" borderId="1" applyAlignment="1" pivotButton="0" quotePrefix="0" xfId="0">
      <alignment horizontal="center"/>
    </xf>
    <xf numFmtId="2" fontId="7" fillId="4" borderId="1" pivotButton="0" quotePrefix="0" xfId="0"/>
    <xf numFmtId="165" fontId="7" fillId="4" borderId="1" applyAlignment="1" pivotButton="0" quotePrefix="0" xfId="0">
      <alignment horizontal="center"/>
    </xf>
    <xf numFmtId="0" fontId="7" fillId="4" borderId="1" applyAlignment="1" pivotButton="0" quotePrefix="0" xfId="0">
      <alignment vertical="center" wrapText="1"/>
    </xf>
    <xf numFmtId="3" fontId="7" fillId="4" borderId="1" applyAlignment="1" pivotButton="0" quotePrefix="0" xfId="0">
      <alignment vertical="center" wrapText="1"/>
    </xf>
    <xf numFmtId="165" fontId="7" fillId="4" borderId="1" applyAlignment="1" pivotButton="0" quotePrefix="0" xfId="0">
      <alignment vertical="center" wrapText="1"/>
    </xf>
    <xf numFmtId="164" fontId="7" fillId="4" borderId="1" applyAlignment="1" pivotButton="0" quotePrefix="0" xfId="0">
      <alignment vertical="center" wrapText="1"/>
    </xf>
    <xf numFmtId="0" fontId="19" fillId="0" borderId="0" pivotButton="0" quotePrefix="0" xfId="0"/>
    <xf numFmtId="0" fontId="20" fillId="6" borderId="0" applyAlignment="1" pivotButton="0" quotePrefix="0" xfId="0">
      <alignment horizontal="center" wrapText="1"/>
    </xf>
    <xf numFmtId="166" fontId="9" fillId="4" borderId="1" pivotButton="0" quotePrefix="0" xfId="0"/>
    <xf numFmtId="0" fontId="9" fillId="4" borderId="1" pivotButton="0" quotePrefix="0" xfId="0"/>
    <xf numFmtId="3" fontId="9" fillId="4" borderId="1" pivotButton="0" quotePrefix="0" xfId="0"/>
  </cellXfs>
  <cellStyles count="1">
    <cellStyle name="Normal" xfId="0" builtinId="0" hidden="0"/>
  </cellStyles>
  <dxfs count="12">
    <dxf>
      <fill>
        <patternFill patternType="solid">
          <fgColor rgb="00F8D7DA"/>
        </patternFill>
      </fill>
    </dxf>
    <dxf>
      <fill>
        <patternFill patternType="solid">
          <fgColor rgb="00D6F0D6"/>
        </patternFill>
      </fill>
    </dxf>
    <dxf>
      <font>
        <b val="1"/>
        <color rgb="001B7A3D"/>
      </font>
      <fill>
        <patternFill patternType="solid">
          <fgColor rgb="00D6F0D6"/>
        </patternFill>
      </fill>
    </dxf>
    <dxf>
      <font>
        <b val="1"/>
        <color rgb="008A6D1F"/>
      </font>
      <fill>
        <patternFill patternType="solid">
          <fgColor rgb="00FBE3C2"/>
        </patternFill>
      </fill>
    </dxf>
    <dxf>
      <font>
        <color rgb="00B02A37"/>
      </font>
    </dxf>
    <dxf>
      <font>
        <color rgb="001B7A3D"/>
      </font>
    </dxf>
    <dxf>
      <fill>
        <patternFill patternType="solid">
          <fgColor rgb="00FBE3C2"/>
        </patternFill>
      </fill>
    </dxf>
    <dxf>
      <fill>
        <patternFill patternType="solid">
          <fgColor rgb="00FFF3CD"/>
        </patternFill>
      </fill>
    </dxf>
    <dxf>
      <fill>
        <patternFill patternType="solid">
          <fgColor rgb="00EDEDED"/>
        </patternFill>
      </fill>
    </dxf>
    <dxf>
      <font>
        <b val="1"/>
        <color rgb="009C2A2A"/>
      </font>
      <fill>
        <patternFill patternType="solid">
          <fgColor rgb="00F8D7DA"/>
        </patternFill>
      </fill>
    </dxf>
    <dxf>
      <font>
        <b val="1"/>
        <color rgb="008A6D1F"/>
      </font>
      <fill>
        <patternFill patternType="solid">
          <fgColor rgb="00FFF3CD"/>
        </patternFill>
      </fill>
    </dxf>
    <dxf>
      <font>
        <b val="1"/>
        <color rgb="005B6770"/>
      </font>
      <fill>
        <patternFill patternType="solid">
          <f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Cât s-a încasat și cât a rămas, pe lună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'40_GRAFICE'!C40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strRef>
              <f>'40_GRAFICE'!$B$41:$B$52</f>
            </strRef>
          </cat>
          <val>
            <numRef>
              <f>'40_GRAFICE'!$C$41:$C$52</f>
            </numRef>
          </val>
        </ser>
        <ser>
          <idx val="1"/>
          <order val="1"/>
          <tx>
            <strRef>
              <f>'40_GRAFICE'!D40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strRef>
              <f>'40_GRAFICE'!$B$41:$B$52</f>
            </strRef>
          </cat>
          <val>
            <numRef>
              <f>'40_GRAFICE'!$D$41:$D$52</f>
            </numRef>
          </val>
        </ser>
        <gapWidth val="60"/>
        <overlap val="-1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spPr>
          <a:ln w="6350">
            <a:solidFill>
              <a:srgbClr val="C3C2B7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spPr>
          <a:ln w="6350">
            <a:solidFill>
              <a:srgbClr val="C3C2B7"/>
            </a:solidFill>
            <a:prstDash val="solid"/>
          </a:ln>
        </spPr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Cei mai importanți 8 clienți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'40_GRAFICE'!G40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strRef>
              <f>'40_GRAFICE'!$F$41:$F$48</f>
            </strRef>
          </cat>
          <val>
            <numRef>
              <f>'40_GRAFICE'!$G$41:$G$48</f>
            </numRef>
          </val>
        </ser>
        <dLbls>
          <numFmt formatCode="#,##0"/>
          <showVal val="1"/>
        </dLbls>
        <gapWidth val="4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w="6350">
            <a:solidFill>
              <a:srgbClr val="C3C2B7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b"/>
        <numFmt formatCode="#,##0" sourceLinked="0"/>
        <majorTickMark val="none"/>
        <minorTickMark val="none"/>
        <spPr>
          <a:ln w="6350">
            <a:solidFill>
              <a:srgbClr val="C3C2B7"/>
            </a:solidFill>
            <a:prstDash val="solid"/>
          </a:ln>
        </spPr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Ce cred clienții despre tine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'40_GRAFICE'!J40</f>
            </strRef>
          </tx>
          <spPr>
            <a:solidFill>
              <a:srgbClr val="0CA30C"/>
            </a:solidFill>
            <a:ln>
              <a:noFill/>
              <a:prstDash val="solid"/>
            </a:ln>
          </spPr>
          <dPt>
            <idx val="0"/>
            <spPr>
              <a:solidFill>
                <a:srgbClr val="0CA30C"/>
              </a:solidFill>
              <a:ln>
                <a:noFill/>
                <a:prstDash val="solid"/>
              </a:ln>
            </spPr>
          </dPt>
          <dPt>
            <idx val="1"/>
            <spPr>
              <a:solidFill>
                <a:srgbClr val="FAB219"/>
              </a:solidFill>
              <a:ln>
                <a:noFill/>
                <a:prstDash val="solid"/>
              </a:ln>
            </spPr>
          </dPt>
          <dPt>
            <idx val="2"/>
            <spPr>
              <a:solidFill>
                <a:srgbClr val="D03B3B"/>
              </a:solidFill>
              <a:ln>
                <a:noFill/>
                <a:prstDash val="solid"/>
              </a:ln>
            </spPr>
          </dPt>
          <cat>
            <strRef>
              <f>'40_GRAFICE'!$I$41:$I$43</f>
            </strRef>
          </cat>
          <val>
            <numRef>
              <f>'40_GRAFICE'!$J$41:$J$43</f>
            </numRef>
          </val>
        </ser>
        <dLbls>
          <showVal val="1"/>
        </dLbls>
        <gapWidth val="8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spPr>
          <a:ln w="6350">
            <a:solidFill>
              <a:srgbClr val="C3C2B7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spPr>
          <a:ln w="6350">
            <a:solidFill>
              <a:srgbClr val="C3C2B7"/>
            </a:solidFill>
            <a:prstDash val="solid"/>
          </a:ln>
        </spPr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EQUIL</author>
  </authors>
  <commentList>
    <comment ref="A4" authorId="0" shapeId="0">
      <text>
        <t>Data
Data facturii. Dacă lucrezi pe luni, pune ultima zi a lunii.</t>
      </text>
    </comment>
    <comment ref="B4" authorId="0" shapeId="0">
      <text>
        <t>Client
Se alege din lista din 11_CLIENTI. Dacă lipsește, adaugă-l acolo întâi.</t>
      </text>
    </comment>
    <comment ref="C4" authorId="0" shapeId="0">
      <text>
        <t>Ce a cumpărat
Produsul sau serviciul, în cuvinte. Nu ai nevoie de coduri, dar scrie-l la fel de fiecare dată.</t>
      </text>
    </comment>
    <comment ref="D4" authorId="0" shapeId="0">
      <text>
        <t>Cantitate
Bucăți, ore, luni de abonament. Poate rămâne gol.</t>
      </text>
    </comment>
    <comment ref="E4" authorId="0" shapeId="0">
      <text>
        <t>Încasat (fără TVA)
Cât a plătit, fără TVA și după discount. Aceasta e cifra care contează.</t>
      </text>
    </comment>
    <comment ref="F4" authorId="0" shapeId="0">
      <text>
        <t>Cât te-a costat
Costul direct: marfa, materialul, ora plătită altcuiva. NU chiria și nu salariile administrative.</t>
      </text>
    </comment>
    <comment ref="G4" authorId="0" shapeId="0">
      <text>
        <t>Profit brut
Calculat automat: încasat minus cost.</t>
      </text>
    </comment>
    <comment ref="H4" authorId="0" shapeId="0">
      <text>
        <t>Marjă
Calculat automat: profit brut împărțit la încasat.</t>
      </text>
    </comment>
    <comment ref="I4" authorId="0" shapeId="0">
      <text>
        <t>Lună
Calculat automat, pentru grafice.</t>
      </text>
    </comment>
    <comment ref="J4" authorId="0" shapeId="0">
      <text>
        <t>Observații
Orice notă pe linia respectivă.</t>
      </text>
    </comment>
  </commentList>
</comments>
</file>

<file path=xl/comments/comment2.xml><?xml version="1.0" encoding="utf-8"?>
<comments xmlns="http://schemas.openxmlformats.org/spreadsheetml/2006/main">
  <authors>
    <author>EQUIL</author>
  </authors>
  <commentList>
    <comment ref="A4" authorId="0" shapeId="0">
      <text>
        <t>Client
Numele clientului, exact cum îl scrii și în foaia de vânzări. Scrie-l o singură dată aici; în 10_VANZARI îl alegi din listă.</t>
      </text>
    </comment>
    <comment ref="B4" authorId="0" shapeId="0">
      <text>
        <t>Segment
Cât de important e: Client mare / mediu / mic / Ocazional.</t>
      </text>
    </comment>
    <comment ref="C4" authorId="0" shapeId="0">
      <text>
        <t>Client din
Când a cumpărat prima dată. Dacă nu știi exact, aproximează anul.</t>
      </text>
    </comment>
    <comment ref="D4" authorId="0" shapeId="0">
      <text>
        <t>Notă 0-10
„Pe o scară de la 0 la 10, cât de probabil ne-ați recomanda unui prieten?” Asta e tot. O întrebare, la telefon.</t>
      </text>
    </comment>
    <comment ref="E4" authorId="0" shapeId="0">
      <text>
        <t>Ce a spus
Motivul notei, cu cuvintele lui. Aici stă informația cea mai valoroasă din tot fișierul.</t>
      </text>
    </comment>
    <comment ref="F4" authorId="0" shapeId="0">
      <text>
        <t>Data întrebării
Când l-ai întrebat.</t>
      </text>
    </comment>
    <comment ref="G4" authorId="0" shapeId="0">
      <text>
        <t>Observații
Orice context util: cine decide, ce contract are, ce probleme știi.</t>
      </text>
    </comment>
  </commentList>
</comments>
</file>

<file path=xl/comments/comment3.xml><?xml version="1.0" encoding="utf-8"?>
<comments xmlns="http://schemas.openxmlformats.org/spreadsheetml/2006/main">
  <authors>
    <author>EQUIL</author>
  </authors>
  <commentList>
    <comment ref="A4" authorId="0" shapeId="0">
      <text>
        <t>Cine
Primul rând este firma analizată („NOI”). Sub el, concurenții — cei la care clientul chiar pierde vânzări, nu toți din județ.</t>
      </text>
    </comment>
    <comment ref="B4" authorId="0" shapeId="0">
      <text>
        <t>Site
Adresa site-ului, ca să poți reveni la el.</t>
      </text>
    </comment>
    <comment ref="C4" authorId="0" shapeId="0">
      <text>
        <t>Angajați
Aproximativ. Se vede pe LinkedIn, pe site sau din datele publice.</t>
      </text>
    </comment>
    <comment ref="D4" authorId="0" shapeId="0">
      <text>
        <t>Cifră de afaceri
Ultima cifră publică. În România se găsește gratuit în datele publice ale firmelor. Pentru „NOI”, aceeași cifră ca în profilul firmei.</t>
      </text>
    </comment>
    <comment ref="E4" authorId="0" shapeId="0">
      <text>
        <t>De unde e cifra
Ca să știi cât te poți baza pe ea: date publice, estimare proprie, sau ce ți-a spus clientul.</t>
      </text>
    </comment>
    <comment ref="F4" authorId="0" shapeId="0">
      <text>
        <t>Notă publică (1-5)
Nota medie de pe Google, Facebook sau altă platformă. Scrie-o cu zecimale: 4,3 nu 4.</t>
      </text>
    </comment>
    <comment ref="G4" authorId="0" shapeId="0">
      <text>
        <t>Câte recenzii
Numărul total. O notă de 5,0 din 3 recenzii nu înseamnă nimic; 4,3 din 200 înseamnă mult.</t>
      </text>
    </comment>
    <comment ref="H4" authorId="0" shapeId="0">
      <text>
        <t>Verificat la data
Când ai citit tu notele. Se schimbă în timp, iar peste șase luni vrei să știi cât de vechi e.</t>
      </text>
    </comment>
    <comment ref="I4" authorId="0" shapeId="0">
      <text>
        <t>Preț față de noi
Cum se poziționează la preț.</t>
      </text>
    </comment>
    <comment ref="J4" authorId="0" shapeId="0">
      <text>
        <t>Cu ce câștigă
Un lucru concret pe care îl face mai bine. Dacă nu găsești niciunul, n-ai căutat destul.</t>
      </text>
    </comment>
    <comment ref="K4" authorId="0" shapeId="0">
      <text>
        <t>Unde pierde
Ce reclamă clienții lui. Citește-i recenziile de 1-2 stele — acolo scrie.</t>
      </text>
    </comment>
    <comment ref="L4" authorId="0" shapeId="0">
      <text>
        <t>Cotă în grup
Cât reprezintă din cifra totală a firmelor din acest tabel. Nu e cotă de piață reală — e cota în grupul pe care îl urmărești.</t>
      </text>
    </comment>
    <comment ref="M4" authorId="0" shapeId="0">
      <text>
        <t>Cum stăm față de el
Calculat automat din notă și din cifra de afaceri.</t>
      </text>
    </comment>
  </commentList>
</comments>
</file>

<file path=xl/comments/comment4.xml><?xml version="1.0" encoding="utf-8"?>
<comments xmlns="http://schemas.openxmlformats.org/spreadsheetml/2006/main">
  <authors>
    <author>EQUIL</author>
  </authors>
  <commentList>
    <comment ref="A4" authorId="0" shapeId="0">
      <text>
        <t>Ce fac
O acțiune concretă, cu verb. „Sun cinci clienți adormiți”, nu „îmbunătățesc relația”.</t>
      </text>
    </comment>
    <comment ref="B4" authorId="0" shapeId="0">
      <text>
        <t>Cu cine / la ce client
Numele clientului sau al produsului.</t>
      </text>
    </comment>
    <comment ref="C4" authorId="0" shapeId="0">
      <text>
        <t>De ce (ce am văzut în cifre)
Semnalul din foaia 21. Dacă nu poți scrie un motiv, acțiunea nu e justificată.</t>
      </text>
    </comment>
    <comment ref="D4" authorId="0" shapeId="0">
      <text>
        <t>Cât cred că aduce
O estimare. Nu trebuie să fie exactă, trebuie să fie comparabilă între rânduri.</t>
      </text>
    </comment>
    <comment ref="E4" authorId="0" shapeId="0">
      <text>
        <t>Cât de ușor e
1 = pot face azi singur. 0,5 = îmi ia o săptămână. 0,2 = greu, depinde de alții.</t>
      </text>
    </comment>
    <comment ref="F4" authorId="0" shapeId="0">
      <text>
        <t>Scor
Calculat: cât aduce × cât de ușor e.</t>
      </text>
    </comment>
    <comment ref="G4" authorId="0" shapeId="0">
      <text>
        <t>Când
Calculat: primele trei ca scor sunt „ACUM”.</t>
      </text>
    </comment>
    <comment ref="H4" authorId="0" shapeId="0">
      <text>
        <t>Până când
O dată concretă. Fără dată, nu se întâmplă.</t>
      </text>
    </comment>
    <comment ref="I4" authorId="0" shapeId="0">
      <text>
        <t>Status
De făcut / În lucru / Gata / Renunțat.</t>
      </text>
    </comment>
    <comment ref="J4" authorId="0" shapeId="0">
      <text>
        <t>Ce a ieșit
După ce ai făcut-o: a mers sau nu, și cât a adus.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612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3</row>
      <rowOff>0</rowOff>
    </from>
    <ext cx="61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21</row>
      <rowOff>0</rowOff>
    </from>
    <ext cx="6120000" cy="30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8" customWidth="1" min="2" max="2"/>
  </cols>
  <sheetData>
    <row r="1" ht="26" customHeight="1">
      <c r="A1" s="1" t="inlineStr">
        <is>
          <t>EQUIL LIGHT — PORNIRE</t>
        </is>
      </c>
    </row>
    <row r="2" ht="16" customHeight="1">
      <c r="A2" s="2" t="inlineStr">
        <is>
          <t>Varianta pentru firme mici. Completezi doar celulele galbene; cele gri se calculează singure.</t>
        </is>
      </c>
    </row>
    <row r="3"/>
    <row r="4" ht="16" customHeight="1">
      <c r="A4" s="3" t="inlineStr">
        <is>
          <t>PENTRU CINE E</t>
        </is>
      </c>
      <c r="B4" s="4" t="inlineStr"/>
    </row>
    <row r="5" ht="30" customHeight="1">
      <c r="A5" s="5" t="inlineStr">
        <is>
          <t>Potrivit</t>
        </is>
      </c>
      <c r="B5" s="6" t="inlineStr">
        <is>
          <t>Firme sub 10 angajați, până în ~500.000 lei pe an, sub 100 de clienți, fără ERP și fără CRM. Adică: facturează dintr-un program simplu sau din Word, și ține minte clienții pe de rost.</t>
        </is>
      </c>
    </row>
    <row r="6" ht="30" customHeight="1">
      <c r="A6" s="5" t="inlineStr">
        <is>
          <t>Nepotrivit</t>
        </is>
      </c>
      <c r="B6" s="6" t="inlineStr">
        <is>
          <t>Dacă firma are ERP, echipă de vânzări cu ținte individuale și peste 100 de clienți, folosește varianta completă — acolo ai analiză pe produse, pe oameni și pe ținte.</t>
        </is>
      </c>
    </row>
    <row r="7" ht="30" customHeight="1">
      <c r="A7" s="5" t="inlineStr">
        <is>
          <t>Se poate trece</t>
        </is>
      </c>
      <c r="B7" s="6" t="inlineStr">
        <is>
          <t>Datele de aici sunt un subset al variantei complete. Dacă firma crește, se mută coloanele și nu pierzi nimic din istoric.</t>
        </is>
      </c>
    </row>
    <row r="8"/>
    <row r="9" ht="16" customHeight="1">
      <c r="A9" s="3" t="inlineStr">
        <is>
          <t>CE CERI DE LA CLIENT</t>
        </is>
      </c>
      <c r="B9" s="4" t="inlineStr"/>
    </row>
    <row r="10" ht="30" customHeight="1">
      <c r="A10" s="5" t="inlineStr">
        <is>
          <t>Un singur lucru</t>
        </is>
      </c>
      <c r="B10" s="6" t="inlineStr">
        <is>
          <t>Exportul facturilor pe ultimele 24 de luni, în Excel sau CSV, cu: data, clientul, ce a cumpărat și suma fără TVA.</t>
        </is>
      </c>
    </row>
    <row r="11" ht="30" customHeight="1">
      <c r="A11" s="5" t="inlineStr">
        <is>
          <t>Al doilea lucru</t>
        </is>
      </c>
      <c r="B11" s="6" t="inlineStr">
        <is>
          <t>Costul direct pentru fiecare vânzare — cât l-a costat marfa sau materialul. Dacă nu îl are pe linie, cere-i un procent mediu și calculezi tu.</t>
        </is>
      </c>
    </row>
    <row r="12" ht="30" customHeight="1">
      <c r="A12" s="5" t="inlineStr">
        <is>
          <t>Dacă nu poate exporta</t>
        </is>
      </c>
      <c r="B12" s="6" t="inlineStr">
        <is>
          <t>Nu e capăt de drum. Ia ultimele 12 luni din facturier și tastează-le. La 100.000 € pe an înseamnă câteva sute de linii, adică o după-amiază.</t>
        </is>
      </c>
    </row>
    <row r="13" ht="30" customHeight="1">
      <c r="A13" s="5" t="inlineStr">
        <is>
          <t>De la cine</t>
        </is>
      </c>
      <c r="B13" s="6" t="inlineStr">
        <is>
          <t>La o firmă mică sunt doi oameni: patronul (context, obiective) și contabilul (facturi, costuri). Nu ai nevoie de mai mult.</t>
        </is>
      </c>
    </row>
    <row r="14"/>
    <row r="15" ht="16" customHeight="1">
      <c r="A15" s="3" t="inlineStr">
        <is>
          <t>ORDINEA DE LUCRU</t>
        </is>
      </c>
      <c r="B15" s="4" t="inlineStr"/>
    </row>
    <row r="16" ht="16" customHeight="1">
      <c r="A16" s="5" t="inlineStr">
        <is>
          <t>1. 01_FIRMA</t>
        </is>
      </c>
      <c r="B16" s="6" t="inlineStr">
        <is>
          <t>14 rânduri, în discuția de început. 15 minute.</t>
        </is>
      </c>
    </row>
    <row r="17" ht="16" customHeight="1">
      <c r="A17" s="5" t="inlineStr">
        <is>
          <t>2. 11_CLIENTI</t>
        </is>
      </c>
      <c r="B17" s="6" t="inlineStr">
        <is>
          <t>Scrie lista de clienți. Notele le poți adăuga mai târziu, după ce suni. 20 de minute.</t>
        </is>
      </c>
    </row>
    <row r="18" ht="16" customHeight="1">
      <c r="A18" s="5" t="inlineStr">
        <is>
          <t>3. 10_VANZARI</t>
        </is>
      </c>
      <c r="B18" s="6" t="inlineStr">
        <is>
          <t>Lipește sau tastează vânzările. Aici se duce timpul: 30 de minute până la 2 ore.</t>
        </is>
      </c>
    </row>
    <row r="19" ht="16" customHeight="1">
      <c r="A19" s="5" t="inlineStr">
        <is>
          <t>4. 02_SETARI</t>
        </is>
      </c>
      <c r="B19" s="6" t="inlineStr">
        <is>
          <t>Perioada și obiectivul. 5 minute.</t>
        </is>
      </c>
    </row>
    <row r="20" ht="16" customHeight="1">
      <c r="A20" s="5" t="inlineStr">
        <is>
          <t>5. 20_REZULTATE</t>
        </is>
      </c>
      <c r="B20" s="6" t="inlineStr">
        <is>
          <t>Citești cifrele și concluziile. Nu scrii nimic. 15 minute.</t>
        </is>
      </c>
    </row>
    <row r="21" ht="16" customHeight="1">
      <c r="A21" s="5" t="inlineStr">
        <is>
          <t>6. 21_CE_SE_INTAMPLA</t>
        </is>
      </c>
      <c r="B21" s="6" t="inlineStr">
        <is>
          <t>Vezi ce se întâmplă cu fiecare client și ce ai de făcut. 20 de minute.</t>
        </is>
      </c>
    </row>
    <row r="22" ht="16" customHeight="1">
      <c r="A22" s="5" t="inlineStr">
        <is>
          <t>7. 30_PLAN</t>
        </is>
      </c>
      <c r="B22" s="6" t="inlineStr">
        <is>
          <t>Alegi maximum zece acțiuni. Primele trei sunt cele de acum. 20 de minute.</t>
        </is>
      </c>
    </row>
    <row r="23" ht="16" customHeight="1">
      <c r="A23" s="5" t="inlineStr">
        <is>
          <t>8. 40_GRAFICE</t>
        </is>
      </c>
      <c r="B23" s="6" t="inlineStr">
        <is>
          <t>Trei grafice, pentru discuția cu clientul. Se desenează singure.</t>
        </is>
      </c>
    </row>
    <row r="24" ht="16" customHeight="1">
      <c r="A24" s="5" t="inlineStr">
        <is>
          <t>Total</t>
        </is>
      </c>
      <c r="B24" s="6" t="inlineStr">
        <is>
          <t>Aproximativ 2 ore de lucru, dacă datele vin curate. Jumătate din varianta completă.</t>
        </is>
      </c>
    </row>
    <row r="25"/>
    <row r="26" ht="16" customHeight="1">
      <c r="A26" s="3" t="inlineStr">
        <is>
          <t>TREI REGULI</t>
        </is>
      </c>
      <c r="B26" s="4" t="inlineStr"/>
    </row>
    <row r="27" ht="16" customHeight="1">
      <c r="A27" s="5" t="inlineStr">
        <is>
          <t>Sumele fără TVA</t>
        </is>
      </c>
      <c r="B27" s="6" t="inlineStr">
        <is>
          <t>Toate. Dacă amesteci, cifrele ies greșite cu 19% și nu îți dai seama.</t>
        </is>
      </c>
    </row>
    <row r="28" ht="16" customHeight="1">
      <c r="A28" s="5" t="inlineStr">
        <is>
          <t>Numele clientului la fel</t>
        </is>
      </c>
      <c r="B28" s="6" t="inlineStr">
        <is>
          <t>De asta îl alegi din listă în 10_VANZARI, în loc să îl scrii de fiecare dată.</t>
        </is>
      </c>
    </row>
    <row r="29" ht="30" customHeight="1">
      <c r="A29" s="5" t="inlineStr">
        <is>
          <t>Costul direct, nu toate costurile</t>
        </is>
      </c>
      <c r="B29" s="6" t="inlineStr">
        <is>
          <t>Marfa și materialul intră. Chiria și contabilul nu — acelea se scad din profitul brut, mai încolo.</t>
        </is>
      </c>
    </row>
    <row r="30"/>
    <row r="31" ht="16" customHeight="1">
      <c r="A31" s="3" t="inlineStr">
        <is>
          <t>CULORI</t>
        </is>
      </c>
      <c r="B31" s="4" t="inlineStr"/>
    </row>
    <row r="32" ht="16" customHeight="1">
      <c r="A32" s="5" t="inlineStr">
        <is>
          <t>Galben</t>
        </is>
      </c>
      <c r="B32" s="6" t="inlineStr">
        <is>
          <t>Scrii tu.</t>
        </is>
      </c>
      <c r="C32" s="7" t="n"/>
    </row>
    <row r="33" ht="16" customHeight="1">
      <c r="A33" s="5" t="inlineStr">
        <is>
          <t>Gri</t>
        </is>
      </c>
      <c r="B33" s="6" t="inlineStr">
        <is>
          <t>Se calculează singur. Dacă scrii peste, strici calculul și nu te anunță nimeni.</t>
        </is>
      </c>
      <c r="C33" s="8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8" customWidth="1" min="2" max="2"/>
    <col width="62" customWidth="1" min="3" max="3"/>
  </cols>
  <sheetData>
    <row r="1" ht="26" customHeight="1">
      <c r="A1" s="1" t="inlineStr">
        <is>
          <t>01 — DESPRE FIRMĂ</t>
        </is>
      </c>
    </row>
    <row r="2" ht="16" customHeight="1">
      <c r="A2" s="2" t="inlineStr">
        <is>
          <t>Paisprezece rânduri, completate în discuția de început. Restul se vede din cifre.</t>
        </is>
      </c>
    </row>
    <row r="3"/>
    <row r="4">
      <c r="A4" s="9" t="inlineStr">
        <is>
          <t>Cod client EQUIL</t>
        </is>
      </c>
      <c r="B4" s="10" t="inlineStr"/>
      <c r="C4" s="11" t="inlineStr">
        <is>
          <t>ID-ul tău intern: EQ-0001, EQ-0002…</t>
        </is>
      </c>
    </row>
    <row r="5">
      <c r="A5" s="9" t="inlineStr">
        <is>
          <t>Denumirea firmei</t>
        </is>
      </c>
      <c r="B5" s="10" t="inlineStr"/>
    </row>
    <row r="6">
      <c r="A6" s="9" t="inlineStr">
        <is>
          <t>CUI</t>
        </is>
      </c>
      <c r="B6" s="10" t="inlineStr"/>
    </row>
    <row r="7">
      <c r="A7" s="9" t="inlineStr">
        <is>
          <t>Ce vinde, pe scurt</t>
        </is>
      </c>
      <c r="B7" s="10" t="inlineStr"/>
      <c r="C7" s="11" t="inlineStr">
        <is>
          <t>O propoziție, în cuvintele lui.</t>
        </is>
      </c>
    </row>
    <row r="8">
      <c r="A8" s="9" t="inlineStr">
        <is>
          <t>Câți oameni lucrează acolo</t>
        </is>
      </c>
      <c r="B8" s="10" t="inlineStr"/>
      <c r="C8" s="11" t="inlineStr">
        <is>
          <t>Cu tot cu patron.</t>
        </is>
      </c>
    </row>
    <row r="9">
      <c r="A9" s="9" t="inlineStr">
        <is>
          <t>Cifra de afaceri anul trecut</t>
        </is>
      </c>
      <c r="B9" s="10" t="inlineStr"/>
      <c r="C9" s="11" t="inlineStr">
        <is>
          <t>Fără TVA. Aproximativ e suficient.</t>
        </is>
      </c>
    </row>
    <row r="10">
      <c r="A10" s="9" t="inlineStr">
        <is>
          <t>Câți clienți are, aproximativ</t>
        </is>
      </c>
      <c r="B10" s="10" t="inlineStr"/>
    </row>
    <row r="11">
      <c r="A11" s="9" t="inlineStr">
        <is>
          <t>Cum emite facturile</t>
        </is>
      </c>
      <c r="B11" s="10" t="inlineStr"/>
      <c r="C11" s="11" t="inlineStr">
        <is>
          <t>Smartbill, Oblio, FGO, Word, carnet — orice ar fi.</t>
        </is>
      </c>
    </row>
    <row r="12">
      <c r="A12" s="9" t="inlineStr">
        <is>
          <t>Poate exporta facturile în Excel?</t>
        </is>
      </c>
      <c r="B12" s="10" t="inlineStr"/>
      <c r="C12" s="11" t="inlineStr">
        <is>
          <t>Da / Nu / Nu știu. De asta depinde cât durează totul.</t>
        </is>
      </c>
    </row>
    <row r="13">
      <c r="A13" s="9" t="inlineStr">
        <is>
          <t>Ce vrea să obțină în 12 luni</t>
        </is>
      </c>
      <c r="B13" s="10" t="inlineStr"/>
      <c r="C13" s="11" t="inlineStr">
        <is>
          <t>În cifre, dacă se poate.</t>
        </is>
      </c>
    </row>
    <row r="14">
      <c r="A14" s="9" t="inlineStr">
        <is>
          <t>Ce îl supără cel mai tare acum</t>
        </is>
      </c>
      <c r="B14" s="10" t="inlineStr"/>
      <c r="C14" s="11" t="inlineStr">
        <is>
          <t>De obicei aici e adevărata problemă.</t>
        </is>
      </c>
    </row>
    <row r="15">
      <c r="A15" s="9" t="inlineStr">
        <is>
          <t>Cine decide</t>
        </is>
      </c>
      <c r="B15" s="10" t="inlineStr"/>
      <c r="C15" s="11" t="inlineStr">
        <is>
          <t>Numele omului care semnează.</t>
        </is>
      </c>
    </row>
    <row r="16">
      <c r="A16" s="9" t="inlineStr">
        <is>
          <t>Perioada pe care o analizăm</t>
        </is>
      </c>
      <c r="B16" s="10" t="inlineStr"/>
      <c r="C16" s="11" t="inlineStr">
        <is>
          <t>Trebuie să fie aceeași ca în 02_SETARI.</t>
        </is>
      </c>
    </row>
    <row r="17">
      <c r="A17" s="9" t="inlineStr">
        <is>
          <t>Data discuției</t>
        </is>
      </c>
      <c r="B17" s="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68" customWidth="1" min="3" max="3"/>
    <col width="15" customWidth="1" min="5" max="5"/>
    <col width="15" customWidth="1" min="6" max="6"/>
    <col width="15" customWidth="1" min="8" max="8"/>
  </cols>
  <sheetData>
    <row r="1" ht="26" customHeight="1">
      <c r="A1" s="1" t="inlineStr">
        <is>
          <t>02 — SETĂRI</t>
        </is>
      </c>
    </row>
    <row r="2" ht="16" customHeight="1">
      <c r="A2" s="2" t="inlineStr">
        <is>
          <t>Cinci lucruri de stabilit o singură dată. Tot fișierul se recalculează din ele.</t>
        </is>
      </c>
    </row>
    <row r="3"/>
    <row r="4" ht="20" customHeight="1">
      <c r="A4" s="12" t="inlineStr">
        <is>
          <t>PERIOADA</t>
        </is>
      </c>
      <c r="B4" s="13" t="n"/>
      <c r="C4" s="13" t="n"/>
      <c r="E4" s="14" t="inlineStr">
        <is>
          <t>— liste (nu se șterg) —</t>
        </is>
      </c>
    </row>
    <row r="5">
      <c r="A5" s="9" t="inlineStr">
        <is>
          <t>Analizez de la</t>
        </is>
      </c>
      <c r="B5" s="15" t="n">
        <v>46023</v>
      </c>
      <c r="C5" s="11" t="inlineStr">
        <is>
          <t>Prima zi a perioadei.</t>
        </is>
      </c>
      <c r="E5" s="16" t="inlineStr">
        <is>
          <t>Segment</t>
        </is>
      </c>
      <c r="F5" s="16" t="inlineStr">
        <is>
          <t>Status plan</t>
        </is>
      </c>
      <c r="H5" s="16" t="inlineStr">
        <is>
          <t>Monedă</t>
        </is>
      </c>
    </row>
    <row r="6">
      <c r="A6" s="9" t="inlineStr">
        <is>
          <t>Analizez până la</t>
        </is>
      </c>
      <c r="B6" s="15" t="n">
        <v>46203</v>
      </c>
      <c r="C6" s="11" t="inlineStr">
        <is>
          <t>Ultima zi a perioadei.</t>
        </is>
      </c>
      <c r="E6" s="17" t="inlineStr">
        <is>
          <t>Client mare</t>
        </is>
      </c>
      <c r="F6" s="17" t="inlineStr">
        <is>
          <t>De făcut</t>
        </is>
      </c>
      <c r="H6" s="17" t="inlineStr">
        <is>
          <t>RON</t>
        </is>
      </c>
    </row>
    <row r="7">
      <c r="A7" s="9" t="inlineStr">
        <is>
          <t>Compar cu — de la</t>
        </is>
      </c>
      <c r="B7" s="15" t="n">
        <v>45658</v>
      </c>
      <c r="C7" s="11" t="inlineStr">
        <is>
          <t>De obicei aceeași perioadă de anul trecut. Dacă firma e prea nouă, lasă perioada anterioară.</t>
        </is>
      </c>
      <c r="E7" s="17" t="inlineStr">
        <is>
          <t>Client mediu</t>
        </is>
      </c>
      <c r="F7" s="17" t="inlineStr">
        <is>
          <t>În lucru</t>
        </is>
      </c>
      <c r="H7" s="17" t="inlineStr">
        <is>
          <t>EUR</t>
        </is>
      </c>
    </row>
    <row r="8">
      <c r="A8" s="9" t="inlineStr">
        <is>
          <t>Compar cu — până la</t>
        </is>
      </c>
      <c r="B8" s="15" t="n">
        <v>45838</v>
      </c>
      <c r="E8" s="17" t="inlineStr">
        <is>
          <t>Client mic</t>
        </is>
      </c>
      <c r="F8" s="17" t="inlineStr">
        <is>
          <t>Gata</t>
        </is>
      </c>
      <c r="H8" s="17" t="inlineStr">
        <is>
          <t>USD</t>
        </is>
      </c>
    </row>
    <row r="9">
      <c r="A9" s="9" t="inlineStr">
        <is>
          <t>Monedă</t>
        </is>
      </c>
      <c r="B9" s="10" t="inlineStr">
        <is>
          <t>RON</t>
        </is>
      </c>
      <c r="C9" s="11" t="inlineStr">
        <is>
          <t>Toate sumele din fișier trebuie să fie în aceeași monedă.</t>
        </is>
      </c>
      <c r="E9" s="17" t="inlineStr">
        <is>
          <t>Ocazional</t>
        </is>
      </c>
      <c r="F9" s="17" t="inlineStr">
        <is>
          <t>Renunțat</t>
        </is>
      </c>
    </row>
    <row r="10"/>
    <row r="11" ht="20" customHeight="1">
      <c r="A11" s="12" t="inlineStr">
        <is>
          <t>OBIECTIV</t>
        </is>
      </c>
      <c r="B11" s="13" t="n"/>
      <c r="C11" s="13" t="n"/>
    </row>
    <row r="12">
      <c r="A12" s="9" t="inlineStr">
        <is>
          <t>Cât își propune să vândă în perioadă</t>
        </is>
      </c>
      <c r="B12" s="18" t="n">
        <v>0</v>
      </c>
      <c r="C12" s="11" t="inlineStr">
        <is>
          <t>Un singur număr. Dacă nu are un buget, întreabă-l „cât ți-ai dori?” și scrie cifra aceea.</t>
        </is>
      </c>
    </row>
    <row r="13"/>
    <row r="14" ht="20" customHeight="1">
      <c r="A14" s="12" t="inlineStr">
        <is>
          <t>PRAGURI (le poți lăsa așa)</t>
        </is>
      </c>
      <c r="B14" s="13" t="n"/>
      <c r="C14" s="13" t="n"/>
    </row>
    <row r="15">
      <c r="A15" s="9" t="inlineStr">
        <is>
          <t>Scădere care mă îngrijorează</t>
        </is>
      </c>
      <c r="B15" s="19" t="n">
        <v>-0.15</v>
      </c>
      <c r="C15" s="11" t="inlineStr">
        <is>
          <t>Sub această variație față de perioada comparativă, clientul apare ca „a scăzut”.</t>
        </is>
      </c>
    </row>
    <row r="16">
      <c r="A16" s="9" t="inlineStr">
        <is>
          <t>Marjă normală în domeniu</t>
        </is>
      </c>
      <c r="B16" s="19" t="n">
        <v>0.3</v>
      </c>
      <c r="C16" s="11" t="inlineStr">
        <is>
          <t>Sub ea, apare semnalul de marjă mică. Întreabă-l pe client cât e normal la el.</t>
        </is>
      </c>
    </row>
    <row r="17">
      <c r="A17" s="9" t="inlineStr">
        <is>
          <t>Zile fără comandă = client adormit</t>
        </is>
      </c>
      <c r="B17" s="18" t="n">
        <v>90</v>
      </c>
      <c r="C17" s="11" t="inlineStr">
        <is>
          <t>Pentru servicii recurente, pune mai puțin. Pentru vânzări rare, mai mult.</t>
        </is>
      </c>
    </row>
    <row r="18">
      <c r="A18" s="9" t="inlineStr">
        <is>
          <t>Sub ce notă e client nemulțumit</t>
        </is>
      </c>
      <c r="B18" s="18" t="n">
        <v>6</v>
      </c>
      <c r="C18" s="11" t="inlineStr">
        <is>
          <t>Pe scara 0-10. Nota 6 sau mai mică înseamnă nemulțumit.</t>
        </is>
      </c>
    </row>
    <row r="19">
      <c r="A19" s="9" t="inlineStr">
        <is>
          <t>Data de referință</t>
        </is>
      </c>
      <c r="B19" s="20">
        <f>IF($B$6="",TODAY(),$B$6)</f>
        <v/>
      </c>
      <c r="C19" s="11" t="inlineStr">
        <is>
          <t>Față de ea se numără zilele fără comandă. Implicit, ultima zi a perioadei.</t>
        </is>
      </c>
    </row>
  </sheetData>
  <dataValidations count="1">
    <dataValidation sqref="B9" showDropDown="0" showInputMessage="0" showErrorMessage="0" allowBlank="1" errorTitle="Valoare neacceptată" error="Valoare în afara listei permise. Alege din listă sau completează lista de valori." type="list">
      <formula1>'02_SETARI'!$H$6:$H$8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0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11" customWidth="1" min="4" max="4"/>
    <col width="15" customWidth="1" min="5" max="5"/>
    <col width="15" customWidth="1" min="6" max="6"/>
    <col width="13" customWidth="1" min="7" max="7"/>
    <col width="10" customWidth="1" min="8" max="8"/>
    <col width="10" customWidth="1" min="9" max="9"/>
    <col width="24" customWidth="1" min="10" max="10"/>
  </cols>
  <sheetData>
    <row r="1" ht="26" customHeight="1">
      <c r="A1" s="1" t="inlineStr">
        <is>
          <t>10 — VÂNZĂRI</t>
        </is>
      </c>
    </row>
    <row r="2" ht="16" customHeight="1">
      <c r="A2" s="2" t="inlineStr">
        <is>
          <t>Singura foaie în care intră volum de date. O linie = o factură (sau o lună, dacă facturezi lunar același lucru). Coloanele gri se calculează singure.</t>
        </is>
      </c>
    </row>
    <row r="3"/>
    <row r="4" ht="34" customHeight="1">
      <c r="A4" s="21" t="inlineStr">
        <is>
          <t>Data</t>
        </is>
      </c>
      <c r="B4" s="21" t="inlineStr">
        <is>
          <t>Client</t>
        </is>
      </c>
      <c r="C4" s="21" t="inlineStr">
        <is>
          <t>Ce a cumpărat</t>
        </is>
      </c>
      <c r="D4" s="21" t="inlineStr">
        <is>
          <t>Cantitate</t>
        </is>
      </c>
      <c r="E4" s="21" t="inlineStr">
        <is>
          <t>Încasat (fără TVA)</t>
        </is>
      </c>
      <c r="F4" s="21" t="inlineStr">
        <is>
          <t>Cât te-a costat</t>
        </is>
      </c>
      <c r="G4" s="21" t="inlineStr">
        <is>
          <t>Profit brut</t>
        </is>
      </c>
      <c r="H4" s="21" t="inlineStr">
        <is>
          <t>Marjă</t>
        </is>
      </c>
      <c r="I4" s="21" t="inlineStr">
        <is>
          <t>Lună</t>
        </is>
      </c>
      <c r="J4" s="21" t="inlineStr">
        <is>
          <t>Observații</t>
        </is>
      </c>
    </row>
    <row r="5">
      <c r="A5" s="15" t="n">
        <v>46053</v>
      </c>
      <c r="B5" s="10" t="inlineStr">
        <is>
          <t>Exemplu SRL</t>
        </is>
      </c>
      <c r="C5" s="10" t="inlineStr">
        <is>
          <t>Exemplu — șterge rândul</t>
        </is>
      </c>
      <c r="D5" s="22" t="n"/>
      <c r="E5" s="18" t="n">
        <v>1000</v>
      </c>
      <c r="F5" s="18" t="n">
        <v>600</v>
      </c>
      <c r="G5" s="23">
        <f>IF($E5="","",$E5-N($F5))</f>
        <v/>
      </c>
      <c r="H5" s="24">
        <f>IFERROR($G5/$E5,"")</f>
        <v/>
      </c>
      <c r="I5" s="25">
        <f>IF($A5="","",YEAR($A5)&amp;"-"&amp;RIGHT("0"&amp;MONTH($A5),2))</f>
        <v/>
      </c>
      <c r="J5" s="10" t="n"/>
    </row>
    <row r="6">
      <c r="A6" s="15" t="n"/>
      <c r="B6" s="10" t="n"/>
      <c r="C6" s="10" t="n"/>
      <c r="D6" s="22" t="n"/>
      <c r="E6" s="18" t="n"/>
      <c r="F6" s="18" t="n"/>
      <c r="G6" s="23">
        <f>IF($E6="","",$E6-N($F6))</f>
        <v/>
      </c>
      <c r="H6" s="24">
        <f>IFERROR($G6/$E6,"")</f>
        <v/>
      </c>
      <c r="I6" s="25">
        <f>IF($A6="","",YEAR($A6)&amp;"-"&amp;RIGHT("0"&amp;MONTH($A6),2))</f>
        <v/>
      </c>
      <c r="J6" s="10" t="n"/>
    </row>
    <row r="7">
      <c r="A7" s="15" t="n"/>
      <c r="B7" s="10" t="n"/>
      <c r="C7" s="10" t="n"/>
      <c r="D7" s="22" t="n"/>
      <c r="E7" s="18" t="n"/>
      <c r="F7" s="18" t="n"/>
      <c r="G7" s="23">
        <f>IF($E7="","",$E7-N($F7))</f>
        <v/>
      </c>
      <c r="H7" s="24">
        <f>IFERROR($G7/$E7,"")</f>
        <v/>
      </c>
      <c r="I7" s="25">
        <f>IF($A7="","",YEAR($A7)&amp;"-"&amp;RIGHT("0"&amp;MONTH($A7),2))</f>
        <v/>
      </c>
      <c r="J7" s="10" t="n"/>
    </row>
    <row r="8">
      <c r="A8" s="15" t="n"/>
      <c r="B8" s="10" t="n"/>
      <c r="C8" s="10" t="n"/>
      <c r="D8" s="22" t="n"/>
      <c r="E8" s="18" t="n"/>
      <c r="F8" s="18" t="n"/>
      <c r="G8" s="23">
        <f>IF($E8="","",$E8-N($F8))</f>
        <v/>
      </c>
      <c r="H8" s="24">
        <f>IFERROR($G8/$E8,"")</f>
        <v/>
      </c>
      <c r="I8" s="25">
        <f>IF($A8="","",YEAR($A8)&amp;"-"&amp;RIGHT("0"&amp;MONTH($A8),2))</f>
        <v/>
      </c>
      <c r="J8" s="10" t="n"/>
    </row>
    <row r="9">
      <c r="A9" s="15" t="n"/>
      <c r="B9" s="10" t="n"/>
      <c r="C9" s="10" t="n"/>
      <c r="D9" s="22" t="n"/>
      <c r="E9" s="18" t="n"/>
      <c r="F9" s="18" t="n"/>
      <c r="G9" s="23">
        <f>IF($E9="","",$E9-N($F9))</f>
        <v/>
      </c>
      <c r="H9" s="24">
        <f>IFERROR($G9/$E9,"")</f>
        <v/>
      </c>
      <c r="I9" s="25">
        <f>IF($A9="","",YEAR($A9)&amp;"-"&amp;RIGHT("0"&amp;MONTH($A9),2))</f>
        <v/>
      </c>
      <c r="J9" s="10" t="n"/>
    </row>
    <row r="10">
      <c r="A10" s="15" t="n"/>
      <c r="B10" s="10" t="n"/>
      <c r="C10" s="10" t="n"/>
      <c r="D10" s="22" t="n"/>
      <c r="E10" s="18" t="n"/>
      <c r="F10" s="18" t="n"/>
      <c r="G10" s="23">
        <f>IF($E10="","",$E10-N($F10))</f>
        <v/>
      </c>
      <c r="H10" s="24">
        <f>IFERROR($G10/$E10,"")</f>
        <v/>
      </c>
      <c r="I10" s="25">
        <f>IF($A10="","",YEAR($A10)&amp;"-"&amp;RIGHT("0"&amp;MONTH($A10),2))</f>
        <v/>
      </c>
      <c r="J10" s="10" t="n"/>
    </row>
    <row r="11">
      <c r="A11" s="15" t="n"/>
      <c r="B11" s="10" t="n"/>
      <c r="C11" s="10" t="n"/>
      <c r="D11" s="22" t="n"/>
      <c r="E11" s="18" t="n"/>
      <c r="F11" s="18" t="n"/>
      <c r="G11" s="23">
        <f>IF($E11="","",$E11-N($F11))</f>
        <v/>
      </c>
      <c r="H11" s="24">
        <f>IFERROR($G11/$E11,"")</f>
        <v/>
      </c>
      <c r="I11" s="25">
        <f>IF($A11="","",YEAR($A11)&amp;"-"&amp;RIGHT("0"&amp;MONTH($A11),2))</f>
        <v/>
      </c>
      <c r="J11" s="10" t="n"/>
    </row>
    <row r="12">
      <c r="A12" s="15" t="n"/>
      <c r="B12" s="10" t="n"/>
      <c r="C12" s="10" t="n"/>
      <c r="D12" s="22" t="n"/>
      <c r="E12" s="18" t="n"/>
      <c r="F12" s="18" t="n"/>
      <c r="G12" s="23">
        <f>IF($E12="","",$E12-N($F12))</f>
        <v/>
      </c>
      <c r="H12" s="24">
        <f>IFERROR($G12/$E12,"")</f>
        <v/>
      </c>
      <c r="I12" s="25">
        <f>IF($A12="","",YEAR($A12)&amp;"-"&amp;RIGHT("0"&amp;MONTH($A12),2))</f>
        <v/>
      </c>
      <c r="J12" s="10" t="n"/>
    </row>
    <row r="13">
      <c r="A13" s="15" t="n"/>
      <c r="B13" s="10" t="n"/>
      <c r="C13" s="10" t="n"/>
      <c r="D13" s="22" t="n"/>
      <c r="E13" s="18" t="n"/>
      <c r="F13" s="18" t="n"/>
      <c r="G13" s="23">
        <f>IF($E13="","",$E13-N($F13))</f>
        <v/>
      </c>
      <c r="H13" s="24">
        <f>IFERROR($G13/$E13,"")</f>
        <v/>
      </c>
      <c r="I13" s="25">
        <f>IF($A13="","",YEAR($A13)&amp;"-"&amp;RIGHT("0"&amp;MONTH($A13),2))</f>
        <v/>
      </c>
      <c r="J13" s="10" t="n"/>
    </row>
    <row r="14">
      <c r="A14" s="15" t="n"/>
      <c r="B14" s="10" t="n"/>
      <c r="C14" s="10" t="n"/>
      <c r="D14" s="22" t="n"/>
      <c r="E14" s="18" t="n"/>
      <c r="F14" s="18" t="n"/>
      <c r="G14" s="23">
        <f>IF($E14="","",$E14-N($F14))</f>
        <v/>
      </c>
      <c r="H14" s="24">
        <f>IFERROR($G14/$E14,"")</f>
        <v/>
      </c>
      <c r="I14" s="25">
        <f>IF($A14="","",YEAR($A14)&amp;"-"&amp;RIGHT("0"&amp;MONTH($A14),2))</f>
        <v/>
      </c>
      <c r="J14" s="10" t="n"/>
    </row>
    <row r="15">
      <c r="A15" s="15" t="n"/>
      <c r="B15" s="10" t="n"/>
      <c r="C15" s="10" t="n"/>
      <c r="D15" s="22" t="n"/>
      <c r="E15" s="18" t="n"/>
      <c r="F15" s="18" t="n"/>
      <c r="G15" s="23">
        <f>IF($E15="","",$E15-N($F15))</f>
        <v/>
      </c>
      <c r="H15" s="24">
        <f>IFERROR($G15/$E15,"")</f>
        <v/>
      </c>
      <c r="I15" s="25">
        <f>IF($A15="","",YEAR($A15)&amp;"-"&amp;RIGHT("0"&amp;MONTH($A15),2))</f>
        <v/>
      </c>
      <c r="J15" s="10" t="n"/>
    </row>
    <row r="16">
      <c r="A16" s="15" t="n"/>
      <c r="B16" s="10" t="n"/>
      <c r="C16" s="10" t="n"/>
      <c r="D16" s="22" t="n"/>
      <c r="E16" s="18" t="n"/>
      <c r="F16" s="18" t="n"/>
      <c r="G16" s="23">
        <f>IF($E16="","",$E16-N($F16))</f>
        <v/>
      </c>
      <c r="H16" s="24">
        <f>IFERROR($G16/$E16,"")</f>
        <v/>
      </c>
      <c r="I16" s="25">
        <f>IF($A16="","",YEAR($A16)&amp;"-"&amp;RIGHT("0"&amp;MONTH($A16),2))</f>
        <v/>
      </c>
      <c r="J16" s="10" t="n"/>
    </row>
    <row r="17">
      <c r="A17" s="15" t="n"/>
      <c r="B17" s="10" t="n"/>
      <c r="C17" s="10" t="n"/>
      <c r="D17" s="22" t="n"/>
      <c r="E17" s="18" t="n"/>
      <c r="F17" s="18" t="n"/>
      <c r="G17" s="23">
        <f>IF($E17="","",$E17-N($F17))</f>
        <v/>
      </c>
      <c r="H17" s="24">
        <f>IFERROR($G17/$E17,"")</f>
        <v/>
      </c>
      <c r="I17" s="25">
        <f>IF($A17="","",YEAR($A17)&amp;"-"&amp;RIGHT("0"&amp;MONTH($A17),2))</f>
        <v/>
      </c>
      <c r="J17" s="10" t="n"/>
    </row>
    <row r="18">
      <c r="A18" s="15" t="n"/>
      <c r="B18" s="10" t="n"/>
      <c r="C18" s="10" t="n"/>
      <c r="D18" s="22" t="n"/>
      <c r="E18" s="18" t="n"/>
      <c r="F18" s="18" t="n"/>
      <c r="G18" s="23">
        <f>IF($E18="","",$E18-N($F18))</f>
        <v/>
      </c>
      <c r="H18" s="24">
        <f>IFERROR($G18/$E18,"")</f>
        <v/>
      </c>
      <c r="I18" s="25">
        <f>IF($A18="","",YEAR($A18)&amp;"-"&amp;RIGHT("0"&amp;MONTH($A18),2))</f>
        <v/>
      </c>
      <c r="J18" s="10" t="n"/>
    </row>
    <row r="19">
      <c r="A19" s="15" t="n"/>
      <c r="B19" s="10" t="n"/>
      <c r="C19" s="10" t="n"/>
      <c r="D19" s="22" t="n"/>
      <c r="E19" s="18" t="n"/>
      <c r="F19" s="18" t="n"/>
      <c r="G19" s="23">
        <f>IF($E19="","",$E19-N($F19))</f>
        <v/>
      </c>
      <c r="H19" s="24">
        <f>IFERROR($G19/$E19,"")</f>
        <v/>
      </c>
      <c r="I19" s="25">
        <f>IF($A19="","",YEAR($A19)&amp;"-"&amp;RIGHT("0"&amp;MONTH($A19),2))</f>
        <v/>
      </c>
      <c r="J19" s="10" t="n"/>
    </row>
    <row r="20">
      <c r="A20" s="15" t="n"/>
      <c r="B20" s="10" t="n"/>
      <c r="C20" s="10" t="n"/>
      <c r="D20" s="22" t="n"/>
      <c r="E20" s="18" t="n"/>
      <c r="F20" s="18" t="n"/>
      <c r="G20" s="23">
        <f>IF($E20="","",$E20-N($F20))</f>
        <v/>
      </c>
      <c r="H20" s="24">
        <f>IFERROR($G20/$E20,"")</f>
        <v/>
      </c>
      <c r="I20" s="25">
        <f>IF($A20="","",YEAR($A20)&amp;"-"&amp;RIGHT("0"&amp;MONTH($A20),2))</f>
        <v/>
      </c>
      <c r="J20" s="10" t="n"/>
    </row>
    <row r="21">
      <c r="A21" s="15" t="n"/>
      <c r="B21" s="10" t="n"/>
      <c r="C21" s="10" t="n"/>
      <c r="D21" s="22" t="n"/>
      <c r="E21" s="18" t="n"/>
      <c r="F21" s="18" t="n"/>
      <c r="G21" s="23">
        <f>IF($E21="","",$E21-N($F21))</f>
        <v/>
      </c>
      <c r="H21" s="24">
        <f>IFERROR($G21/$E21,"")</f>
        <v/>
      </c>
      <c r="I21" s="25">
        <f>IF($A21="","",YEAR($A21)&amp;"-"&amp;RIGHT("0"&amp;MONTH($A21),2))</f>
        <v/>
      </c>
      <c r="J21" s="10" t="n"/>
    </row>
    <row r="22">
      <c r="A22" s="15" t="n"/>
      <c r="B22" s="10" t="n"/>
      <c r="C22" s="10" t="n"/>
      <c r="D22" s="22" t="n"/>
      <c r="E22" s="18" t="n"/>
      <c r="F22" s="18" t="n"/>
      <c r="G22" s="23">
        <f>IF($E22="","",$E22-N($F22))</f>
        <v/>
      </c>
      <c r="H22" s="24">
        <f>IFERROR($G22/$E22,"")</f>
        <v/>
      </c>
      <c r="I22" s="25">
        <f>IF($A22="","",YEAR($A22)&amp;"-"&amp;RIGHT("0"&amp;MONTH($A22),2))</f>
        <v/>
      </c>
      <c r="J22" s="10" t="n"/>
    </row>
    <row r="23">
      <c r="A23" s="15" t="n"/>
      <c r="B23" s="10" t="n"/>
      <c r="C23" s="10" t="n"/>
      <c r="D23" s="22" t="n"/>
      <c r="E23" s="18" t="n"/>
      <c r="F23" s="18" t="n"/>
      <c r="G23" s="23">
        <f>IF($E23="","",$E23-N($F23))</f>
        <v/>
      </c>
      <c r="H23" s="24">
        <f>IFERROR($G23/$E23,"")</f>
        <v/>
      </c>
      <c r="I23" s="25">
        <f>IF($A23="","",YEAR($A23)&amp;"-"&amp;RIGHT("0"&amp;MONTH($A23),2))</f>
        <v/>
      </c>
      <c r="J23" s="10" t="n"/>
    </row>
    <row r="24">
      <c r="A24" s="15" t="n"/>
      <c r="B24" s="10" t="n"/>
      <c r="C24" s="10" t="n"/>
      <c r="D24" s="22" t="n"/>
      <c r="E24" s="18" t="n"/>
      <c r="F24" s="18" t="n"/>
      <c r="G24" s="23">
        <f>IF($E24="","",$E24-N($F24))</f>
        <v/>
      </c>
      <c r="H24" s="24">
        <f>IFERROR($G24/$E24,"")</f>
        <v/>
      </c>
      <c r="I24" s="25">
        <f>IF($A24="","",YEAR($A24)&amp;"-"&amp;RIGHT("0"&amp;MONTH($A24),2))</f>
        <v/>
      </c>
      <c r="J24" s="10" t="n"/>
    </row>
    <row r="25">
      <c r="A25" s="15" t="n"/>
      <c r="B25" s="10" t="n"/>
      <c r="C25" s="10" t="n"/>
      <c r="D25" s="22" t="n"/>
      <c r="E25" s="18" t="n"/>
      <c r="F25" s="18" t="n"/>
      <c r="G25" s="23">
        <f>IF($E25="","",$E25-N($F25))</f>
        <v/>
      </c>
      <c r="H25" s="24">
        <f>IFERROR($G25/$E25,"")</f>
        <v/>
      </c>
      <c r="I25" s="25">
        <f>IF($A25="","",YEAR($A25)&amp;"-"&amp;RIGHT("0"&amp;MONTH($A25),2))</f>
        <v/>
      </c>
      <c r="J25" s="10" t="n"/>
    </row>
    <row r="26">
      <c r="A26" s="15" t="n"/>
      <c r="B26" s="10" t="n"/>
      <c r="C26" s="10" t="n"/>
      <c r="D26" s="22" t="n"/>
      <c r="E26" s="18" t="n"/>
      <c r="F26" s="18" t="n"/>
      <c r="G26" s="23">
        <f>IF($E26="","",$E26-N($F26))</f>
        <v/>
      </c>
      <c r="H26" s="24">
        <f>IFERROR($G26/$E26,"")</f>
        <v/>
      </c>
      <c r="I26" s="25">
        <f>IF($A26="","",YEAR($A26)&amp;"-"&amp;RIGHT("0"&amp;MONTH($A26),2))</f>
        <v/>
      </c>
      <c r="J26" s="10" t="n"/>
    </row>
    <row r="27">
      <c r="A27" s="15" t="n"/>
      <c r="B27" s="10" t="n"/>
      <c r="C27" s="10" t="n"/>
      <c r="D27" s="22" t="n"/>
      <c r="E27" s="18" t="n"/>
      <c r="F27" s="18" t="n"/>
      <c r="G27" s="23">
        <f>IF($E27="","",$E27-N($F27))</f>
        <v/>
      </c>
      <c r="H27" s="24">
        <f>IFERROR($G27/$E27,"")</f>
        <v/>
      </c>
      <c r="I27" s="25">
        <f>IF($A27="","",YEAR($A27)&amp;"-"&amp;RIGHT("0"&amp;MONTH($A27),2))</f>
        <v/>
      </c>
      <c r="J27" s="10" t="n"/>
    </row>
    <row r="28">
      <c r="A28" s="15" t="n"/>
      <c r="B28" s="10" t="n"/>
      <c r="C28" s="10" t="n"/>
      <c r="D28" s="22" t="n"/>
      <c r="E28" s="18" t="n"/>
      <c r="F28" s="18" t="n"/>
      <c r="G28" s="23">
        <f>IF($E28="","",$E28-N($F28))</f>
        <v/>
      </c>
      <c r="H28" s="24">
        <f>IFERROR($G28/$E28,"")</f>
        <v/>
      </c>
      <c r="I28" s="25">
        <f>IF($A28="","",YEAR($A28)&amp;"-"&amp;RIGHT("0"&amp;MONTH($A28),2))</f>
        <v/>
      </c>
      <c r="J28" s="10" t="n"/>
    </row>
    <row r="29">
      <c r="A29" s="15" t="n"/>
      <c r="B29" s="10" t="n"/>
      <c r="C29" s="10" t="n"/>
      <c r="D29" s="22" t="n"/>
      <c r="E29" s="18" t="n"/>
      <c r="F29" s="18" t="n"/>
      <c r="G29" s="23">
        <f>IF($E29="","",$E29-N($F29))</f>
        <v/>
      </c>
      <c r="H29" s="24">
        <f>IFERROR($G29/$E29,"")</f>
        <v/>
      </c>
      <c r="I29" s="25">
        <f>IF($A29="","",YEAR($A29)&amp;"-"&amp;RIGHT("0"&amp;MONTH($A29),2))</f>
        <v/>
      </c>
      <c r="J29" s="10" t="n"/>
    </row>
    <row r="30">
      <c r="A30" s="15" t="n"/>
      <c r="B30" s="10" t="n"/>
      <c r="C30" s="10" t="n"/>
      <c r="D30" s="22" t="n"/>
      <c r="E30" s="18" t="n"/>
      <c r="F30" s="18" t="n"/>
      <c r="G30" s="23">
        <f>IF($E30="","",$E30-N($F30))</f>
        <v/>
      </c>
      <c r="H30" s="24">
        <f>IFERROR($G30/$E30,"")</f>
        <v/>
      </c>
      <c r="I30" s="25">
        <f>IF($A30="","",YEAR($A30)&amp;"-"&amp;RIGHT("0"&amp;MONTH($A30),2))</f>
        <v/>
      </c>
      <c r="J30" s="10" t="n"/>
    </row>
    <row r="31">
      <c r="A31" s="15" t="n"/>
      <c r="B31" s="10" t="n"/>
      <c r="C31" s="10" t="n"/>
      <c r="D31" s="22" t="n"/>
      <c r="E31" s="18" t="n"/>
      <c r="F31" s="18" t="n"/>
      <c r="G31" s="23">
        <f>IF($E31="","",$E31-N($F31))</f>
        <v/>
      </c>
      <c r="H31" s="24">
        <f>IFERROR($G31/$E31,"")</f>
        <v/>
      </c>
      <c r="I31" s="25">
        <f>IF($A31="","",YEAR($A31)&amp;"-"&amp;RIGHT("0"&amp;MONTH($A31),2))</f>
        <v/>
      </c>
      <c r="J31" s="10" t="n"/>
    </row>
    <row r="32">
      <c r="A32" s="15" t="n"/>
      <c r="B32" s="10" t="n"/>
      <c r="C32" s="10" t="n"/>
      <c r="D32" s="22" t="n"/>
      <c r="E32" s="18" t="n"/>
      <c r="F32" s="18" t="n"/>
      <c r="G32" s="23">
        <f>IF($E32="","",$E32-N($F32))</f>
        <v/>
      </c>
      <c r="H32" s="24">
        <f>IFERROR($G32/$E32,"")</f>
        <v/>
      </c>
      <c r="I32" s="25">
        <f>IF($A32="","",YEAR($A32)&amp;"-"&amp;RIGHT("0"&amp;MONTH($A32),2))</f>
        <v/>
      </c>
      <c r="J32" s="10" t="n"/>
    </row>
    <row r="33">
      <c r="A33" s="15" t="n"/>
      <c r="B33" s="10" t="n"/>
      <c r="C33" s="10" t="n"/>
      <c r="D33" s="22" t="n"/>
      <c r="E33" s="18" t="n"/>
      <c r="F33" s="18" t="n"/>
      <c r="G33" s="23">
        <f>IF($E33="","",$E33-N($F33))</f>
        <v/>
      </c>
      <c r="H33" s="24">
        <f>IFERROR($G33/$E33,"")</f>
        <v/>
      </c>
      <c r="I33" s="25">
        <f>IF($A33="","",YEAR($A33)&amp;"-"&amp;RIGHT("0"&amp;MONTH($A33),2))</f>
        <v/>
      </c>
      <c r="J33" s="10" t="n"/>
    </row>
    <row r="34">
      <c r="A34" s="15" t="n"/>
      <c r="B34" s="10" t="n"/>
      <c r="C34" s="10" t="n"/>
      <c r="D34" s="22" t="n"/>
      <c r="E34" s="18" t="n"/>
      <c r="F34" s="18" t="n"/>
      <c r="G34" s="23">
        <f>IF($E34="","",$E34-N($F34))</f>
        <v/>
      </c>
      <c r="H34" s="24">
        <f>IFERROR($G34/$E34,"")</f>
        <v/>
      </c>
      <c r="I34" s="25">
        <f>IF($A34="","",YEAR($A34)&amp;"-"&amp;RIGHT("0"&amp;MONTH($A34),2))</f>
        <v/>
      </c>
      <c r="J34" s="10" t="n"/>
    </row>
    <row r="35">
      <c r="A35" s="15" t="n"/>
      <c r="B35" s="10" t="n"/>
      <c r="C35" s="10" t="n"/>
      <c r="D35" s="22" t="n"/>
      <c r="E35" s="18" t="n"/>
      <c r="F35" s="18" t="n"/>
      <c r="G35" s="23">
        <f>IF($E35="","",$E35-N($F35))</f>
        <v/>
      </c>
      <c r="H35" s="24">
        <f>IFERROR($G35/$E35,"")</f>
        <v/>
      </c>
      <c r="I35" s="25">
        <f>IF($A35="","",YEAR($A35)&amp;"-"&amp;RIGHT("0"&amp;MONTH($A35),2))</f>
        <v/>
      </c>
      <c r="J35" s="10" t="n"/>
    </row>
    <row r="36">
      <c r="A36" s="15" t="n"/>
      <c r="B36" s="10" t="n"/>
      <c r="C36" s="10" t="n"/>
      <c r="D36" s="22" t="n"/>
      <c r="E36" s="18" t="n"/>
      <c r="F36" s="18" t="n"/>
      <c r="G36" s="23">
        <f>IF($E36="","",$E36-N($F36))</f>
        <v/>
      </c>
      <c r="H36" s="24">
        <f>IFERROR($G36/$E36,"")</f>
        <v/>
      </c>
      <c r="I36" s="25">
        <f>IF($A36="","",YEAR($A36)&amp;"-"&amp;RIGHT("0"&amp;MONTH($A36),2))</f>
        <v/>
      </c>
      <c r="J36" s="10" t="n"/>
    </row>
    <row r="37">
      <c r="A37" s="15" t="n"/>
      <c r="B37" s="10" t="n"/>
      <c r="C37" s="10" t="n"/>
      <c r="D37" s="22" t="n"/>
      <c r="E37" s="18" t="n"/>
      <c r="F37" s="18" t="n"/>
      <c r="G37" s="23">
        <f>IF($E37="","",$E37-N($F37))</f>
        <v/>
      </c>
      <c r="H37" s="24">
        <f>IFERROR($G37/$E37,"")</f>
        <v/>
      </c>
      <c r="I37" s="25">
        <f>IF($A37="","",YEAR($A37)&amp;"-"&amp;RIGHT("0"&amp;MONTH($A37),2))</f>
        <v/>
      </c>
      <c r="J37" s="10" t="n"/>
    </row>
    <row r="38">
      <c r="A38" s="15" t="n"/>
      <c r="B38" s="10" t="n"/>
      <c r="C38" s="10" t="n"/>
      <c r="D38" s="22" t="n"/>
      <c r="E38" s="18" t="n"/>
      <c r="F38" s="18" t="n"/>
      <c r="G38" s="23">
        <f>IF($E38="","",$E38-N($F38))</f>
        <v/>
      </c>
      <c r="H38" s="24">
        <f>IFERROR($G38/$E38,"")</f>
        <v/>
      </c>
      <c r="I38" s="25">
        <f>IF($A38="","",YEAR($A38)&amp;"-"&amp;RIGHT("0"&amp;MONTH($A38),2))</f>
        <v/>
      </c>
      <c r="J38" s="10" t="n"/>
    </row>
    <row r="39">
      <c r="A39" s="15" t="n"/>
      <c r="B39" s="10" t="n"/>
      <c r="C39" s="10" t="n"/>
      <c r="D39" s="22" t="n"/>
      <c r="E39" s="18" t="n"/>
      <c r="F39" s="18" t="n"/>
      <c r="G39" s="23">
        <f>IF($E39="","",$E39-N($F39))</f>
        <v/>
      </c>
      <c r="H39" s="24">
        <f>IFERROR($G39/$E39,"")</f>
        <v/>
      </c>
      <c r="I39" s="25">
        <f>IF($A39="","",YEAR($A39)&amp;"-"&amp;RIGHT("0"&amp;MONTH($A39),2))</f>
        <v/>
      </c>
      <c r="J39" s="10" t="n"/>
    </row>
    <row r="40">
      <c r="A40" s="15" t="n"/>
      <c r="B40" s="10" t="n"/>
      <c r="C40" s="10" t="n"/>
      <c r="D40" s="22" t="n"/>
      <c r="E40" s="18" t="n"/>
      <c r="F40" s="18" t="n"/>
      <c r="G40" s="23">
        <f>IF($E40="","",$E40-N($F40))</f>
        <v/>
      </c>
      <c r="H40" s="24">
        <f>IFERROR($G40/$E40,"")</f>
        <v/>
      </c>
      <c r="I40" s="25">
        <f>IF($A40="","",YEAR($A40)&amp;"-"&amp;RIGHT("0"&amp;MONTH($A40),2))</f>
        <v/>
      </c>
      <c r="J40" s="10" t="n"/>
    </row>
    <row r="41">
      <c r="A41" s="15" t="n"/>
      <c r="B41" s="10" t="n"/>
      <c r="C41" s="10" t="n"/>
      <c r="D41" s="22" t="n"/>
      <c r="E41" s="18" t="n"/>
      <c r="F41" s="18" t="n"/>
      <c r="G41" s="23">
        <f>IF($E41="","",$E41-N($F41))</f>
        <v/>
      </c>
      <c r="H41" s="24">
        <f>IFERROR($G41/$E41,"")</f>
        <v/>
      </c>
      <c r="I41" s="25">
        <f>IF($A41="","",YEAR($A41)&amp;"-"&amp;RIGHT("0"&amp;MONTH($A41),2))</f>
        <v/>
      </c>
      <c r="J41" s="10" t="n"/>
    </row>
    <row r="42">
      <c r="A42" s="15" t="n"/>
      <c r="B42" s="10" t="n"/>
      <c r="C42" s="10" t="n"/>
      <c r="D42" s="22" t="n"/>
      <c r="E42" s="18" t="n"/>
      <c r="F42" s="18" t="n"/>
      <c r="G42" s="23">
        <f>IF($E42="","",$E42-N($F42))</f>
        <v/>
      </c>
      <c r="H42" s="24">
        <f>IFERROR($G42/$E42,"")</f>
        <v/>
      </c>
      <c r="I42" s="25">
        <f>IF($A42="","",YEAR($A42)&amp;"-"&amp;RIGHT("0"&amp;MONTH($A42),2))</f>
        <v/>
      </c>
      <c r="J42" s="10" t="n"/>
    </row>
    <row r="43">
      <c r="A43" s="15" t="n"/>
      <c r="B43" s="10" t="n"/>
      <c r="C43" s="10" t="n"/>
      <c r="D43" s="22" t="n"/>
      <c r="E43" s="18" t="n"/>
      <c r="F43" s="18" t="n"/>
      <c r="G43" s="23">
        <f>IF($E43="","",$E43-N($F43))</f>
        <v/>
      </c>
      <c r="H43" s="24">
        <f>IFERROR($G43/$E43,"")</f>
        <v/>
      </c>
      <c r="I43" s="25">
        <f>IF($A43="","",YEAR($A43)&amp;"-"&amp;RIGHT("0"&amp;MONTH($A43),2))</f>
        <v/>
      </c>
      <c r="J43" s="10" t="n"/>
    </row>
    <row r="44">
      <c r="A44" s="15" t="n"/>
      <c r="B44" s="10" t="n"/>
      <c r="C44" s="10" t="n"/>
      <c r="D44" s="22" t="n"/>
      <c r="E44" s="18" t="n"/>
      <c r="F44" s="18" t="n"/>
      <c r="G44" s="23">
        <f>IF($E44="","",$E44-N($F44))</f>
        <v/>
      </c>
      <c r="H44" s="24">
        <f>IFERROR($G44/$E44,"")</f>
        <v/>
      </c>
      <c r="I44" s="25">
        <f>IF($A44="","",YEAR($A44)&amp;"-"&amp;RIGHT("0"&amp;MONTH($A44),2))</f>
        <v/>
      </c>
      <c r="J44" s="10" t="n"/>
    </row>
    <row r="45">
      <c r="A45" s="15" t="n"/>
      <c r="B45" s="10" t="n"/>
      <c r="C45" s="10" t="n"/>
      <c r="D45" s="22" t="n"/>
      <c r="E45" s="18" t="n"/>
      <c r="F45" s="18" t="n"/>
      <c r="G45" s="23">
        <f>IF($E45="","",$E45-N($F45))</f>
        <v/>
      </c>
      <c r="H45" s="24">
        <f>IFERROR($G45/$E45,"")</f>
        <v/>
      </c>
      <c r="I45" s="25">
        <f>IF($A45="","",YEAR($A45)&amp;"-"&amp;RIGHT("0"&amp;MONTH($A45),2))</f>
        <v/>
      </c>
      <c r="J45" s="10" t="n"/>
    </row>
    <row r="46">
      <c r="A46" s="15" t="n"/>
      <c r="B46" s="10" t="n"/>
      <c r="C46" s="10" t="n"/>
      <c r="D46" s="22" t="n"/>
      <c r="E46" s="18" t="n"/>
      <c r="F46" s="18" t="n"/>
      <c r="G46" s="23">
        <f>IF($E46="","",$E46-N($F46))</f>
        <v/>
      </c>
      <c r="H46" s="24">
        <f>IFERROR($G46/$E46,"")</f>
        <v/>
      </c>
      <c r="I46" s="25">
        <f>IF($A46="","",YEAR($A46)&amp;"-"&amp;RIGHT("0"&amp;MONTH($A46),2))</f>
        <v/>
      </c>
      <c r="J46" s="10" t="n"/>
    </row>
    <row r="47">
      <c r="A47" s="15" t="n"/>
      <c r="B47" s="10" t="n"/>
      <c r="C47" s="10" t="n"/>
      <c r="D47" s="22" t="n"/>
      <c r="E47" s="18" t="n"/>
      <c r="F47" s="18" t="n"/>
      <c r="G47" s="23">
        <f>IF($E47="","",$E47-N($F47))</f>
        <v/>
      </c>
      <c r="H47" s="24">
        <f>IFERROR($G47/$E47,"")</f>
        <v/>
      </c>
      <c r="I47" s="25">
        <f>IF($A47="","",YEAR($A47)&amp;"-"&amp;RIGHT("0"&amp;MONTH($A47),2))</f>
        <v/>
      </c>
      <c r="J47" s="10" t="n"/>
    </row>
    <row r="48">
      <c r="A48" s="15" t="n"/>
      <c r="B48" s="10" t="n"/>
      <c r="C48" s="10" t="n"/>
      <c r="D48" s="22" t="n"/>
      <c r="E48" s="18" t="n"/>
      <c r="F48" s="18" t="n"/>
      <c r="G48" s="23">
        <f>IF($E48="","",$E48-N($F48))</f>
        <v/>
      </c>
      <c r="H48" s="24">
        <f>IFERROR($G48/$E48,"")</f>
        <v/>
      </c>
      <c r="I48" s="25">
        <f>IF($A48="","",YEAR($A48)&amp;"-"&amp;RIGHT("0"&amp;MONTH($A48),2))</f>
        <v/>
      </c>
      <c r="J48" s="10" t="n"/>
    </row>
    <row r="49">
      <c r="A49" s="15" t="n"/>
      <c r="B49" s="10" t="n"/>
      <c r="C49" s="10" t="n"/>
      <c r="D49" s="22" t="n"/>
      <c r="E49" s="18" t="n"/>
      <c r="F49" s="18" t="n"/>
      <c r="G49" s="23">
        <f>IF($E49="","",$E49-N($F49))</f>
        <v/>
      </c>
      <c r="H49" s="24">
        <f>IFERROR($G49/$E49,"")</f>
        <v/>
      </c>
      <c r="I49" s="25">
        <f>IF($A49="","",YEAR($A49)&amp;"-"&amp;RIGHT("0"&amp;MONTH($A49),2))</f>
        <v/>
      </c>
      <c r="J49" s="10" t="n"/>
    </row>
    <row r="50">
      <c r="A50" s="15" t="n"/>
      <c r="B50" s="10" t="n"/>
      <c r="C50" s="10" t="n"/>
      <c r="D50" s="22" t="n"/>
      <c r="E50" s="18" t="n"/>
      <c r="F50" s="18" t="n"/>
      <c r="G50" s="23">
        <f>IF($E50="","",$E50-N($F50))</f>
        <v/>
      </c>
      <c r="H50" s="24">
        <f>IFERROR($G50/$E50,"")</f>
        <v/>
      </c>
      <c r="I50" s="25">
        <f>IF($A50="","",YEAR($A50)&amp;"-"&amp;RIGHT("0"&amp;MONTH($A50),2))</f>
        <v/>
      </c>
      <c r="J50" s="10" t="n"/>
    </row>
    <row r="51">
      <c r="A51" s="15" t="n"/>
      <c r="B51" s="10" t="n"/>
      <c r="C51" s="10" t="n"/>
      <c r="D51" s="22" t="n"/>
      <c r="E51" s="18" t="n"/>
      <c r="F51" s="18" t="n"/>
      <c r="G51" s="23">
        <f>IF($E51="","",$E51-N($F51))</f>
        <v/>
      </c>
      <c r="H51" s="24">
        <f>IFERROR($G51/$E51,"")</f>
        <v/>
      </c>
      <c r="I51" s="25">
        <f>IF($A51="","",YEAR($A51)&amp;"-"&amp;RIGHT("0"&amp;MONTH($A51),2))</f>
        <v/>
      </c>
      <c r="J51" s="10" t="n"/>
    </row>
    <row r="52">
      <c r="A52" s="15" t="n"/>
      <c r="B52" s="10" t="n"/>
      <c r="C52" s="10" t="n"/>
      <c r="D52" s="22" t="n"/>
      <c r="E52" s="18" t="n"/>
      <c r="F52" s="18" t="n"/>
      <c r="G52" s="23">
        <f>IF($E52="","",$E52-N($F52))</f>
        <v/>
      </c>
      <c r="H52" s="24">
        <f>IFERROR($G52/$E52,"")</f>
        <v/>
      </c>
      <c r="I52" s="25">
        <f>IF($A52="","",YEAR($A52)&amp;"-"&amp;RIGHT("0"&amp;MONTH($A52),2))</f>
        <v/>
      </c>
      <c r="J52" s="10" t="n"/>
    </row>
    <row r="53">
      <c r="A53" s="15" t="n"/>
      <c r="B53" s="10" t="n"/>
      <c r="C53" s="10" t="n"/>
      <c r="D53" s="22" t="n"/>
      <c r="E53" s="18" t="n"/>
      <c r="F53" s="18" t="n"/>
      <c r="G53" s="23">
        <f>IF($E53="","",$E53-N($F53))</f>
        <v/>
      </c>
      <c r="H53" s="24">
        <f>IFERROR($G53/$E53,"")</f>
        <v/>
      </c>
      <c r="I53" s="25">
        <f>IF($A53="","",YEAR($A53)&amp;"-"&amp;RIGHT("0"&amp;MONTH($A53),2))</f>
        <v/>
      </c>
      <c r="J53" s="10" t="n"/>
    </row>
    <row r="54">
      <c r="A54" s="15" t="n"/>
      <c r="B54" s="10" t="n"/>
      <c r="C54" s="10" t="n"/>
      <c r="D54" s="22" t="n"/>
      <c r="E54" s="18" t="n"/>
      <c r="F54" s="18" t="n"/>
      <c r="G54" s="23">
        <f>IF($E54="","",$E54-N($F54))</f>
        <v/>
      </c>
      <c r="H54" s="24">
        <f>IFERROR($G54/$E54,"")</f>
        <v/>
      </c>
      <c r="I54" s="25">
        <f>IF($A54="","",YEAR($A54)&amp;"-"&amp;RIGHT("0"&amp;MONTH($A54),2))</f>
        <v/>
      </c>
      <c r="J54" s="10" t="n"/>
    </row>
    <row r="55">
      <c r="A55" s="15" t="n"/>
      <c r="B55" s="10" t="n"/>
      <c r="C55" s="10" t="n"/>
      <c r="D55" s="22" t="n"/>
      <c r="E55" s="18" t="n"/>
      <c r="F55" s="18" t="n"/>
      <c r="G55" s="23">
        <f>IF($E55="","",$E55-N($F55))</f>
        <v/>
      </c>
      <c r="H55" s="24">
        <f>IFERROR($G55/$E55,"")</f>
        <v/>
      </c>
      <c r="I55" s="25">
        <f>IF($A55="","",YEAR($A55)&amp;"-"&amp;RIGHT("0"&amp;MONTH($A55),2))</f>
        <v/>
      </c>
      <c r="J55" s="10" t="n"/>
    </row>
    <row r="56">
      <c r="A56" s="15" t="n"/>
      <c r="B56" s="10" t="n"/>
      <c r="C56" s="10" t="n"/>
      <c r="D56" s="22" t="n"/>
      <c r="E56" s="18" t="n"/>
      <c r="F56" s="18" t="n"/>
      <c r="G56" s="23">
        <f>IF($E56="","",$E56-N($F56))</f>
        <v/>
      </c>
      <c r="H56" s="24">
        <f>IFERROR($G56/$E56,"")</f>
        <v/>
      </c>
      <c r="I56" s="25">
        <f>IF($A56="","",YEAR($A56)&amp;"-"&amp;RIGHT("0"&amp;MONTH($A56),2))</f>
        <v/>
      </c>
      <c r="J56" s="10" t="n"/>
    </row>
    <row r="57">
      <c r="A57" s="15" t="n"/>
      <c r="B57" s="10" t="n"/>
      <c r="C57" s="10" t="n"/>
      <c r="D57" s="22" t="n"/>
      <c r="E57" s="18" t="n"/>
      <c r="F57" s="18" t="n"/>
      <c r="G57" s="23">
        <f>IF($E57="","",$E57-N($F57))</f>
        <v/>
      </c>
      <c r="H57" s="24">
        <f>IFERROR($G57/$E57,"")</f>
        <v/>
      </c>
      <c r="I57" s="25">
        <f>IF($A57="","",YEAR($A57)&amp;"-"&amp;RIGHT("0"&amp;MONTH($A57),2))</f>
        <v/>
      </c>
      <c r="J57" s="10" t="n"/>
    </row>
    <row r="58">
      <c r="A58" s="15" t="n"/>
      <c r="B58" s="10" t="n"/>
      <c r="C58" s="10" t="n"/>
      <c r="D58" s="22" t="n"/>
      <c r="E58" s="18" t="n"/>
      <c r="F58" s="18" t="n"/>
      <c r="G58" s="23">
        <f>IF($E58="","",$E58-N($F58))</f>
        <v/>
      </c>
      <c r="H58" s="24">
        <f>IFERROR($G58/$E58,"")</f>
        <v/>
      </c>
      <c r="I58" s="25">
        <f>IF($A58="","",YEAR($A58)&amp;"-"&amp;RIGHT("0"&amp;MONTH($A58),2))</f>
        <v/>
      </c>
      <c r="J58" s="10" t="n"/>
    </row>
    <row r="59">
      <c r="A59" s="15" t="n"/>
      <c r="B59" s="10" t="n"/>
      <c r="C59" s="10" t="n"/>
      <c r="D59" s="22" t="n"/>
      <c r="E59" s="18" t="n"/>
      <c r="F59" s="18" t="n"/>
      <c r="G59" s="23">
        <f>IF($E59="","",$E59-N($F59))</f>
        <v/>
      </c>
      <c r="H59" s="24">
        <f>IFERROR($G59/$E59,"")</f>
        <v/>
      </c>
      <c r="I59" s="25">
        <f>IF($A59="","",YEAR($A59)&amp;"-"&amp;RIGHT("0"&amp;MONTH($A59),2))</f>
        <v/>
      </c>
      <c r="J59" s="10" t="n"/>
    </row>
    <row r="60">
      <c r="A60" s="15" t="n"/>
      <c r="B60" s="10" t="n"/>
      <c r="C60" s="10" t="n"/>
      <c r="D60" s="22" t="n"/>
      <c r="E60" s="18" t="n"/>
      <c r="F60" s="18" t="n"/>
      <c r="G60" s="23">
        <f>IF($E60="","",$E60-N($F60))</f>
        <v/>
      </c>
      <c r="H60" s="24">
        <f>IFERROR($G60/$E60,"")</f>
        <v/>
      </c>
      <c r="I60" s="25">
        <f>IF($A60="","",YEAR($A60)&amp;"-"&amp;RIGHT("0"&amp;MONTH($A60),2))</f>
        <v/>
      </c>
      <c r="J60" s="10" t="n"/>
    </row>
    <row r="61">
      <c r="A61" s="15" t="n"/>
      <c r="B61" s="10" t="n"/>
      <c r="C61" s="10" t="n"/>
      <c r="D61" s="22" t="n"/>
      <c r="E61" s="18" t="n"/>
      <c r="F61" s="18" t="n"/>
      <c r="G61" s="23">
        <f>IF($E61="","",$E61-N($F61))</f>
        <v/>
      </c>
      <c r="H61" s="24">
        <f>IFERROR($G61/$E61,"")</f>
        <v/>
      </c>
      <c r="I61" s="25">
        <f>IF($A61="","",YEAR($A61)&amp;"-"&amp;RIGHT("0"&amp;MONTH($A61),2))</f>
        <v/>
      </c>
      <c r="J61" s="10" t="n"/>
    </row>
    <row r="62">
      <c r="A62" s="15" t="n"/>
      <c r="B62" s="10" t="n"/>
      <c r="C62" s="10" t="n"/>
      <c r="D62" s="22" t="n"/>
      <c r="E62" s="18" t="n"/>
      <c r="F62" s="18" t="n"/>
      <c r="G62" s="23">
        <f>IF($E62="","",$E62-N($F62))</f>
        <v/>
      </c>
      <c r="H62" s="24">
        <f>IFERROR($G62/$E62,"")</f>
        <v/>
      </c>
      <c r="I62" s="25">
        <f>IF($A62="","",YEAR($A62)&amp;"-"&amp;RIGHT("0"&amp;MONTH($A62),2))</f>
        <v/>
      </c>
      <c r="J62" s="10" t="n"/>
    </row>
    <row r="63">
      <c r="A63" s="15" t="n"/>
      <c r="B63" s="10" t="n"/>
      <c r="C63" s="10" t="n"/>
      <c r="D63" s="22" t="n"/>
      <c r="E63" s="18" t="n"/>
      <c r="F63" s="18" t="n"/>
      <c r="G63" s="23">
        <f>IF($E63="","",$E63-N($F63))</f>
        <v/>
      </c>
      <c r="H63" s="24">
        <f>IFERROR($G63/$E63,"")</f>
        <v/>
      </c>
      <c r="I63" s="25">
        <f>IF($A63="","",YEAR($A63)&amp;"-"&amp;RIGHT("0"&amp;MONTH($A63),2))</f>
        <v/>
      </c>
      <c r="J63" s="10" t="n"/>
    </row>
    <row r="64">
      <c r="A64" s="15" t="n"/>
      <c r="B64" s="10" t="n"/>
      <c r="C64" s="10" t="n"/>
      <c r="D64" s="22" t="n"/>
      <c r="E64" s="18" t="n"/>
      <c r="F64" s="18" t="n"/>
      <c r="G64" s="23">
        <f>IF($E64="","",$E64-N($F64))</f>
        <v/>
      </c>
      <c r="H64" s="24">
        <f>IFERROR($G64/$E64,"")</f>
        <v/>
      </c>
      <c r="I64" s="25">
        <f>IF($A64="","",YEAR($A64)&amp;"-"&amp;RIGHT("0"&amp;MONTH($A64),2))</f>
        <v/>
      </c>
      <c r="J64" s="10" t="n"/>
    </row>
    <row r="65">
      <c r="A65" s="15" t="n"/>
      <c r="B65" s="10" t="n"/>
      <c r="C65" s="10" t="n"/>
      <c r="D65" s="22" t="n"/>
      <c r="E65" s="18" t="n"/>
      <c r="F65" s="18" t="n"/>
      <c r="G65" s="23">
        <f>IF($E65="","",$E65-N($F65))</f>
        <v/>
      </c>
      <c r="H65" s="24">
        <f>IFERROR($G65/$E65,"")</f>
        <v/>
      </c>
      <c r="I65" s="25">
        <f>IF($A65="","",YEAR($A65)&amp;"-"&amp;RIGHT("0"&amp;MONTH($A65),2))</f>
        <v/>
      </c>
      <c r="J65" s="10" t="n"/>
    </row>
    <row r="66">
      <c r="A66" s="15" t="n"/>
      <c r="B66" s="10" t="n"/>
      <c r="C66" s="10" t="n"/>
      <c r="D66" s="22" t="n"/>
      <c r="E66" s="18" t="n"/>
      <c r="F66" s="18" t="n"/>
      <c r="G66" s="23">
        <f>IF($E66="","",$E66-N($F66))</f>
        <v/>
      </c>
      <c r="H66" s="24">
        <f>IFERROR($G66/$E66,"")</f>
        <v/>
      </c>
      <c r="I66" s="25">
        <f>IF($A66="","",YEAR($A66)&amp;"-"&amp;RIGHT("0"&amp;MONTH($A66),2))</f>
        <v/>
      </c>
      <c r="J66" s="10" t="n"/>
    </row>
    <row r="67">
      <c r="A67" s="15" t="n"/>
      <c r="B67" s="10" t="n"/>
      <c r="C67" s="10" t="n"/>
      <c r="D67" s="22" t="n"/>
      <c r="E67" s="18" t="n"/>
      <c r="F67" s="18" t="n"/>
      <c r="G67" s="23">
        <f>IF($E67="","",$E67-N($F67))</f>
        <v/>
      </c>
      <c r="H67" s="24">
        <f>IFERROR($G67/$E67,"")</f>
        <v/>
      </c>
      <c r="I67" s="25">
        <f>IF($A67="","",YEAR($A67)&amp;"-"&amp;RIGHT("0"&amp;MONTH($A67),2))</f>
        <v/>
      </c>
      <c r="J67" s="10" t="n"/>
    </row>
    <row r="68">
      <c r="A68" s="15" t="n"/>
      <c r="B68" s="10" t="n"/>
      <c r="C68" s="10" t="n"/>
      <c r="D68" s="22" t="n"/>
      <c r="E68" s="18" t="n"/>
      <c r="F68" s="18" t="n"/>
      <c r="G68" s="23">
        <f>IF($E68="","",$E68-N($F68))</f>
        <v/>
      </c>
      <c r="H68" s="24">
        <f>IFERROR($G68/$E68,"")</f>
        <v/>
      </c>
      <c r="I68" s="25">
        <f>IF($A68="","",YEAR($A68)&amp;"-"&amp;RIGHT("0"&amp;MONTH($A68),2))</f>
        <v/>
      </c>
      <c r="J68" s="10" t="n"/>
    </row>
    <row r="69">
      <c r="A69" s="15" t="n"/>
      <c r="B69" s="10" t="n"/>
      <c r="C69" s="10" t="n"/>
      <c r="D69" s="22" t="n"/>
      <c r="E69" s="18" t="n"/>
      <c r="F69" s="18" t="n"/>
      <c r="G69" s="23">
        <f>IF($E69="","",$E69-N($F69))</f>
        <v/>
      </c>
      <c r="H69" s="24">
        <f>IFERROR($G69/$E69,"")</f>
        <v/>
      </c>
      <c r="I69" s="25">
        <f>IF($A69="","",YEAR($A69)&amp;"-"&amp;RIGHT("0"&amp;MONTH($A69),2))</f>
        <v/>
      </c>
      <c r="J69" s="10" t="n"/>
    </row>
    <row r="70">
      <c r="A70" s="15" t="n"/>
      <c r="B70" s="10" t="n"/>
      <c r="C70" s="10" t="n"/>
      <c r="D70" s="22" t="n"/>
      <c r="E70" s="18" t="n"/>
      <c r="F70" s="18" t="n"/>
      <c r="G70" s="23">
        <f>IF($E70="","",$E70-N($F70))</f>
        <v/>
      </c>
      <c r="H70" s="24">
        <f>IFERROR($G70/$E70,"")</f>
        <v/>
      </c>
      <c r="I70" s="25">
        <f>IF($A70="","",YEAR($A70)&amp;"-"&amp;RIGHT("0"&amp;MONTH($A70),2))</f>
        <v/>
      </c>
      <c r="J70" s="10" t="n"/>
    </row>
    <row r="71">
      <c r="A71" s="15" t="n"/>
      <c r="B71" s="10" t="n"/>
      <c r="C71" s="10" t="n"/>
      <c r="D71" s="22" t="n"/>
      <c r="E71" s="18" t="n"/>
      <c r="F71" s="18" t="n"/>
      <c r="G71" s="23">
        <f>IF($E71="","",$E71-N($F71))</f>
        <v/>
      </c>
      <c r="H71" s="24">
        <f>IFERROR($G71/$E71,"")</f>
        <v/>
      </c>
      <c r="I71" s="25">
        <f>IF($A71="","",YEAR($A71)&amp;"-"&amp;RIGHT("0"&amp;MONTH($A71),2))</f>
        <v/>
      </c>
      <c r="J71" s="10" t="n"/>
    </row>
    <row r="72">
      <c r="A72" s="15" t="n"/>
      <c r="B72" s="10" t="n"/>
      <c r="C72" s="10" t="n"/>
      <c r="D72" s="22" t="n"/>
      <c r="E72" s="18" t="n"/>
      <c r="F72" s="18" t="n"/>
      <c r="G72" s="23">
        <f>IF($E72="","",$E72-N($F72))</f>
        <v/>
      </c>
      <c r="H72" s="24">
        <f>IFERROR($G72/$E72,"")</f>
        <v/>
      </c>
      <c r="I72" s="25">
        <f>IF($A72="","",YEAR($A72)&amp;"-"&amp;RIGHT("0"&amp;MONTH($A72),2))</f>
        <v/>
      </c>
      <c r="J72" s="10" t="n"/>
    </row>
    <row r="73">
      <c r="A73" s="15" t="n"/>
      <c r="B73" s="10" t="n"/>
      <c r="C73" s="10" t="n"/>
      <c r="D73" s="22" t="n"/>
      <c r="E73" s="18" t="n"/>
      <c r="F73" s="18" t="n"/>
      <c r="G73" s="23">
        <f>IF($E73="","",$E73-N($F73))</f>
        <v/>
      </c>
      <c r="H73" s="24">
        <f>IFERROR($G73/$E73,"")</f>
        <v/>
      </c>
      <c r="I73" s="25">
        <f>IF($A73="","",YEAR($A73)&amp;"-"&amp;RIGHT("0"&amp;MONTH($A73),2))</f>
        <v/>
      </c>
      <c r="J73" s="10" t="n"/>
    </row>
    <row r="74">
      <c r="A74" s="15" t="n"/>
      <c r="B74" s="10" t="n"/>
      <c r="C74" s="10" t="n"/>
      <c r="D74" s="22" t="n"/>
      <c r="E74" s="18" t="n"/>
      <c r="F74" s="18" t="n"/>
      <c r="G74" s="23">
        <f>IF($E74="","",$E74-N($F74))</f>
        <v/>
      </c>
      <c r="H74" s="24">
        <f>IFERROR($G74/$E74,"")</f>
        <v/>
      </c>
      <c r="I74" s="25">
        <f>IF($A74="","",YEAR($A74)&amp;"-"&amp;RIGHT("0"&amp;MONTH($A74),2))</f>
        <v/>
      </c>
      <c r="J74" s="10" t="n"/>
    </row>
    <row r="75">
      <c r="A75" s="15" t="n"/>
      <c r="B75" s="10" t="n"/>
      <c r="C75" s="10" t="n"/>
      <c r="D75" s="22" t="n"/>
      <c r="E75" s="18" t="n"/>
      <c r="F75" s="18" t="n"/>
      <c r="G75" s="23">
        <f>IF($E75="","",$E75-N($F75))</f>
        <v/>
      </c>
      <c r="H75" s="24">
        <f>IFERROR($G75/$E75,"")</f>
        <v/>
      </c>
      <c r="I75" s="25">
        <f>IF($A75="","",YEAR($A75)&amp;"-"&amp;RIGHT("0"&amp;MONTH($A75),2))</f>
        <v/>
      </c>
      <c r="J75" s="10" t="n"/>
    </row>
    <row r="76">
      <c r="A76" s="15" t="n"/>
      <c r="B76" s="10" t="n"/>
      <c r="C76" s="10" t="n"/>
      <c r="D76" s="22" t="n"/>
      <c r="E76" s="18" t="n"/>
      <c r="F76" s="18" t="n"/>
      <c r="G76" s="23">
        <f>IF($E76="","",$E76-N($F76))</f>
        <v/>
      </c>
      <c r="H76" s="24">
        <f>IFERROR($G76/$E76,"")</f>
        <v/>
      </c>
      <c r="I76" s="25">
        <f>IF($A76="","",YEAR($A76)&amp;"-"&amp;RIGHT("0"&amp;MONTH($A76),2))</f>
        <v/>
      </c>
      <c r="J76" s="10" t="n"/>
    </row>
    <row r="77">
      <c r="A77" s="15" t="n"/>
      <c r="B77" s="10" t="n"/>
      <c r="C77" s="10" t="n"/>
      <c r="D77" s="22" t="n"/>
      <c r="E77" s="18" t="n"/>
      <c r="F77" s="18" t="n"/>
      <c r="G77" s="23">
        <f>IF($E77="","",$E77-N($F77))</f>
        <v/>
      </c>
      <c r="H77" s="24">
        <f>IFERROR($G77/$E77,"")</f>
        <v/>
      </c>
      <c r="I77" s="25">
        <f>IF($A77="","",YEAR($A77)&amp;"-"&amp;RIGHT("0"&amp;MONTH($A77),2))</f>
        <v/>
      </c>
      <c r="J77" s="10" t="n"/>
    </row>
    <row r="78">
      <c r="A78" s="15" t="n"/>
      <c r="B78" s="10" t="n"/>
      <c r="C78" s="10" t="n"/>
      <c r="D78" s="22" t="n"/>
      <c r="E78" s="18" t="n"/>
      <c r="F78" s="18" t="n"/>
      <c r="G78" s="23">
        <f>IF($E78="","",$E78-N($F78))</f>
        <v/>
      </c>
      <c r="H78" s="24">
        <f>IFERROR($G78/$E78,"")</f>
        <v/>
      </c>
      <c r="I78" s="25">
        <f>IF($A78="","",YEAR($A78)&amp;"-"&amp;RIGHT("0"&amp;MONTH($A78),2))</f>
        <v/>
      </c>
      <c r="J78" s="10" t="n"/>
    </row>
    <row r="79">
      <c r="A79" s="15" t="n"/>
      <c r="B79" s="10" t="n"/>
      <c r="C79" s="10" t="n"/>
      <c r="D79" s="22" t="n"/>
      <c r="E79" s="18" t="n"/>
      <c r="F79" s="18" t="n"/>
      <c r="G79" s="23">
        <f>IF($E79="","",$E79-N($F79))</f>
        <v/>
      </c>
      <c r="H79" s="24">
        <f>IFERROR($G79/$E79,"")</f>
        <v/>
      </c>
      <c r="I79" s="25">
        <f>IF($A79="","",YEAR($A79)&amp;"-"&amp;RIGHT("0"&amp;MONTH($A79),2))</f>
        <v/>
      </c>
      <c r="J79" s="10" t="n"/>
    </row>
    <row r="80">
      <c r="A80" s="15" t="n"/>
      <c r="B80" s="10" t="n"/>
      <c r="C80" s="10" t="n"/>
      <c r="D80" s="22" t="n"/>
      <c r="E80" s="18" t="n"/>
      <c r="F80" s="18" t="n"/>
      <c r="G80" s="23">
        <f>IF($E80="","",$E80-N($F80))</f>
        <v/>
      </c>
      <c r="H80" s="24">
        <f>IFERROR($G80/$E80,"")</f>
        <v/>
      </c>
      <c r="I80" s="25">
        <f>IF($A80="","",YEAR($A80)&amp;"-"&amp;RIGHT("0"&amp;MONTH($A80),2))</f>
        <v/>
      </c>
      <c r="J80" s="10" t="n"/>
    </row>
    <row r="81">
      <c r="A81" s="15" t="n"/>
      <c r="B81" s="10" t="n"/>
      <c r="C81" s="10" t="n"/>
      <c r="D81" s="22" t="n"/>
      <c r="E81" s="18" t="n"/>
      <c r="F81" s="18" t="n"/>
      <c r="G81" s="23">
        <f>IF($E81="","",$E81-N($F81))</f>
        <v/>
      </c>
      <c r="H81" s="24">
        <f>IFERROR($G81/$E81,"")</f>
        <v/>
      </c>
      <c r="I81" s="25">
        <f>IF($A81="","",YEAR($A81)&amp;"-"&amp;RIGHT("0"&amp;MONTH($A81),2))</f>
        <v/>
      </c>
      <c r="J81" s="10" t="n"/>
    </row>
    <row r="82">
      <c r="A82" s="15" t="n"/>
      <c r="B82" s="10" t="n"/>
      <c r="C82" s="10" t="n"/>
      <c r="D82" s="22" t="n"/>
      <c r="E82" s="18" t="n"/>
      <c r="F82" s="18" t="n"/>
      <c r="G82" s="23">
        <f>IF($E82="","",$E82-N($F82))</f>
        <v/>
      </c>
      <c r="H82" s="24">
        <f>IFERROR($G82/$E82,"")</f>
        <v/>
      </c>
      <c r="I82" s="25">
        <f>IF($A82="","",YEAR($A82)&amp;"-"&amp;RIGHT("0"&amp;MONTH($A82),2))</f>
        <v/>
      </c>
      <c r="J82" s="10" t="n"/>
    </row>
    <row r="83">
      <c r="A83" s="15" t="n"/>
      <c r="B83" s="10" t="n"/>
      <c r="C83" s="10" t="n"/>
      <c r="D83" s="22" t="n"/>
      <c r="E83" s="18" t="n"/>
      <c r="F83" s="18" t="n"/>
      <c r="G83" s="23">
        <f>IF($E83="","",$E83-N($F83))</f>
        <v/>
      </c>
      <c r="H83" s="24">
        <f>IFERROR($G83/$E83,"")</f>
        <v/>
      </c>
      <c r="I83" s="25">
        <f>IF($A83="","",YEAR($A83)&amp;"-"&amp;RIGHT("0"&amp;MONTH($A83),2))</f>
        <v/>
      </c>
      <c r="J83" s="10" t="n"/>
    </row>
    <row r="84">
      <c r="A84" s="15" t="n"/>
      <c r="B84" s="10" t="n"/>
      <c r="C84" s="10" t="n"/>
      <c r="D84" s="22" t="n"/>
      <c r="E84" s="18" t="n"/>
      <c r="F84" s="18" t="n"/>
      <c r="G84" s="23">
        <f>IF($E84="","",$E84-N($F84))</f>
        <v/>
      </c>
      <c r="H84" s="24">
        <f>IFERROR($G84/$E84,"")</f>
        <v/>
      </c>
      <c r="I84" s="25">
        <f>IF($A84="","",YEAR($A84)&amp;"-"&amp;RIGHT("0"&amp;MONTH($A84),2))</f>
        <v/>
      </c>
      <c r="J84" s="10" t="n"/>
    </row>
    <row r="85">
      <c r="A85" s="15" t="n"/>
      <c r="B85" s="10" t="n"/>
      <c r="C85" s="10" t="n"/>
      <c r="D85" s="22" t="n"/>
      <c r="E85" s="18" t="n"/>
      <c r="F85" s="18" t="n"/>
      <c r="G85" s="23">
        <f>IF($E85="","",$E85-N($F85))</f>
        <v/>
      </c>
      <c r="H85" s="24">
        <f>IFERROR($G85/$E85,"")</f>
        <v/>
      </c>
      <c r="I85" s="25">
        <f>IF($A85="","",YEAR($A85)&amp;"-"&amp;RIGHT("0"&amp;MONTH($A85),2))</f>
        <v/>
      </c>
      <c r="J85" s="10" t="n"/>
    </row>
    <row r="86">
      <c r="A86" s="15" t="n"/>
      <c r="B86" s="10" t="n"/>
      <c r="C86" s="10" t="n"/>
      <c r="D86" s="22" t="n"/>
      <c r="E86" s="18" t="n"/>
      <c r="F86" s="18" t="n"/>
      <c r="G86" s="23">
        <f>IF($E86="","",$E86-N($F86))</f>
        <v/>
      </c>
      <c r="H86" s="24">
        <f>IFERROR($G86/$E86,"")</f>
        <v/>
      </c>
      <c r="I86" s="25">
        <f>IF($A86="","",YEAR($A86)&amp;"-"&amp;RIGHT("0"&amp;MONTH($A86),2))</f>
        <v/>
      </c>
      <c r="J86" s="10" t="n"/>
    </row>
    <row r="87">
      <c r="A87" s="15" t="n"/>
      <c r="B87" s="10" t="n"/>
      <c r="C87" s="10" t="n"/>
      <c r="D87" s="22" t="n"/>
      <c r="E87" s="18" t="n"/>
      <c r="F87" s="18" t="n"/>
      <c r="G87" s="23">
        <f>IF($E87="","",$E87-N($F87))</f>
        <v/>
      </c>
      <c r="H87" s="24">
        <f>IFERROR($G87/$E87,"")</f>
        <v/>
      </c>
      <c r="I87" s="25">
        <f>IF($A87="","",YEAR($A87)&amp;"-"&amp;RIGHT("0"&amp;MONTH($A87),2))</f>
        <v/>
      </c>
      <c r="J87" s="10" t="n"/>
    </row>
    <row r="88">
      <c r="A88" s="15" t="n"/>
      <c r="B88" s="10" t="n"/>
      <c r="C88" s="10" t="n"/>
      <c r="D88" s="22" t="n"/>
      <c r="E88" s="18" t="n"/>
      <c r="F88" s="18" t="n"/>
      <c r="G88" s="23">
        <f>IF($E88="","",$E88-N($F88))</f>
        <v/>
      </c>
      <c r="H88" s="24">
        <f>IFERROR($G88/$E88,"")</f>
        <v/>
      </c>
      <c r="I88" s="25">
        <f>IF($A88="","",YEAR($A88)&amp;"-"&amp;RIGHT("0"&amp;MONTH($A88),2))</f>
        <v/>
      </c>
      <c r="J88" s="10" t="n"/>
    </row>
    <row r="89">
      <c r="A89" s="15" t="n"/>
      <c r="B89" s="10" t="n"/>
      <c r="C89" s="10" t="n"/>
      <c r="D89" s="22" t="n"/>
      <c r="E89" s="18" t="n"/>
      <c r="F89" s="18" t="n"/>
      <c r="G89" s="23">
        <f>IF($E89="","",$E89-N($F89))</f>
        <v/>
      </c>
      <c r="H89" s="24">
        <f>IFERROR($G89/$E89,"")</f>
        <v/>
      </c>
      <c r="I89" s="25">
        <f>IF($A89="","",YEAR($A89)&amp;"-"&amp;RIGHT("0"&amp;MONTH($A89),2))</f>
        <v/>
      </c>
      <c r="J89" s="10" t="n"/>
    </row>
    <row r="90">
      <c r="A90" s="15" t="n"/>
      <c r="B90" s="10" t="n"/>
      <c r="C90" s="10" t="n"/>
      <c r="D90" s="22" t="n"/>
      <c r="E90" s="18" t="n"/>
      <c r="F90" s="18" t="n"/>
      <c r="G90" s="23">
        <f>IF($E90="","",$E90-N($F90))</f>
        <v/>
      </c>
      <c r="H90" s="24">
        <f>IFERROR($G90/$E90,"")</f>
        <v/>
      </c>
      <c r="I90" s="25">
        <f>IF($A90="","",YEAR($A90)&amp;"-"&amp;RIGHT("0"&amp;MONTH($A90),2))</f>
        <v/>
      </c>
      <c r="J90" s="10" t="n"/>
    </row>
    <row r="91">
      <c r="A91" s="15" t="n"/>
      <c r="B91" s="10" t="n"/>
      <c r="C91" s="10" t="n"/>
      <c r="D91" s="22" t="n"/>
      <c r="E91" s="18" t="n"/>
      <c r="F91" s="18" t="n"/>
      <c r="G91" s="23">
        <f>IF($E91="","",$E91-N($F91))</f>
        <v/>
      </c>
      <c r="H91" s="24">
        <f>IFERROR($G91/$E91,"")</f>
        <v/>
      </c>
      <c r="I91" s="25">
        <f>IF($A91="","",YEAR($A91)&amp;"-"&amp;RIGHT("0"&amp;MONTH($A91),2))</f>
        <v/>
      </c>
      <c r="J91" s="10" t="n"/>
    </row>
    <row r="92">
      <c r="A92" s="15" t="n"/>
      <c r="B92" s="10" t="n"/>
      <c r="C92" s="10" t="n"/>
      <c r="D92" s="22" t="n"/>
      <c r="E92" s="18" t="n"/>
      <c r="F92" s="18" t="n"/>
      <c r="G92" s="23">
        <f>IF($E92="","",$E92-N($F92))</f>
        <v/>
      </c>
      <c r="H92" s="24">
        <f>IFERROR($G92/$E92,"")</f>
        <v/>
      </c>
      <c r="I92" s="25">
        <f>IF($A92="","",YEAR($A92)&amp;"-"&amp;RIGHT("0"&amp;MONTH($A92),2))</f>
        <v/>
      </c>
      <c r="J92" s="10" t="n"/>
    </row>
    <row r="93">
      <c r="A93" s="15" t="n"/>
      <c r="B93" s="10" t="n"/>
      <c r="C93" s="10" t="n"/>
      <c r="D93" s="22" t="n"/>
      <c r="E93" s="18" t="n"/>
      <c r="F93" s="18" t="n"/>
      <c r="G93" s="23">
        <f>IF($E93="","",$E93-N($F93))</f>
        <v/>
      </c>
      <c r="H93" s="24">
        <f>IFERROR($G93/$E93,"")</f>
        <v/>
      </c>
      <c r="I93" s="25">
        <f>IF($A93="","",YEAR($A93)&amp;"-"&amp;RIGHT("0"&amp;MONTH($A93),2))</f>
        <v/>
      </c>
      <c r="J93" s="10" t="n"/>
    </row>
    <row r="94">
      <c r="A94" s="15" t="n"/>
      <c r="B94" s="10" t="n"/>
      <c r="C94" s="10" t="n"/>
      <c r="D94" s="22" t="n"/>
      <c r="E94" s="18" t="n"/>
      <c r="F94" s="18" t="n"/>
      <c r="G94" s="23">
        <f>IF($E94="","",$E94-N($F94))</f>
        <v/>
      </c>
      <c r="H94" s="24">
        <f>IFERROR($G94/$E94,"")</f>
        <v/>
      </c>
      <c r="I94" s="25">
        <f>IF($A94="","",YEAR($A94)&amp;"-"&amp;RIGHT("0"&amp;MONTH($A94),2))</f>
        <v/>
      </c>
      <c r="J94" s="10" t="n"/>
    </row>
    <row r="95">
      <c r="A95" s="15" t="n"/>
      <c r="B95" s="10" t="n"/>
      <c r="C95" s="10" t="n"/>
      <c r="D95" s="22" t="n"/>
      <c r="E95" s="18" t="n"/>
      <c r="F95" s="18" t="n"/>
      <c r="G95" s="23">
        <f>IF($E95="","",$E95-N($F95))</f>
        <v/>
      </c>
      <c r="H95" s="24">
        <f>IFERROR($G95/$E95,"")</f>
        <v/>
      </c>
      <c r="I95" s="25">
        <f>IF($A95="","",YEAR($A95)&amp;"-"&amp;RIGHT("0"&amp;MONTH($A95),2))</f>
        <v/>
      </c>
      <c r="J95" s="10" t="n"/>
    </row>
    <row r="96">
      <c r="A96" s="15" t="n"/>
      <c r="B96" s="10" t="n"/>
      <c r="C96" s="10" t="n"/>
      <c r="D96" s="22" t="n"/>
      <c r="E96" s="18" t="n"/>
      <c r="F96" s="18" t="n"/>
      <c r="G96" s="23">
        <f>IF($E96="","",$E96-N($F96))</f>
        <v/>
      </c>
      <c r="H96" s="24">
        <f>IFERROR($G96/$E96,"")</f>
        <v/>
      </c>
      <c r="I96" s="25">
        <f>IF($A96="","",YEAR($A96)&amp;"-"&amp;RIGHT("0"&amp;MONTH($A96),2))</f>
        <v/>
      </c>
      <c r="J96" s="10" t="n"/>
    </row>
    <row r="97">
      <c r="A97" s="15" t="n"/>
      <c r="B97" s="10" t="n"/>
      <c r="C97" s="10" t="n"/>
      <c r="D97" s="22" t="n"/>
      <c r="E97" s="18" t="n"/>
      <c r="F97" s="18" t="n"/>
      <c r="G97" s="23">
        <f>IF($E97="","",$E97-N($F97))</f>
        <v/>
      </c>
      <c r="H97" s="24">
        <f>IFERROR($G97/$E97,"")</f>
        <v/>
      </c>
      <c r="I97" s="25">
        <f>IF($A97="","",YEAR($A97)&amp;"-"&amp;RIGHT("0"&amp;MONTH($A97),2))</f>
        <v/>
      </c>
      <c r="J97" s="10" t="n"/>
    </row>
    <row r="98">
      <c r="A98" s="15" t="n"/>
      <c r="B98" s="10" t="n"/>
      <c r="C98" s="10" t="n"/>
      <c r="D98" s="22" t="n"/>
      <c r="E98" s="18" t="n"/>
      <c r="F98" s="18" t="n"/>
      <c r="G98" s="23">
        <f>IF($E98="","",$E98-N($F98))</f>
        <v/>
      </c>
      <c r="H98" s="24">
        <f>IFERROR($G98/$E98,"")</f>
        <v/>
      </c>
      <c r="I98" s="25">
        <f>IF($A98="","",YEAR($A98)&amp;"-"&amp;RIGHT("0"&amp;MONTH($A98),2))</f>
        <v/>
      </c>
      <c r="J98" s="10" t="n"/>
    </row>
    <row r="99">
      <c r="A99" s="15" t="n"/>
      <c r="B99" s="10" t="n"/>
      <c r="C99" s="10" t="n"/>
      <c r="D99" s="22" t="n"/>
      <c r="E99" s="18" t="n"/>
      <c r="F99" s="18" t="n"/>
      <c r="G99" s="23">
        <f>IF($E99="","",$E99-N($F99))</f>
        <v/>
      </c>
      <c r="H99" s="24">
        <f>IFERROR($G99/$E99,"")</f>
        <v/>
      </c>
      <c r="I99" s="25">
        <f>IF($A99="","",YEAR($A99)&amp;"-"&amp;RIGHT("0"&amp;MONTH($A99),2))</f>
        <v/>
      </c>
      <c r="J99" s="10" t="n"/>
    </row>
    <row r="100">
      <c r="A100" s="15" t="n"/>
      <c r="B100" s="10" t="n"/>
      <c r="C100" s="10" t="n"/>
      <c r="D100" s="22" t="n"/>
      <c r="E100" s="18" t="n"/>
      <c r="F100" s="18" t="n"/>
      <c r="G100" s="23">
        <f>IF($E100="","",$E100-N($F100))</f>
        <v/>
      </c>
      <c r="H100" s="24">
        <f>IFERROR($G100/$E100,"")</f>
        <v/>
      </c>
      <c r="I100" s="25">
        <f>IF($A100="","",YEAR($A100)&amp;"-"&amp;RIGHT("0"&amp;MONTH($A100),2))</f>
        <v/>
      </c>
      <c r="J100" s="10" t="n"/>
    </row>
    <row r="101">
      <c r="A101" s="15" t="n"/>
      <c r="B101" s="10" t="n"/>
      <c r="C101" s="10" t="n"/>
      <c r="D101" s="22" t="n"/>
      <c r="E101" s="18" t="n"/>
      <c r="F101" s="18" t="n"/>
      <c r="G101" s="23">
        <f>IF($E101="","",$E101-N($F101))</f>
        <v/>
      </c>
      <c r="H101" s="24">
        <f>IFERROR($G101/$E101,"")</f>
        <v/>
      </c>
      <c r="I101" s="25">
        <f>IF($A101="","",YEAR($A101)&amp;"-"&amp;RIGHT("0"&amp;MONTH($A101),2))</f>
        <v/>
      </c>
      <c r="J101" s="10" t="n"/>
    </row>
    <row r="102">
      <c r="A102" s="15" t="n"/>
      <c r="B102" s="10" t="n"/>
      <c r="C102" s="10" t="n"/>
      <c r="D102" s="22" t="n"/>
      <c r="E102" s="18" t="n"/>
      <c r="F102" s="18" t="n"/>
      <c r="G102" s="23">
        <f>IF($E102="","",$E102-N($F102))</f>
        <v/>
      </c>
      <c r="H102" s="24">
        <f>IFERROR($G102/$E102,"")</f>
        <v/>
      </c>
      <c r="I102" s="25">
        <f>IF($A102="","",YEAR($A102)&amp;"-"&amp;RIGHT("0"&amp;MONTH($A102),2))</f>
        <v/>
      </c>
      <c r="J102" s="10" t="n"/>
    </row>
    <row r="103">
      <c r="A103" s="15" t="n"/>
      <c r="B103" s="10" t="n"/>
      <c r="C103" s="10" t="n"/>
      <c r="D103" s="22" t="n"/>
      <c r="E103" s="18" t="n"/>
      <c r="F103" s="18" t="n"/>
      <c r="G103" s="23">
        <f>IF($E103="","",$E103-N($F103))</f>
        <v/>
      </c>
      <c r="H103" s="24">
        <f>IFERROR($G103/$E103,"")</f>
        <v/>
      </c>
      <c r="I103" s="25">
        <f>IF($A103="","",YEAR($A103)&amp;"-"&amp;RIGHT("0"&amp;MONTH($A103),2))</f>
        <v/>
      </c>
      <c r="J103" s="10" t="n"/>
    </row>
    <row r="104">
      <c r="A104" s="15" t="n"/>
      <c r="B104" s="10" t="n"/>
      <c r="C104" s="10" t="n"/>
      <c r="D104" s="22" t="n"/>
      <c r="E104" s="18" t="n"/>
      <c r="F104" s="18" t="n"/>
      <c r="G104" s="23">
        <f>IF($E104="","",$E104-N($F104))</f>
        <v/>
      </c>
      <c r="H104" s="24">
        <f>IFERROR($G104/$E104,"")</f>
        <v/>
      </c>
      <c r="I104" s="25">
        <f>IF($A104="","",YEAR($A104)&amp;"-"&amp;RIGHT("0"&amp;MONTH($A104),2))</f>
        <v/>
      </c>
      <c r="J104" s="10" t="n"/>
    </row>
    <row r="105">
      <c r="A105" s="15" t="n"/>
      <c r="B105" s="10" t="n"/>
      <c r="C105" s="10" t="n"/>
      <c r="D105" s="22" t="n"/>
      <c r="E105" s="18" t="n"/>
      <c r="F105" s="18" t="n"/>
      <c r="G105" s="23">
        <f>IF($E105="","",$E105-N($F105))</f>
        <v/>
      </c>
      <c r="H105" s="24">
        <f>IFERROR($G105/$E105,"")</f>
        <v/>
      </c>
      <c r="I105" s="25">
        <f>IF($A105="","",YEAR($A105)&amp;"-"&amp;RIGHT("0"&amp;MONTH($A105),2))</f>
        <v/>
      </c>
      <c r="J105" s="10" t="n"/>
    </row>
    <row r="106">
      <c r="A106" s="15" t="n"/>
      <c r="B106" s="10" t="n"/>
      <c r="C106" s="10" t="n"/>
      <c r="D106" s="22" t="n"/>
      <c r="E106" s="18" t="n"/>
      <c r="F106" s="18" t="n"/>
      <c r="G106" s="23">
        <f>IF($E106="","",$E106-N($F106))</f>
        <v/>
      </c>
      <c r="H106" s="24">
        <f>IFERROR($G106/$E106,"")</f>
        <v/>
      </c>
      <c r="I106" s="25">
        <f>IF($A106="","",YEAR($A106)&amp;"-"&amp;RIGHT("0"&amp;MONTH($A106),2))</f>
        <v/>
      </c>
      <c r="J106" s="10" t="n"/>
    </row>
    <row r="107">
      <c r="A107" s="15" t="n"/>
      <c r="B107" s="10" t="n"/>
      <c r="C107" s="10" t="n"/>
      <c r="D107" s="22" t="n"/>
      <c r="E107" s="18" t="n"/>
      <c r="F107" s="18" t="n"/>
      <c r="G107" s="23">
        <f>IF($E107="","",$E107-N($F107))</f>
        <v/>
      </c>
      <c r="H107" s="24">
        <f>IFERROR($G107/$E107,"")</f>
        <v/>
      </c>
      <c r="I107" s="25">
        <f>IF($A107="","",YEAR($A107)&amp;"-"&amp;RIGHT("0"&amp;MONTH($A107),2))</f>
        <v/>
      </c>
      <c r="J107" s="10" t="n"/>
    </row>
    <row r="108">
      <c r="A108" s="15" t="n"/>
      <c r="B108" s="10" t="n"/>
      <c r="C108" s="10" t="n"/>
      <c r="D108" s="22" t="n"/>
      <c r="E108" s="18" t="n"/>
      <c r="F108" s="18" t="n"/>
      <c r="G108" s="23">
        <f>IF($E108="","",$E108-N($F108))</f>
        <v/>
      </c>
      <c r="H108" s="24">
        <f>IFERROR($G108/$E108,"")</f>
        <v/>
      </c>
      <c r="I108" s="25">
        <f>IF($A108="","",YEAR($A108)&amp;"-"&amp;RIGHT("0"&amp;MONTH($A108),2))</f>
        <v/>
      </c>
      <c r="J108" s="10" t="n"/>
    </row>
    <row r="109">
      <c r="A109" s="15" t="n"/>
      <c r="B109" s="10" t="n"/>
      <c r="C109" s="10" t="n"/>
      <c r="D109" s="22" t="n"/>
      <c r="E109" s="18" t="n"/>
      <c r="F109" s="18" t="n"/>
      <c r="G109" s="23">
        <f>IF($E109="","",$E109-N($F109))</f>
        <v/>
      </c>
      <c r="H109" s="24">
        <f>IFERROR($G109/$E109,"")</f>
        <v/>
      </c>
      <c r="I109" s="25">
        <f>IF($A109="","",YEAR($A109)&amp;"-"&amp;RIGHT("0"&amp;MONTH($A109),2))</f>
        <v/>
      </c>
      <c r="J109" s="10" t="n"/>
    </row>
    <row r="110">
      <c r="A110" s="15" t="n"/>
      <c r="B110" s="10" t="n"/>
      <c r="C110" s="10" t="n"/>
      <c r="D110" s="22" t="n"/>
      <c r="E110" s="18" t="n"/>
      <c r="F110" s="18" t="n"/>
      <c r="G110" s="23">
        <f>IF($E110="","",$E110-N($F110))</f>
        <v/>
      </c>
      <c r="H110" s="24">
        <f>IFERROR($G110/$E110,"")</f>
        <v/>
      </c>
      <c r="I110" s="25">
        <f>IF($A110="","",YEAR($A110)&amp;"-"&amp;RIGHT("0"&amp;MONTH($A110),2))</f>
        <v/>
      </c>
      <c r="J110" s="10" t="n"/>
    </row>
    <row r="111">
      <c r="A111" s="15" t="n"/>
      <c r="B111" s="10" t="n"/>
      <c r="C111" s="10" t="n"/>
      <c r="D111" s="22" t="n"/>
      <c r="E111" s="18" t="n"/>
      <c r="F111" s="18" t="n"/>
      <c r="G111" s="23">
        <f>IF($E111="","",$E111-N($F111))</f>
        <v/>
      </c>
      <c r="H111" s="24">
        <f>IFERROR($G111/$E111,"")</f>
        <v/>
      </c>
      <c r="I111" s="25">
        <f>IF($A111="","",YEAR($A111)&amp;"-"&amp;RIGHT("0"&amp;MONTH($A111),2))</f>
        <v/>
      </c>
      <c r="J111" s="10" t="n"/>
    </row>
    <row r="112">
      <c r="A112" s="15" t="n"/>
      <c r="B112" s="10" t="n"/>
      <c r="C112" s="10" t="n"/>
      <c r="D112" s="22" t="n"/>
      <c r="E112" s="18" t="n"/>
      <c r="F112" s="18" t="n"/>
      <c r="G112" s="23">
        <f>IF($E112="","",$E112-N($F112))</f>
        <v/>
      </c>
      <c r="H112" s="24">
        <f>IFERROR($G112/$E112,"")</f>
        <v/>
      </c>
      <c r="I112" s="25">
        <f>IF($A112="","",YEAR($A112)&amp;"-"&amp;RIGHT("0"&amp;MONTH($A112),2))</f>
        <v/>
      </c>
      <c r="J112" s="10" t="n"/>
    </row>
    <row r="113">
      <c r="A113" s="15" t="n"/>
      <c r="B113" s="10" t="n"/>
      <c r="C113" s="10" t="n"/>
      <c r="D113" s="22" t="n"/>
      <c r="E113" s="18" t="n"/>
      <c r="F113" s="18" t="n"/>
      <c r="G113" s="23">
        <f>IF($E113="","",$E113-N($F113))</f>
        <v/>
      </c>
      <c r="H113" s="24">
        <f>IFERROR($G113/$E113,"")</f>
        <v/>
      </c>
      <c r="I113" s="25">
        <f>IF($A113="","",YEAR($A113)&amp;"-"&amp;RIGHT("0"&amp;MONTH($A113),2))</f>
        <v/>
      </c>
      <c r="J113" s="10" t="n"/>
    </row>
    <row r="114">
      <c r="A114" s="15" t="n"/>
      <c r="B114" s="10" t="n"/>
      <c r="C114" s="10" t="n"/>
      <c r="D114" s="22" t="n"/>
      <c r="E114" s="18" t="n"/>
      <c r="F114" s="18" t="n"/>
      <c r="G114" s="23">
        <f>IF($E114="","",$E114-N($F114))</f>
        <v/>
      </c>
      <c r="H114" s="24">
        <f>IFERROR($G114/$E114,"")</f>
        <v/>
      </c>
      <c r="I114" s="25">
        <f>IF($A114="","",YEAR($A114)&amp;"-"&amp;RIGHT("0"&amp;MONTH($A114),2))</f>
        <v/>
      </c>
      <c r="J114" s="10" t="n"/>
    </row>
    <row r="115">
      <c r="A115" s="15" t="n"/>
      <c r="B115" s="10" t="n"/>
      <c r="C115" s="10" t="n"/>
      <c r="D115" s="22" t="n"/>
      <c r="E115" s="18" t="n"/>
      <c r="F115" s="18" t="n"/>
      <c r="G115" s="23">
        <f>IF($E115="","",$E115-N($F115))</f>
        <v/>
      </c>
      <c r="H115" s="24">
        <f>IFERROR($G115/$E115,"")</f>
        <v/>
      </c>
      <c r="I115" s="25">
        <f>IF($A115="","",YEAR($A115)&amp;"-"&amp;RIGHT("0"&amp;MONTH($A115),2))</f>
        <v/>
      </c>
      <c r="J115" s="10" t="n"/>
    </row>
    <row r="116">
      <c r="A116" s="15" t="n"/>
      <c r="B116" s="10" t="n"/>
      <c r="C116" s="10" t="n"/>
      <c r="D116" s="22" t="n"/>
      <c r="E116" s="18" t="n"/>
      <c r="F116" s="18" t="n"/>
      <c r="G116" s="23">
        <f>IF($E116="","",$E116-N($F116))</f>
        <v/>
      </c>
      <c r="H116" s="24">
        <f>IFERROR($G116/$E116,"")</f>
        <v/>
      </c>
      <c r="I116" s="25">
        <f>IF($A116="","",YEAR($A116)&amp;"-"&amp;RIGHT("0"&amp;MONTH($A116),2))</f>
        <v/>
      </c>
      <c r="J116" s="10" t="n"/>
    </row>
    <row r="117">
      <c r="A117" s="15" t="n"/>
      <c r="B117" s="10" t="n"/>
      <c r="C117" s="10" t="n"/>
      <c r="D117" s="22" t="n"/>
      <c r="E117" s="18" t="n"/>
      <c r="F117" s="18" t="n"/>
      <c r="G117" s="23">
        <f>IF($E117="","",$E117-N($F117))</f>
        <v/>
      </c>
      <c r="H117" s="24">
        <f>IFERROR($G117/$E117,"")</f>
        <v/>
      </c>
      <c r="I117" s="25">
        <f>IF($A117="","",YEAR($A117)&amp;"-"&amp;RIGHT("0"&amp;MONTH($A117),2))</f>
        <v/>
      </c>
      <c r="J117" s="10" t="n"/>
    </row>
    <row r="118">
      <c r="A118" s="15" t="n"/>
      <c r="B118" s="10" t="n"/>
      <c r="C118" s="10" t="n"/>
      <c r="D118" s="22" t="n"/>
      <c r="E118" s="18" t="n"/>
      <c r="F118" s="18" t="n"/>
      <c r="G118" s="23">
        <f>IF($E118="","",$E118-N($F118))</f>
        <v/>
      </c>
      <c r="H118" s="24">
        <f>IFERROR($G118/$E118,"")</f>
        <v/>
      </c>
      <c r="I118" s="25">
        <f>IF($A118="","",YEAR($A118)&amp;"-"&amp;RIGHT("0"&amp;MONTH($A118),2))</f>
        <v/>
      </c>
      <c r="J118" s="10" t="n"/>
    </row>
    <row r="119">
      <c r="A119" s="15" t="n"/>
      <c r="B119" s="10" t="n"/>
      <c r="C119" s="10" t="n"/>
      <c r="D119" s="22" t="n"/>
      <c r="E119" s="18" t="n"/>
      <c r="F119" s="18" t="n"/>
      <c r="G119" s="23">
        <f>IF($E119="","",$E119-N($F119))</f>
        <v/>
      </c>
      <c r="H119" s="24">
        <f>IFERROR($G119/$E119,"")</f>
        <v/>
      </c>
      <c r="I119" s="25">
        <f>IF($A119="","",YEAR($A119)&amp;"-"&amp;RIGHT("0"&amp;MONTH($A119),2))</f>
        <v/>
      </c>
      <c r="J119" s="10" t="n"/>
    </row>
    <row r="120">
      <c r="A120" s="15" t="n"/>
      <c r="B120" s="10" t="n"/>
      <c r="C120" s="10" t="n"/>
      <c r="D120" s="22" t="n"/>
      <c r="E120" s="18" t="n"/>
      <c r="F120" s="18" t="n"/>
      <c r="G120" s="23">
        <f>IF($E120="","",$E120-N($F120))</f>
        <v/>
      </c>
      <c r="H120" s="24">
        <f>IFERROR($G120/$E120,"")</f>
        <v/>
      </c>
      <c r="I120" s="25">
        <f>IF($A120="","",YEAR($A120)&amp;"-"&amp;RIGHT("0"&amp;MONTH($A120),2))</f>
        <v/>
      </c>
      <c r="J120" s="10" t="n"/>
    </row>
    <row r="121">
      <c r="A121" s="15" t="n"/>
      <c r="B121" s="10" t="n"/>
      <c r="C121" s="10" t="n"/>
      <c r="D121" s="22" t="n"/>
      <c r="E121" s="18" t="n"/>
      <c r="F121" s="18" t="n"/>
      <c r="G121" s="23">
        <f>IF($E121="","",$E121-N($F121))</f>
        <v/>
      </c>
      <c r="H121" s="24">
        <f>IFERROR($G121/$E121,"")</f>
        <v/>
      </c>
      <c r="I121" s="25">
        <f>IF($A121="","",YEAR($A121)&amp;"-"&amp;RIGHT("0"&amp;MONTH($A121),2))</f>
        <v/>
      </c>
      <c r="J121" s="10" t="n"/>
    </row>
    <row r="122">
      <c r="A122" s="15" t="n"/>
      <c r="B122" s="10" t="n"/>
      <c r="C122" s="10" t="n"/>
      <c r="D122" s="22" t="n"/>
      <c r="E122" s="18" t="n"/>
      <c r="F122" s="18" t="n"/>
      <c r="G122" s="23">
        <f>IF($E122="","",$E122-N($F122))</f>
        <v/>
      </c>
      <c r="H122" s="24">
        <f>IFERROR($G122/$E122,"")</f>
        <v/>
      </c>
      <c r="I122" s="25">
        <f>IF($A122="","",YEAR($A122)&amp;"-"&amp;RIGHT("0"&amp;MONTH($A122),2))</f>
        <v/>
      </c>
      <c r="J122" s="10" t="n"/>
    </row>
    <row r="123">
      <c r="A123" s="15" t="n"/>
      <c r="B123" s="10" t="n"/>
      <c r="C123" s="10" t="n"/>
      <c r="D123" s="22" t="n"/>
      <c r="E123" s="18" t="n"/>
      <c r="F123" s="18" t="n"/>
      <c r="G123" s="23">
        <f>IF($E123="","",$E123-N($F123))</f>
        <v/>
      </c>
      <c r="H123" s="24">
        <f>IFERROR($G123/$E123,"")</f>
        <v/>
      </c>
      <c r="I123" s="25">
        <f>IF($A123="","",YEAR($A123)&amp;"-"&amp;RIGHT("0"&amp;MONTH($A123),2))</f>
        <v/>
      </c>
      <c r="J123" s="10" t="n"/>
    </row>
    <row r="124">
      <c r="A124" s="15" t="n"/>
      <c r="B124" s="10" t="n"/>
      <c r="C124" s="10" t="n"/>
      <c r="D124" s="22" t="n"/>
      <c r="E124" s="18" t="n"/>
      <c r="F124" s="18" t="n"/>
      <c r="G124" s="23">
        <f>IF($E124="","",$E124-N($F124))</f>
        <v/>
      </c>
      <c r="H124" s="24">
        <f>IFERROR($G124/$E124,"")</f>
        <v/>
      </c>
      <c r="I124" s="25">
        <f>IF($A124="","",YEAR($A124)&amp;"-"&amp;RIGHT("0"&amp;MONTH($A124),2))</f>
        <v/>
      </c>
      <c r="J124" s="10" t="n"/>
    </row>
    <row r="125">
      <c r="A125" s="15" t="n"/>
      <c r="B125" s="10" t="n"/>
      <c r="C125" s="10" t="n"/>
      <c r="D125" s="22" t="n"/>
      <c r="E125" s="18" t="n"/>
      <c r="F125" s="18" t="n"/>
      <c r="G125" s="23">
        <f>IF($E125="","",$E125-N($F125))</f>
        <v/>
      </c>
      <c r="H125" s="24">
        <f>IFERROR($G125/$E125,"")</f>
        <v/>
      </c>
      <c r="I125" s="25">
        <f>IF($A125="","",YEAR($A125)&amp;"-"&amp;RIGHT("0"&amp;MONTH($A125),2))</f>
        <v/>
      </c>
      <c r="J125" s="10" t="n"/>
    </row>
    <row r="126">
      <c r="A126" s="15" t="n"/>
      <c r="B126" s="10" t="n"/>
      <c r="C126" s="10" t="n"/>
      <c r="D126" s="22" t="n"/>
      <c r="E126" s="18" t="n"/>
      <c r="F126" s="18" t="n"/>
      <c r="G126" s="23">
        <f>IF($E126="","",$E126-N($F126))</f>
        <v/>
      </c>
      <c r="H126" s="24">
        <f>IFERROR($G126/$E126,"")</f>
        <v/>
      </c>
      <c r="I126" s="25">
        <f>IF($A126="","",YEAR($A126)&amp;"-"&amp;RIGHT("0"&amp;MONTH($A126),2))</f>
        <v/>
      </c>
      <c r="J126" s="10" t="n"/>
    </row>
    <row r="127">
      <c r="A127" s="15" t="n"/>
      <c r="B127" s="10" t="n"/>
      <c r="C127" s="10" t="n"/>
      <c r="D127" s="22" t="n"/>
      <c r="E127" s="18" t="n"/>
      <c r="F127" s="18" t="n"/>
      <c r="G127" s="23">
        <f>IF($E127="","",$E127-N($F127))</f>
        <v/>
      </c>
      <c r="H127" s="24">
        <f>IFERROR($G127/$E127,"")</f>
        <v/>
      </c>
      <c r="I127" s="25">
        <f>IF($A127="","",YEAR($A127)&amp;"-"&amp;RIGHT("0"&amp;MONTH($A127),2))</f>
        <v/>
      </c>
      <c r="J127" s="10" t="n"/>
    </row>
    <row r="128">
      <c r="A128" s="15" t="n"/>
      <c r="B128" s="10" t="n"/>
      <c r="C128" s="10" t="n"/>
      <c r="D128" s="22" t="n"/>
      <c r="E128" s="18" t="n"/>
      <c r="F128" s="18" t="n"/>
      <c r="G128" s="23">
        <f>IF($E128="","",$E128-N($F128))</f>
        <v/>
      </c>
      <c r="H128" s="24">
        <f>IFERROR($G128/$E128,"")</f>
        <v/>
      </c>
      <c r="I128" s="25">
        <f>IF($A128="","",YEAR($A128)&amp;"-"&amp;RIGHT("0"&amp;MONTH($A128),2))</f>
        <v/>
      </c>
      <c r="J128" s="10" t="n"/>
    </row>
    <row r="129">
      <c r="A129" s="15" t="n"/>
      <c r="B129" s="10" t="n"/>
      <c r="C129" s="10" t="n"/>
      <c r="D129" s="22" t="n"/>
      <c r="E129" s="18" t="n"/>
      <c r="F129" s="18" t="n"/>
      <c r="G129" s="23">
        <f>IF($E129="","",$E129-N($F129))</f>
        <v/>
      </c>
      <c r="H129" s="24">
        <f>IFERROR($G129/$E129,"")</f>
        <v/>
      </c>
      <c r="I129" s="25">
        <f>IF($A129="","",YEAR($A129)&amp;"-"&amp;RIGHT("0"&amp;MONTH($A129),2))</f>
        <v/>
      </c>
      <c r="J129" s="10" t="n"/>
    </row>
    <row r="130">
      <c r="A130" s="15" t="n"/>
      <c r="B130" s="10" t="n"/>
      <c r="C130" s="10" t="n"/>
      <c r="D130" s="22" t="n"/>
      <c r="E130" s="18" t="n"/>
      <c r="F130" s="18" t="n"/>
      <c r="G130" s="23">
        <f>IF($E130="","",$E130-N($F130))</f>
        <v/>
      </c>
      <c r="H130" s="24">
        <f>IFERROR($G130/$E130,"")</f>
        <v/>
      </c>
      <c r="I130" s="25">
        <f>IF($A130="","",YEAR($A130)&amp;"-"&amp;RIGHT("0"&amp;MONTH($A130),2))</f>
        <v/>
      </c>
      <c r="J130" s="10" t="n"/>
    </row>
    <row r="131">
      <c r="A131" s="15" t="n"/>
      <c r="B131" s="10" t="n"/>
      <c r="C131" s="10" t="n"/>
      <c r="D131" s="22" t="n"/>
      <c r="E131" s="18" t="n"/>
      <c r="F131" s="18" t="n"/>
      <c r="G131" s="23">
        <f>IF($E131="","",$E131-N($F131))</f>
        <v/>
      </c>
      <c r="H131" s="24">
        <f>IFERROR($G131/$E131,"")</f>
        <v/>
      </c>
      <c r="I131" s="25">
        <f>IF($A131="","",YEAR($A131)&amp;"-"&amp;RIGHT("0"&amp;MONTH($A131),2))</f>
        <v/>
      </c>
      <c r="J131" s="10" t="n"/>
    </row>
    <row r="132">
      <c r="A132" s="15" t="n"/>
      <c r="B132" s="10" t="n"/>
      <c r="C132" s="10" t="n"/>
      <c r="D132" s="22" t="n"/>
      <c r="E132" s="18" t="n"/>
      <c r="F132" s="18" t="n"/>
      <c r="G132" s="23">
        <f>IF($E132="","",$E132-N($F132))</f>
        <v/>
      </c>
      <c r="H132" s="24">
        <f>IFERROR($G132/$E132,"")</f>
        <v/>
      </c>
      <c r="I132" s="25">
        <f>IF($A132="","",YEAR($A132)&amp;"-"&amp;RIGHT("0"&amp;MONTH($A132),2))</f>
        <v/>
      </c>
      <c r="J132" s="10" t="n"/>
    </row>
    <row r="133">
      <c r="A133" s="15" t="n"/>
      <c r="B133" s="10" t="n"/>
      <c r="C133" s="10" t="n"/>
      <c r="D133" s="22" t="n"/>
      <c r="E133" s="18" t="n"/>
      <c r="F133" s="18" t="n"/>
      <c r="G133" s="23">
        <f>IF($E133="","",$E133-N($F133))</f>
        <v/>
      </c>
      <c r="H133" s="24">
        <f>IFERROR($G133/$E133,"")</f>
        <v/>
      </c>
      <c r="I133" s="25">
        <f>IF($A133="","",YEAR($A133)&amp;"-"&amp;RIGHT("0"&amp;MONTH($A133),2))</f>
        <v/>
      </c>
      <c r="J133" s="10" t="n"/>
    </row>
    <row r="134">
      <c r="A134" s="15" t="n"/>
      <c r="B134" s="10" t="n"/>
      <c r="C134" s="10" t="n"/>
      <c r="D134" s="22" t="n"/>
      <c r="E134" s="18" t="n"/>
      <c r="F134" s="18" t="n"/>
      <c r="G134" s="23">
        <f>IF($E134="","",$E134-N($F134))</f>
        <v/>
      </c>
      <c r="H134" s="24">
        <f>IFERROR($G134/$E134,"")</f>
        <v/>
      </c>
      <c r="I134" s="25">
        <f>IF($A134="","",YEAR($A134)&amp;"-"&amp;RIGHT("0"&amp;MONTH($A134),2))</f>
        <v/>
      </c>
      <c r="J134" s="10" t="n"/>
    </row>
    <row r="135">
      <c r="A135" s="15" t="n"/>
      <c r="B135" s="10" t="n"/>
      <c r="C135" s="10" t="n"/>
      <c r="D135" s="22" t="n"/>
      <c r="E135" s="18" t="n"/>
      <c r="F135" s="18" t="n"/>
      <c r="G135" s="23">
        <f>IF($E135="","",$E135-N($F135))</f>
        <v/>
      </c>
      <c r="H135" s="24">
        <f>IFERROR($G135/$E135,"")</f>
        <v/>
      </c>
      <c r="I135" s="25">
        <f>IF($A135="","",YEAR($A135)&amp;"-"&amp;RIGHT("0"&amp;MONTH($A135),2))</f>
        <v/>
      </c>
      <c r="J135" s="10" t="n"/>
    </row>
    <row r="136">
      <c r="A136" s="15" t="n"/>
      <c r="B136" s="10" t="n"/>
      <c r="C136" s="10" t="n"/>
      <c r="D136" s="22" t="n"/>
      <c r="E136" s="18" t="n"/>
      <c r="F136" s="18" t="n"/>
      <c r="G136" s="23">
        <f>IF($E136="","",$E136-N($F136))</f>
        <v/>
      </c>
      <c r="H136" s="24">
        <f>IFERROR($G136/$E136,"")</f>
        <v/>
      </c>
      <c r="I136" s="25">
        <f>IF($A136="","",YEAR($A136)&amp;"-"&amp;RIGHT("0"&amp;MONTH($A136),2))</f>
        <v/>
      </c>
      <c r="J136" s="10" t="n"/>
    </row>
    <row r="137">
      <c r="A137" s="15" t="n"/>
      <c r="B137" s="10" t="n"/>
      <c r="C137" s="10" t="n"/>
      <c r="D137" s="22" t="n"/>
      <c r="E137" s="18" t="n"/>
      <c r="F137" s="18" t="n"/>
      <c r="G137" s="23">
        <f>IF($E137="","",$E137-N($F137))</f>
        <v/>
      </c>
      <c r="H137" s="24">
        <f>IFERROR($G137/$E137,"")</f>
        <v/>
      </c>
      <c r="I137" s="25">
        <f>IF($A137="","",YEAR($A137)&amp;"-"&amp;RIGHT("0"&amp;MONTH($A137),2))</f>
        <v/>
      </c>
      <c r="J137" s="10" t="n"/>
    </row>
    <row r="138">
      <c r="A138" s="15" t="n"/>
      <c r="B138" s="10" t="n"/>
      <c r="C138" s="10" t="n"/>
      <c r="D138" s="22" t="n"/>
      <c r="E138" s="18" t="n"/>
      <c r="F138" s="18" t="n"/>
      <c r="G138" s="23">
        <f>IF($E138="","",$E138-N($F138))</f>
        <v/>
      </c>
      <c r="H138" s="24">
        <f>IFERROR($G138/$E138,"")</f>
        <v/>
      </c>
      <c r="I138" s="25">
        <f>IF($A138="","",YEAR($A138)&amp;"-"&amp;RIGHT("0"&amp;MONTH($A138),2))</f>
        <v/>
      </c>
      <c r="J138" s="10" t="n"/>
    </row>
    <row r="139">
      <c r="A139" s="15" t="n"/>
      <c r="B139" s="10" t="n"/>
      <c r="C139" s="10" t="n"/>
      <c r="D139" s="22" t="n"/>
      <c r="E139" s="18" t="n"/>
      <c r="F139" s="18" t="n"/>
      <c r="G139" s="23">
        <f>IF($E139="","",$E139-N($F139))</f>
        <v/>
      </c>
      <c r="H139" s="24">
        <f>IFERROR($G139/$E139,"")</f>
        <v/>
      </c>
      <c r="I139" s="25">
        <f>IF($A139="","",YEAR($A139)&amp;"-"&amp;RIGHT("0"&amp;MONTH($A139),2))</f>
        <v/>
      </c>
      <c r="J139" s="10" t="n"/>
    </row>
    <row r="140">
      <c r="A140" s="15" t="n"/>
      <c r="B140" s="10" t="n"/>
      <c r="C140" s="10" t="n"/>
      <c r="D140" s="22" t="n"/>
      <c r="E140" s="18" t="n"/>
      <c r="F140" s="18" t="n"/>
      <c r="G140" s="23">
        <f>IF($E140="","",$E140-N($F140))</f>
        <v/>
      </c>
      <c r="H140" s="24">
        <f>IFERROR($G140/$E140,"")</f>
        <v/>
      </c>
      <c r="I140" s="25">
        <f>IF($A140="","",YEAR($A140)&amp;"-"&amp;RIGHT("0"&amp;MONTH($A140),2))</f>
        <v/>
      </c>
      <c r="J140" s="10" t="n"/>
    </row>
    <row r="141">
      <c r="A141" s="15" t="n"/>
      <c r="B141" s="10" t="n"/>
      <c r="C141" s="10" t="n"/>
      <c r="D141" s="22" t="n"/>
      <c r="E141" s="18" t="n"/>
      <c r="F141" s="18" t="n"/>
      <c r="G141" s="23">
        <f>IF($E141="","",$E141-N($F141))</f>
        <v/>
      </c>
      <c r="H141" s="24">
        <f>IFERROR($G141/$E141,"")</f>
        <v/>
      </c>
      <c r="I141" s="25">
        <f>IF($A141="","",YEAR($A141)&amp;"-"&amp;RIGHT("0"&amp;MONTH($A141),2))</f>
        <v/>
      </c>
      <c r="J141" s="10" t="n"/>
    </row>
    <row r="142">
      <c r="A142" s="15" t="n"/>
      <c r="B142" s="10" t="n"/>
      <c r="C142" s="10" t="n"/>
      <c r="D142" s="22" t="n"/>
      <c r="E142" s="18" t="n"/>
      <c r="F142" s="18" t="n"/>
      <c r="G142" s="23">
        <f>IF($E142="","",$E142-N($F142))</f>
        <v/>
      </c>
      <c r="H142" s="24">
        <f>IFERROR($G142/$E142,"")</f>
        <v/>
      </c>
      <c r="I142" s="25">
        <f>IF($A142="","",YEAR($A142)&amp;"-"&amp;RIGHT("0"&amp;MONTH($A142),2))</f>
        <v/>
      </c>
      <c r="J142" s="10" t="n"/>
    </row>
    <row r="143">
      <c r="A143" s="15" t="n"/>
      <c r="B143" s="10" t="n"/>
      <c r="C143" s="10" t="n"/>
      <c r="D143" s="22" t="n"/>
      <c r="E143" s="18" t="n"/>
      <c r="F143" s="18" t="n"/>
      <c r="G143" s="23">
        <f>IF($E143="","",$E143-N($F143))</f>
        <v/>
      </c>
      <c r="H143" s="24">
        <f>IFERROR($G143/$E143,"")</f>
        <v/>
      </c>
      <c r="I143" s="25">
        <f>IF($A143="","",YEAR($A143)&amp;"-"&amp;RIGHT("0"&amp;MONTH($A143),2))</f>
        <v/>
      </c>
      <c r="J143" s="10" t="n"/>
    </row>
    <row r="144">
      <c r="A144" s="15" t="n"/>
      <c r="B144" s="10" t="n"/>
      <c r="C144" s="10" t="n"/>
      <c r="D144" s="22" t="n"/>
      <c r="E144" s="18" t="n"/>
      <c r="F144" s="18" t="n"/>
      <c r="G144" s="23">
        <f>IF($E144="","",$E144-N($F144))</f>
        <v/>
      </c>
      <c r="H144" s="24">
        <f>IFERROR($G144/$E144,"")</f>
        <v/>
      </c>
      <c r="I144" s="25">
        <f>IF($A144="","",YEAR($A144)&amp;"-"&amp;RIGHT("0"&amp;MONTH($A144),2))</f>
        <v/>
      </c>
      <c r="J144" s="10" t="n"/>
    </row>
    <row r="145">
      <c r="A145" s="15" t="n"/>
      <c r="B145" s="10" t="n"/>
      <c r="C145" s="10" t="n"/>
      <c r="D145" s="22" t="n"/>
      <c r="E145" s="18" t="n"/>
      <c r="F145" s="18" t="n"/>
      <c r="G145" s="23">
        <f>IF($E145="","",$E145-N($F145))</f>
        <v/>
      </c>
      <c r="H145" s="24">
        <f>IFERROR($G145/$E145,"")</f>
        <v/>
      </c>
      <c r="I145" s="25">
        <f>IF($A145="","",YEAR($A145)&amp;"-"&amp;RIGHT("0"&amp;MONTH($A145),2))</f>
        <v/>
      </c>
      <c r="J145" s="10" t="n"/>
    </row>
    <row r="146">
      <c r="A146" s="15" t="n"/>
      <c r="B146" s="10" t="n"/>
      <c r="C146" s="10" t="n"/>
      <c r="D146" s="22" t="n"/>
      <c r="E146" s="18" t="n"/>
      <c r="F146" s="18" t="n"/>
      <c r="G146" s="23">
        <f>IF($E146="","",$E146-N($F146))</f>
        <v/>
      </c>
      <c r="H146" s="24">
        <f>IFERROR($G146/$E146,"")</f>
        <v/>
      </c>
      <c r="I146" s="25">
        <f>IF($A146="","",YEAR($A146)&amp;"-"&amp;RIGHT("0"&amp;MONTH($A146),2))</f>
        <v/>
      </c>
      <c r="J146" s="10" t="n"/>
    </row>
    <row r="147">
      <c r="A147" s="15" t="n"/>
      <c r="B147" s="10" t="n"/>
      <c r="C147" s="10" t="n"/>
      <c r="D147" s="22" t="n"/>
      <c r="E147" s="18" t="n"/>
      <c r="F147" s="18" t="n"/>
      <c r="G147" s="23">
        <f>IF($E147="","",$E147-N($F147))</f>
        <v/>
      </c>
      <c r="H147" s="24">
        <f>IFERROR($G147/$E147,"")</f>
        <v/>
      </c>
      <c r="I147" s="25">
        <f>IF($A147="","",YEAR($A147)&amp;"-"&amp;RIGHT("0"&amp;MONTH($A147),2))</f>
        <v/>
      </c>
      <c r="J147" s="10" t="n"/>
    </row>
    <row r="148">
      <c r="A148" s="15" t="n"/>
      <c r="B148" s="10" t="n"/>
      <c r="C148" s="10" t="n"/>
      <c r="D148" s="22" t="n"/>
      <c r="E148" s="18" t="n"/>
      <c r="F148" s="18" t="n"/>
      <c r="G148" s="23">
        <f>IF($E148="","",$E148-N($F148))</f>
        <v/>
      </c>
      <c r="H148" s="24">
        <f>IFERROR($G148/$E148,"")</f>
        <v/>
      </c>
      <c r="I148" s="25">
        <f>IF($A148="","",YEAR($A148)&amp;"-"&amp;RIGHT("0"&amp;MONTH($A148),2))</f>
        <v/>
      </c>
      <c r="J148" s="10" t="n"/>
    </row>
    <row r="149">
      <c r="A149" s="15" t="n"/>
      <c r="B149" s="10" t="n"/>
      <c r="C149" s="10" t="n"/>
      <c r="D149" s="22" t="n"/>
      <c r="E149" s="18" t="n"/>
      <c r="F149" s="18" t="n"/>
      <c r="G149" s="23">
        <f>IF($E149="","",$E149-N($F149))</f>
        <v/>
      </c>
      <c r="H149" s="24">
        <f>IFERROR($G149/$E149,"")</f>
        <v/>
      </c>
      <c r="I149" s="25">
        <f>IF($A149="","",YEAR($A149)&amp;"-"&amp;RIGHT("0"&amp;MONTH($A149),2))</f>
        <v/>
      </c>
      <c r="J149" s="10" t="n"/>
    </row>
    <row r="150">
      <c r="A150" s="15" t="n"/>
      <c r="B150" s="10" t="n"/>
      <c r="C150" s="10" t="n"/>
      <c r="D150" s="22" t="n"/>
      <c r="E150" s="18" t="n"/>
      <c r="F150" s="18" t="n"/>
      <c r="G150" s="23">
        <f>IF($E150="","",$E150-N($F150))</f>
        <v/>
      </c>
      <c r="H150" s="24">
        <f>IFERROR($G150/$E150,"")</f>
        <v/>
      </c>
      <c r="I150" s="25">
        <f>IF($A150="","",YEAR($A150)&amp;"-"&amp;RIGHT("0"&amp;MONTH($A150),2))</f>
        <v/>
      </c>
      <c r="J150" s="10" t="n"/>
    </row>
    <row r="151">
      <c r="A151" s="15" t="n"/>
      <c r="B151" s="10" t="n"/>
      <c r="C151" s="10" t="n"/>
      <c r="D151" s="22" t="n"/>
      <c r="E151" s="18" t="n"/>
      <c r="F151" s="18" t="n"/>
      <c r="G151" s="23">
        <f>IF($E151="","",$E151-N($F151))</f>
        <v/>
      </c>
      <c r="H151" s="24">
        <f>IFERROR($G151/$E151,"")</f>
        <v/>
      </c>
      <c r="I151" s="25">
        <f>IF($A151="","",YEAR($A151)&amp;"-"&amp;RIGHT("0"&amp;MONTH($A151),2))</f>
        <v/>
      </c>
      <c r="J151" s="10" t="n"/>
    </row>
    <row r="152">
      <c r="A152" s="15" t="n"/>
      <c r="B152" s="10" t="n"/>
      <c r="C152" s="10" t="n"/>
      <c r="D152" s="22" t="n"/>
      <c r="E152" s="18" t="n"/>
      <c r="F152" s="18" t="n"/>
      <c r="G152" s="23">
        <f>IF($E152="","",$E152-N($F152))</f>
        <v/>
      </c>
      <c r="H152" s="24">
        <f>IFERROR($G152/$E152,"")</f>
        <v/>
      </c>
      <c r="I152" s="25">
        <f>IF($A152="","",YEAR($A152)&amp;"-"&amp;RIGHT("0"&amp;MONTH($A152),2))</f>
        <v/>
      </c>
      <c r="J152" s="10" t="n"/>
    </row>
    <row r="153">
      <c r="A153" s="15" t="n"/>
      <c r="B153" s="10" t="n"/>
      <c r="C153" s="10" t="n"/>
      <c r="D153" s="22" t="n"/>
      <c r="E153" s="18" t="n"/>
      <c r="F153" s="18" t="n"/>
      <c r="G153" s="23">
        <f>IF($E153="","",$E153-N($F153))</f>
        <v/>
      </c>
      <c r="H153" s="24">
        <f>IFERROR($G153/$E153,"")</f>
        <v/>
      </c>
      <c r="I153" s="25">
        <f>IF($A153="","",YEAR($A153)&amp;"-"&amp;RIGHT("0"&amp;MONTH($A153),2))</f>
        <v/>
      </c>
      <c r="J153" s="10" t="n"/>
    </row>
    <row r="154">
      <c r="A154" s="15" t="n"/>
      <c r="B154" s="10" t="n"/>
      <c r="C154" s="10" t="n"/>
      <c r="D154" s="22" t="n"/>
      <c r="E154" s="18" t="n"/>
      <c r="F154" s="18" t="n"/>
      <c r="G154" s="23">
        <f>IF($E154="","",$E154-N($F154))</f>
        <v/>
      </c>
      <c r="H154" s="24">
        <f>IFERROR($G154/$E154,"")</f>
        <v/>
      </c>
      <c r="I154" s="25">
        <f>IF($A154="","",YEAR($A154)&amp;"-"&amp;RIGHT("0"&amp;MONTH($A154),2))</f>
        <v/>
      </c>
      <c r="J154" s="10" t="n"/>
    </row>
    <row r="155">
      <c r="A155" s="15" t="n"/>
      <c r="B155" s="10" t="n"/>
      <c r="C155" s="10" t="n"/>
      <c r="D155" s="22" t="n"/>
      <c r="E155" s="18" t="n"/>
      <c r="F155" s="18" t="n"/>
      <c r="G155" s="23">
        <f>IF($E155="","",$E155-N($F155))</f>
        <v/>
      </c>
      <c r="H155" s="24">
        <f>IFERROR($G155/$E155,"")</f>
        <v/>
      </c>
      <c r="I155" s="25">
        <f>IF($A155="","",YEAR($A155)&amp;"-"&amp;RIGHT("0"&amp;MONTH($A155),2))</f>
        <v/>
      </c>
      <c r="J155" s="10" t="n"/>
    </row>
    <row r="156">
      <c r="A156" s="15" t="n"/>
      <c r="B156" s="10" t="n"/>
      <c r="C156" s="10" t="n"/>
      <c r="D156" s="22" t="n"/>
      <c r="E156" s="18" t="n"/>
      <c r="F156" s="18" t="n"/>
      <c r="G156" s="23">
        <f>IF($E156="","",$E156-N($F156))</f>
        <v/>
      </c>
      <c r="H156" s="24">
        <f>IFERROR($G156/$E156,"")</f>
        <v/>
      </c>
      <c r="I156" s="25">
        <f>IF($A156="","",YEAR($A156)&amp;"-"&amp;RIGHT("0"&amp;MONTH($A156),2))</f>
        <v/>
      </c>
      <c r="J156" s="10" t="n"/>
    </row>
    <row r="157">
      <c r="A157" s="15" t="n"/>
      <c r="B157" s="10" t="n"/>
      <c r="C157" s="10" t="n"/>
      <c r="D157" s="22" t="n"/>
      <c r="E157" s="18" t="n"/>
      <c r="F157" s="18" t="n"/>
      <c r="G157" s="23">
        <f>IF($E157="","",$E157-N($F157))</f>
        <v/>
      </c>
      <c r="H157" s="24">
        <f>IFERROR($G157/$E157,"")</f>
        <v/>
      </c>
      <c r="I157" s="25">
        <f>IF($A157="","",YEAR($A157)&amp;"-"&amp;RIGHT("0"&amp;MONTH($A157),2))</f>
        <v/>
      </c>
      <c r="J157" s="10" t="n"/>
    </row>
    <row r="158">
      <c r="A158" s="15" t="n"/>
      <c r="B158" s="10" t="n"/>
      <c r="C158" s="10" t="n"/>
      <c r="D158" s="22" t="n"/>
      <c r="E158" s="18" t="n"/>
      <c r="F158" s="18" t="n"/>
      <c r="G158" s="23">
        <f>IF($E158="","",$E158-N($F158))</f>
        <v/>
      </c>
      <c r="H158" s="24">
        <f>IFERROR($G158/$E158,"")</f>
        <v/>
      </c>
      <c r="I158" s="25">
        <f>IF($A158="","",YEAR($A158)&amp;"-"&amp;RIGHT("0"&amp;MONTH($A158),2))</f>
        <v/>
      </c>
      <c r="J158" s="10" t="n"/>
    </row>
    <row r="159">
      <c r="A159" s="15" t="n"/>
      <c r="B159" s="10" t="n"/>
      <c r="C159" s="10" t="n"/>
      <c r="D159" s="22" t="n"/>
      <c r="E159" s="18" t="n"/>
      <c r="F159" s="18" t="n"/>
      <c r="G159" s="23">
        <f>IF($E159="","",$E159-N($F159))</f>
        <v/>
      </c>
      <c r="H159" s="24">
        <f>IFERROR($G159/$E159,"")</f>
        <v/>
      </c>
      <c r="I159" s="25">
        <f>IF($A159="","",YEAR($A159)&amp;"-"&amp;RIGHT("0"&amp;MONTH($A159),2))</f>
        <v/>
      </c>
      <c r="J159" s="10" t="n"/>
    </row>
    <row r="160">
      <c r="A160" s="15" t="n"/>
      <c r="B160" s="10" t="n"/>
      <c r="C160" s="10" t="n"/>
      <c r="D160" s="22" t="n"/>
      <c r="E160" s="18" t="n"/>
      <c r="F160" s="18" t="n"/>
      <c r="G160" s="23">
        <f>IF($E160="","",$E160-N($F160))</f>
        <v/>
      </c>
      <c r="H160" s="24">
        <f>IFERROR($G160/$E160,"")</f>
        <v/>
      </c>
      <c r="I160" s="25">
        <f>IF($A160="","",YEAR($A160)&amp;"-"&amp;RIGHT("0"&amp;MONTH($A160),2))</f>
        <v/>
      </c>
      <c r="J160" s="10" t="n"/>
    </row>
    <row r="161">
      <c r="A161" s="15" t="n"/>
      <c r="B161" s="10" t="n"/>
      <c r="C161" s="10" t="n"/>
      <c r="D161" s="22" t="n"/>
      <c r="E161" s="18" t="n"/>
      <c r="F161" s="18" t="n"/>
      <c r="G161" s="23">
        <f>IF($E161="","",$E161-N($F161))</f>
        <v/>
      </c>
      <c r="H161" s="24">
        <f>IFERROR($G161/$E161,"")</f>
        <v/>
      </c>
      <c r="I161" s="25">
        <f>IF($A161="","",YEAR($A161)&amp;"-"&amp;RIGHT("0"&amp;MONTH($A161),2))</f>
        <v/>
      </c>
      <c r="J161" s="10" t="n"/>
    </row>
    <row r="162">
      <c r="A162" s="15" t="n"/>
      <c r="B162" s="10" t="n"/>
      <c r="C162" s="10" t="n"/>
      <c r="D162" s="22" t="n"/>
      <c r="E162" s="18" t="n"/>
      <c r="F162" s="18" t="n"/>
      <c r="G162" s="23">
        <f>IF($E162="","",$E162-N($F162))</f>
        <v/>
      </c>
      <c r="H162" s="24">
        <f>IFERROR($G162/$E162,"")</f>
        <v/>
      </c>
      <c r="I162" s="25">
        <f>IF($A162="","",YEAR($A162)&amp;"-"&amp;RIGHT("0"&amp;MONTH($A162),2))</f>
        <v/>
      </c>
      <c r="J162" s="10" t="n"/>
    </row>
    <row r="163">
      <c r="A163" s="15" t="n"/>
      <c r="B163" s="10" t="n"/>
      <c r="C163" s="10" t="n"/>
      <c r="D163" s="22" t="n"/>
      <c r="E163" s="18" t="n"/>
      <c r="F163" s="18" t="n"/>
      <c r="G163" s="23">
        <f>IF($E163="","",$E163-N($F163))</f>
        <v/>
      </c>
      <c r="H163" s="24">
        <f>IFERROR($G163/$E163,"")</f>
        <v/>
      </c>
      <c r="I163" s="25">
        <f>IF($A163="","",YEAR($A163)&amp;"-"&amp;RIGHT("0"&amp;MONTH($A163),2))</f>
        <v/>
      </c>
      <c r="J163" s="10" t="n"/>
    </row>
    <row r="164">
      <c r="A164" s="15" t="n"/>
      <c r="B164" s="10" t="n"/>
      <c r="C164" s="10" t="n"/>
      <c r="D164" s="22" t="n"/>
      <c r="E164" s="18" t="n"/>
      <c r="F164" s="18" t="n"/>
      <c r="G164" s="23">
        <f>IF($E164="","",$E164-N($F164))</f>
        <v/>
      </c>
      <c r="H164" s="24">
        <f>IFERROR($G164/$E164,"")</f>
        <v/>
      </c>
      <c r="I164" s="25">
        <f>IF($A164="","",YEAR($A164)&amp;"-"&amp;RIGHT("0"&amp;MONTH($A164),2))</f>
        <v/>
      </c>
      <c r="J164" s="10" t="n"/>
    </row>
    <row r="165">
      <c r="A165" s="15" t="n"/>
      <c r="B165" s="10" t="n"/>
      <c r="C165" s="10" t="n"/>
      <c r="D165" s="22" t="n"/>
      <c r="E165" s="18" t="n"/>
      <c r="F165" s="18" t="n"/>
      <c r="G165" s="23">
        <f>IF($E165="","",$E165-N($F165))</f>
        <v/>
      </c>
      <c r="H165" s="24">
        <f>IFERROR($G165/$E165,"")</f>
        <v/>
      </c>
      <c r="I165" s="25">
        <f>IF($A165="","",YEAR($A165)&amp;"-"&amp;RIGHT("0"&amp;MONTH($A165),2))</f>
        <v/>
      </c>
      <c r="J165" s="10" t="n"/>
    </row>
    <row r="166">
      <c r="A166" s="15" t="n"/>
      <c r="B166" s="10" t="n"/>
      <c r="C166" s="10" t="n"/>
      <c r="D166" s="22" t="n"/>
      <c r="E166" s="18" t="n"/>
      <c r="F166" s="18" t="n"/>
      <c r="G166" s="23">
        <f>IF($E166="","",$E166-N($F166))</f>
        <v/>
      </c>
      <c r="H166" s="24">
        <f>IFERROR($G166/$E166,"")</f>
        <v/>
      </c>
      <c r="I166" s="25">
        <f>IF($A166="","",YEAR($A166)&amp;"-"&amp;RIGHT("0"&amp;MONTH($A166),2))</f>
        <v/>
      </c>
      <c r="J166" s="10" t="n"/>
    </row>
    <row r="167">
      <c r="A167" s="15" t="n"/>
      <c r="B167" s="10" t="n"/>
      <c r="C167" s="10" t="n"/>
      <c r="D167" s="22" t="n"/>
      <c r="E167" s="18" t="n"/>
      <c r="F167" s="18" t="n"/>
      <c r="G167" s="23">
        <f>IF($E167="","",$E167-N($F167))</f>
        <v/>
      </c>
      <c r="H167" s="24">
        <f>IFERROR($G167/$E167,"")</f>
        <v/>
      </c>
      <c r="I167" s="25">
        <f>IF($A167="","",YEAR($A167)&amp;"-"&amp;RIGHT("0"&amp;MONTH($A167),2))</f>
        <v/>
      </c>
      <c r="J167" s="10" t="n"/>
    </row>
    <row r="168">
      <c r="A168" s="15" t="n"/>
      <c r="B168" s="10" t="n"/>
      <c r="C168" s="10" t="n"/>
      <c r="D168" s="22" t="n"/>
      <c r="E168" s="18" t="n"/>
      <c r="F168" s="18" t="n"/>
      <c r="G168" s="23">
        <f>IF($E168="","",$E168-N($F168))</f>
        <v/>
      </c>
      <c r="H168" s="24">
        <f>IFERROR($G168/$E168,"")</f>
        <v/>
      </c>
      <c r="I168" s="25">
        <f>IF($A168="","",YEAR($A168)&amp;"-"&amp;RIGHT("0"&amp;MONTH($A168),2))</f>
        <v/>
      </c>
      <c r="J168" s="10" t="n"/>
    </row>
    <row r="169">
      <c r="A169" s="15" t="n"/>
      <c r="B169" s="10" t="n"/>
      <c r="C169" s="10" t="n"/>
      <c r="D169" s="22" t="n"/>
      <c r="E169" s="18" t="n"/>
      <c r="F169" s="18" t="n"/>
      <c r="G169" s="23">
        <f>IF($E169="","",$E169-N($F169))</f>
        <v/>
      </c>
      <c r="H169" s="24">
        <f>IFERROR($G169/$E169,"")</f>
        <v/>
      </c>
      <c r="I169" s="25">
        <f>IF($A169="","",YEAR($A169)&amp;"-"&amp;RIGHT("0"&amp;MONTH($A169),2))</f>
        <v/>
      </c>
      <c r="J169" s="10" t="n"/>
    </row>
    <row r="170">
      <c r="A170" s="15" t="n"/>
      <c r="B170" s="10" t="n"/>
      <c r="C170" s="10" t="n"/>
      <c r="D170" s="22" t="n"/>
      <c r="E170" s="18" t="n"/>
      <c r="F170" s="18" t="n"/>
      <c r="G170" s="23">
        <f>IF($E170="","",$E170-N($F170))</f>
        <v/>
      </c>
      <c r="H170" s="24">
        <f>IFERROR($G170/$E170,"")</f>
        <v/>
      </c>
      <c r="I170" s="25">
        <f>IF($A170="","",YEAR($A170)&amp;"-"&amp;RIGHT("0"&amp;MONTH($A170),2))</f>
        <v/>
      </c>
      <c r="J170" s="10" t="n"/>
    </row>
    <row r="171">
      <c r="A171" s="15" t="n"/>
      <c r="B171" s="10" t="n"/>
      <c r="C171" s="10" t="n"/>
      <c r="D171" s="22" t="n"/>
      <c r="E171" s="18" t="n"/>
      <c r="F171" s="18" t="n"/>
      <c r="G171" s="23">
        <f>IF($E171="","",$E171-N($F171))</f>
        <v/>
      </c>
      <c r="H171" s="24">
        <f>IFERROR($G171/$E171,"")</f>
        <v/>
      </c>
      <c r="I171" s="25">
        <f>IF($A171="","",YEAR($A171)&amp;"-"&amp;RIGHT("0"&amp;MONTH($A171),2))</f>
        <v/>
      </c>
      <c r="J171" s="10" t="n"/>
    </row>
    <row r="172">
      <c r="A172" s="15" t="n"/>
      <c r="B172" s="10" t="n"/>
      <c r="C172" s="10" t="n"/>
      <c r="D172" s="22" t="n"/>
      <c r="E172" s="18" t="n"/>
      <c r="F172" s="18" t="n"/>
      <c r="G172" s="23">
        <f>IF($E172="","",$E172-N($F172))</f>
        <v/>
      </c>
      <c r="H172" s="24">
        <f>IFERROR($G172/$E172,"")</f>
        <v/>
      </c>
      <c r="I172" s="25">
        <f>IF($A172="","",YEAR($A172)&amp;"-"&amp;RIGHT("0"&amp;MONTH($A172),2))</f>
        <v/>
      </c>
      <c r="J172" s="10" t="n"/>
    </row>
    <row r="173">
      <c r="A173" s="15" t="n"/>
      <c r="B173" s="10" t="n"/>
      <c r="C173" s="10" t="n"/>
      <c r="D173" s="22" t="n"/>
      <c r="E173" s="18" t="n"/>
      <c r="F173" s="18" t="n"/>
      <c r="G173" s="23">
        <f>IF($E173="","",$E173-N($F173))</f>
        <v/>
      </c>
      <c r="H173" s="24">
        <f>IFERROR($G173/$E173,"")</f>
        <v/>
      </c>
      <c r="I173" s="25">
        <f>IF($A173="","",YEAR($A173)&amp;"-"&amp;RIGHT("0"&amp;MONTH($A173),2))</f>
        <v/>
      </c>
      <c r="J173" s="10" t="n"/>
    </row>
    <row r="174">
      <c r="A174" s="15" t="n"/>
      <c r="B174" s="10" t="n"/>
      <c r="C174" s="10" t="n"/>
      <c r="D174" s="22" t="n"/>
      <c r="E174" s="18" t="n"/>
      <c r="F174" s="18" t="n"/>
      <c r="G174" s="23">
        <f>IF($E174="","",$E174-N($F174))</f>
        <v/>
      </c>
      <c r="H174" s="24">
        <f>IFERROR($G174/$E174,"")</f>
        <v/>
      </c>
      <c r="I174" s="25">
        <f>IF($A174="","",YEAR($A174)&amp;"-"&amp;RIGHT("0"&amp;MONTH($A174),2))</f>
        <v/>
      </c>
      <c r="J174" s="10" t="n"/>
    </row>
    <row r="175">
      <c r="A175" s="15" t="n"/>
      <c r="B175" s="10" t="n"/>
      <c r="C175" s="10" t="n"/>
      <c r="D175" s="22" t="n"/>
      <c r="E175" s="18" t="n"/>
      <c r="F175" s="18" t="n"/>
      <c r="G175" s="23">
        <f>IF($E175="","",$E175-N($F175))</f>
        <v/>
      </c>
      <c r="H175" s="24">
        <f>IFERROR($G175/$E175,"")</f>
        <v/>
      </c>
      <c r="I175" s="25">
        <f>IF($A175="","",YEAR($A175)&amp;"-"&amp;RIGHT("0"&amp;MONTH($A175),2))</f>
        <v/>
      </c>
      <c r="J175" s="10" t="n"/>
    </row>
    <row r="176">
      <c r="A176" s="15" t="n"/>
      <c r="B176" s="10" t="n"/>
      <c r="C176" s="10" t="n"/>
      <c r="D176" s="22" t="n"/>
      <c r="E176" s="18" t="n"/>
      <c r="F176" s="18" t="n"/>
      <c r="G176" s="23">
        <f>IF($E176="","",$E176-N($F176))</f>
        <v/>
      </c>
      <c r="H176" s="24">
        <f>IFERROR($G176/$E176,"")</f>
        <v/>
      </c>
      <c r="I176" s="25">
        <f>IF($A176="","",YEAR($A176)&amp;"-"&amp;RIGHT("0"&amp;MONTH($A176),2))</f>
        <v/>
      </c>
      <c r="J176" s="10" t="n"/>
    </row>
    <row r="177">
      <c r="A177" s="15" t="n"/>
      <c r="B177" s="10" t="n"/>
      <c r="C177" s="10" t="n"/>
      <c r="D177" s="22" t="n"/>
      <c r="E177" s="18" t="n"/>
      <c r="F177" s="18" t="n"/>
      <c r="G177" s="23">
        <f>IF($E177="","",$E177-N($F177))</f>
        <v/>
      </c>
      <c r="H177" s="24">
        <f>IFERROR($G177/$E177,"")</f>
        <v/>
      </c>
      <c r="I177" s="25">
        <f>IF($A177="","",YEAR($A177)&amp;"-"&amp;RIGHT("0"&amp;MONTH($A177),2))</f>
        <v/>
      </c>
      <c r="J177" s="10" t="n"/>
    </row>
    <row r="178">
      <c r="A178" s="15" t="n"/>
      <c r="B178" s="10" t="n"/>
      <c r="C178" s="10" t="n"/>
      <c r="D178" s="22" t="n"/>
      <c r="E178" s="18" t="n"/>
      <c r="F178" s="18" t="n"/>
      <c r="G178" s="23">
        <f>IF($E178="","",$E178-N($F178))</f>
        <v/>
      </c>
      <c r="H178" s="24">
        <f>IFERROR($G178/$E178,"")</f>
        <v/>
      </c>
      <c r="I178" s="25">
        <f>IF($A178="","",YEAR($A178)&amp;"-"&amp;RIGHT("0"&amp;MONTH($A178),2))</f>
        <v/>
      </c>
      <c r="J178" s="10" t="n"/>
    </row>
    <row r="179">
      <c r="A179" s="15" t="n"/>
      <c r="B179" s="10" t="n"/>
      <c r="C179" s="10" t="n"/>
      <c r="D179" s="22" t="n"/>
      <c r="E179" s="18" t="n"/>
      <c r="F179" s="18" t="n"/>
      <c r="G179" s="23">
        <f>IF($E179="","",$E179-N($F179))</f>
        <v/>
      </c>
      <c r="H179" s="24">
        <f>IFERROR($G179/$E179,"")</f>
        <v/>
      </c>
      <c r="I179" s="25">
        <f>IF($A179="","",YEAR($A179)&amp;"-"&amp;RIGHT("0"&amp;MONTH($A179),2))</f>
        <v/>
      </c>
      <c r="J179" s="10" t="n"/>
    </row>
    <row r="180">
      <c r="A180" s="15" t="n"/>
      <c r="B180" s="10" t="n"/>
      <c r="C180" s="10" t="n"/>
      <c r="D180" s="22" t="n"/>
      <c r="E180" s="18" t="n"/>
      <c r="F180" s="18" t="n"/>
      <c r="G180" s="23">
        <f>IF($E180="","",$E180-N($F180))</f>
        <v/>
      </c>
      <c r="H180" s="24">
        <f>IFERROR($G180/$E180,"")</f>
        <v/>
      </c>
      <c r="I180" s="25">
        <f>IF($A180="","",YEAR($A180)&amp;"-"&amp;RIGHT("0"&amp;MONTH($A180),2))</f>
        <v/>
      </c>
      <c r="J180" s="10" t="n"/>
    </row>
    <row r="181">
      <c r="A181" s="15" t="n"/>
      <c r="B181" s="10" t="n"/>
      <c r="C181" s="10" t="n"/>
      <c r="D181" s="22" t="n"/>
      <c r="E181" s="18" t="n"/>
      <c r="F181" s="18" t="n"/>
      <c r="G181" s="23">
        <f>IF($E181="","",$E181-N($F181))</f>
        <v/>
      </c>
      <c r="H181" s="24">
        <f>IFERROR($G181/$E181,"")</f>
        <v/>
      </c>
      <c r="I181" s="25">
        <f>IF($A181="","",YEAR($A181)&amp;"-"&amp;RIGHT("0"&amp;MONTH($A181),2))</f>
        <v/>
      </c>
      <c r="J181" s="10" t="n"/>
    </row>
    <row r="182">
      <c r="A182" s="15" t="n"/>
      <c r="B182" s="10" t="n"/>
      <c r="C182" s="10" t="n"/>
      <c r="D182" s="22" t="n"/>
      <c r="E182" s="18" t="n"/>
      <c r="F182" s="18" t="n"/>
      <c r="G182" s="23">
        <f>IF($E182="","",$E182-N($F182))</f>
        <v/>
      </c>
      <c r="H182" s="24">
        <f>IFERROR($G182/$E182,"")</f>
        <v/>
      </c>
      <c r="I182" s="25">
        <f>IF($A182="","",YEAR($A182)&amp;"-"&amp;RIGHT("0"&amp;MONTH($A182),2))</f>
        <v/>
      </c>
      <c r="J182" s="10" t="n"/>
    </row>
    <row r="183">
      <c r="A183" s="15" t="n"/>
      <c r="B183" s="10" t="n"/>
      <c r="C183" s="10" t="n"/>
      <c r="D183" s="22" t="n"/>
      <c r="E183" s="18" t="n"/>
      <c r="F183" s="18" t="n"/>
      <c r="G183" s="23">
        <f>IF($E183="","",$E183-N($F183))</f>
        <v/>
      </c>
      <c r="H183" s="24">
        <f>IFERROR($G183/$E183,"")</f>
        <v/>
      </c>
      <c r="I183" s="25">
        <f>IF($A183="","",YEAR($A183)&amp;"-"&amp;RIGHT("0"&amp;MONTH($A183),2))</f>
        <v/>
      </c>
      <c r="J183" s="10" t="n"/>
    </row>
    <row r="184">
      <c r="A184" s="15" t="n"/>
      <c r="B184" s="10" t="n"/>
      <c r="C184" s="10" t="n"/>
      <c r="D184" s="22" t="n"/>
      <c r="E184" s="18" t="n"/>
      <c r="F184" s="18" t="n"/>
      <c r="G184" s="23">
        <f>IF($E184="","",$E184-N($F184))</f>
        <v/>
      </c>
      <c r="H184" s="24">
        <f>IFERROR($G184/$E184,"")</f>
        <v/>
      </c>
      <c r="I184" s="25">
        <f>IF($A184="","",YEAR($A184)&amp;"-"&amp;RIGHT("0"&amp;MONTH($A184),2))</f>
        <v/>
      </c>
      <c r="J184" s="10" t="n"/>
    </row>
    <row r="185">
      <c r="A185" s="15" t="n"/>
      <c r="B185" s="10" t="n"/>
      <c r="C185" s="10" t="n"/>
      <c r="D185" s="22" t="n"/>
      <c r="E185" s="18" t="n"/>
      <c r="F185" s="18" t="n"/>
      <c r="G185" s="23">
        <f>IF($E185="","",$E185-N($F185))</f>
        <v/>
      </c>
      <c r="H185" s="24">
        <f>IFERROR($G185/$E185,"")</f>
        <v/>
      </c>
      <c r="I185" s="25">
        <f>IF($A185="","",YEAR($A185)&amp;"-"&amp;RIGHT("0"&amp;MONTH($A185),2))</f>
        <v/>
      </c>
      <c r="J185" s="10" t="n"/>
    </row>
    <row r="186">
      <c r="A186" s="15" t="n"/>
      <c r="B186" s="10" t="n"/>
      <c r="C186" s="10" t="n"/>
      <c r="D186" s="22" t="n"/>
      <c r="E186" s="18" t="n"/>
      <c r="F186" s="18" t="n"/>
      <c r="G186" s="23">
        <f>IF($E186="","",$E186-N($F186))</f>
        <v/>
      </c>
      <c r="H186" s="24">
        <f>IFERROR($G186/$E186,"")</f>
        <v/>
      </c>
      <c r="I186" s="25">
        <f>IF($A186="","",YEAR($A186)&amp;"-"&amp;RIGHT("0"&amp;MONTH($A186),2))</f>
        <v/>
      </c>
      <c r="J186" s="10" t="n"/>
    </row>
    <row r="187">
      <c r="A187" s="15" t="n"/>
      <c r="B187" s="10" t="n"/>
      <c r="C187" s="10" t="n"/>
      <c r="D187" s="22" t="n"/>
      <c r="E187" s="18" t="n"/>
      <c r="F187" s="18" t="n"/>
      <c r="G187" s="23">
        <f>IF($E187="","",$E187-N($F187))</f>
        <v/>
      </c>
      <c r="H187" s="24">
        <f>IFERROR($G187/$E187,"")</f>
        <v/>
      </c>
      <c r="I187" s="25">
        <f>IF($A187="","",YEAR($A187)&amp;"-"&amp;RIGHT("0"&amp;MONTH($A187),2))</f>
        <v/>
      </c>
      <c r="J187" s="10" t="n"/>
    </row>
    <row r="188">
      <c r="A188" s="15" t="n"/>
      <c r="B188" s="10" t="n"/>
      <c r="C188" s="10" t="n"/>
      <c r="D188" s="22" t="n"/>
      <c r="E188" s="18" t="n"/>
      <c r="F188" s="18" t="n"/>
      <c r="G188" s="23">
        <f>IF($E188="","",$E188-N($F188))</f>
        <v/>
      </c>
      <c r="H188" s="24">
        <f>IFERROR($G188/$E188,"")</f>
        <v/>
      </c>
      <c r="I188" s="25">
        <f>IF($A188="","",YEAR($A188)&amp;"-"&amp;RIGHT("0"&amp;MONTH($A188),2))</f>
        <v/>
      </c>
      <c r="J188" s="10" t="n"/>
    </row>
    <row r="189">
      <c r="A189" s="15" t="n"/>
      <c r="B189" s="10" t="n"/>
      <c r="C189" s="10" t="n"/>
      <c r="D189" s="22" t="n"/>
      <c r="E189" s="18" t="n"/>
      <c r="F189" s="18" t="n"/>
      <c r="G189" s="23">
        <f>IF($E189="","",$E189-N($F189))</f>
        <v/>
      </c>
      <c r="H189" s="24">
        <f>IFERROR($G189/$E189,"")</f>
        <v/>
      </c>
      <c r="I189" s="25">
        <f>IF($A189="","",YEAR($A189)&amp;"-"&amp;RIGHT("0"&amp;MONTH($A189),2))</f>
        <v/>
      </c>
      <c r="J189" s="10" t="n"/>
    </row>
    <row r="190">
      <c r="A190" s="15" t="n"/>
      <c r="B190" s="10" t="n"/>
      <c r="C190" s="10" t="n"/>
      <c r="D190" s="22" t="n"/>
      <c r="E190" s="18" t="n"/>
      <c r="F190" s="18" t="n"/>
      <c r="G190" s="23">
        <f>IF($E190="","",$E190-N($F190))</f>
        <v/>
      </c>
      <c r="H190" s="24">
        <f>IFERROR($G190/$E190,"")</f>
        <v/>
      </c>
      <c r="I190" s="25">
        <f>IF($A190="","",YEAR($A190)&amp;"-"&amp;RIGHT("0"&amp;MONTH($A190),2))</f>
        <v/>
      </c>
      <c r="J190" s="10" t="n"/>
    </row>
    <row r="191">
      <c r="A191" s="15" t="n"/>
      <c r="B191" s="10" t="n"/>
      <c r="C191" s="10" t="n"/>
      <c r="D191" s="22" t="n"/>
      <c r="E191" s="18" t="n"/>
      <c r="F191" s="18" t="n"/>
      <c r="G191" s="23">
        <f>IF($E191="","",$E191-N($F191))</f>
        <v/>
      </c>
      <c r="H191" s="24">
        <f>IFERROR($G191/$E191,"")</f>
        <v/>
      </c>
      <c r="I191" s="25">
        <f>IF($A191="","",YEAR($A191)&amp;"-"&amp;RIGHT("0"&amp;MONTH($A191),2))</f>
        <v/>
      </c>
      <c r="J191" s="10" t="n"/>
    </row>
    <row r="192">
      <c r="A192" s="15" t="n"/>
      <c r="B192" s="10" t="n"/>
      <c r="C192" s="10" t="n"/>
      <c r="D192" s="22" t="n"/>
      <c r="E192" s="18" t="n"/>
      <c r="F192" s="18" t="n"/>
      <c r="G192" s="23">
        <f>IF($E192="","",$E192-N($F192))</f>
        <v/>
      </c>
      <c r="H192" s="24">
        <f>IFERROR($G192/$E192,"")</f>
        <v/>
      </c>
      <c r="I192" s="25">
        <f>IF($A192="","",YEAR($A192)&amp;"-"&amp;RIGHT("0"&amp;MONTH($A192),2))</f>
        <v/>
      </c>
      <c r="J192" s="10" t="n"/>
    </row>
    <row r="193">
      <c r="A193" s="15" t="n"/>
      <c r="B193" s="10" t="n"/>
      <c r="C193" s="10" t="n"/>
      <c r="D193" s="22" t="n"/>
      <c r="E193" s="18" t="n"/>
      <c r="F193" s="18" t="n"/>
      <c r="G193" s="23">
        <f>IF($E193="","",$E193-N($F193))</f>
        <v/>
      </c>
      <c r="H193" s="24">
        <f>IFERROR($G193/$E193,"")</f>
        <v/>
      </c>
      <c r="I193" s="25">
        <f>IF($A193="","",YEAR($A193)&amp;"-"&amp;RIGHT("0"&amp;MONTH($A193),2))</f>
        <v/>
      </c>
      <c r="J193" s="10" t="n"/>
    </row>
    <row r="194">
      <c r="A194" s="15" t="n"/>
      <c r="B194" s="10" t="n"/>
      <c r="C194" s="10" t="n"/>
      <c r="D194" s="22" t="n"/>
      <c r="E194" s="18" t="n"/>
      <c r="F194" s="18" t="n"/>
      <c r="G194" s="23">
        <f>IF($E194="","",$E194-N($F194))</f>
        <v/>
      </c>
      <c r="H194" s="24">
        <f>IFERROR($G194/$E194,"")</f>
        <v/>
      </c>
      <c r="I194" s="25">
        <f>IF($A194="","",YEAR($A194)&amp;"-"&amp;RIGHT("0"&amp;MONTH($A194),2))</f>
        <v/>
      </c>
      <c r="J194" s="10" t="n"/>
    </row>
    <row r="195">
      <c r="A195" s="15" t="n"/>
      <c r="B195" s="10" t="n"/>
      <c r="C195" s="10" t="n"/>
      <c r="D195" s="22" t="n"/>
      <c r="E195" s="18" t="n"/>
      <c r="F195" s="18" t="n"/>
      <c r="G195" s="23">
        <f>IF($E195="","",$E195-N($F195))</f>
        <v/>
      </c>
      <c r="H195" s="24">
        <f>IFERROR($G195/$E195,"")</f>
        <v/>
      </c>
      <c r="I195" s="25">
        <f>IF($A195="","",YEAR($A195)&amp;"-"&amp;RIGHT("0"&amp;MONTH($A195),2))</f>
        <v/>
      </c>
      <c r="J195" s="10" t="n"/>
    </row>
    <row r="196">
      <c r="A196" s="15" t="n"/>
      <c r="B196" s="10" t="n"/>
      <c r="C196" s="10" t="n"/>
      <c r="D196" s="22" t="n"/>
      <c r="E196" s="18" t="n"/>
      <c r="F196" s="18" t="n"/>
      <c r="G196" s="23">
        <f>IF($E196="","",$E196-N($F196))</f>
        <v/>
      </c>
      <c r="H196" s="24">
        <f>IFERROR($G196/$E196,"")</f>
        <v/>
      </c>
      <c r="I196" s="25">
        <f>IF($A196="","",YEAR($A196)&amp;"-"&amp;RIGHT("0"&amp;MONTH($A196),2))</f>
        <v/>
      </c>
      <c r="J196" s="10" t="n"/>
    </row>
    <row r="197">
      <c r="A197" s="15" t="n"/>
      <c r="B197" s="10" t="n"/>
      <c r="C197" s="10" t="n"/>
      <c r="D197" s="22" t="n"/>
      <c r="E197" s="18" t="n"/>
      <c r="F197" s="18" t="n"/>
      <c r="G197" s="23">
        <f>IF($E197="","",$E197-N($F197))</f>
        <v/>
      </c>
      <c r="H197" s="24">
        <f>IFERROR($G197/$E197,"")</f>
        <v/>
      </c>
      <c r="I197" s="25">
        <f>IF($A197="","",YEAR($A197)&amp;"-"&amp;RIGHT("0"&amp;MONTH($A197),2))</f>
        <v/>
      </c>
      <c r="J197" s="10" t="n"/>
    </row>
    <row r="198">
      <c r="A198" s="15" t="n"/>
      <c r="B198" s="10" t="n"/>
      <c r="C198" s="10" t="n"/>
      <c r="D198" s="22" t="n"/>
      <c r="E198" s="18" t="n"/>
      <c r="F198" s="18" t="n"/>
      <c r="G198" s="23">
        <f>IF($E198="","",$E198-N($F198))</f>
        <v/>
      </c>
      <c r="H198" s="24">
        <f>IFERROR($G198/$E198,"")</f>
        <v/>
      </c>
      <c r="I198" s="25">
        <f>IF($A198="","",YEAR($A198)&amp;"-"&amp;RIGHT("0"&amp;MONTH($A198),2))</f>
        <v/>
      </c>
      <c r="J198" s="10" t="n"/>
    </row>
    <row r="199">
      <c r="A199" s="15" t="n"/>
      <c r="B199" s="10" t="n"/>
      <c r="C199" s="10" t="n"/>
      <c r="D199" s="22" t="n"/>
      <c r="E199" s="18" t="n"/>
      <c r="F199" s="18" t="n"/>
      <c r="G199" s="23">
        <f>IF($E199="","",$E199-N($F199))</f>
        <v/>
      </c>
      <c r="H199" s="24">
        <f>IFERROR($G199/$E199,"")</f>
        <v/>
      </c>
      <c r="I199" s="25">
        <f>IF($A199="","",YEAR($A199)&amp;"-"&amp;RIGHT("0"&amp;MONTH($A199),2))</f>
        <v/>
      </c>
      <c r="J199" s="10" t="n"/>
    </row>
    <row r="200">
      <c r="A200" s="15" t="n"/>
      <c r="B200" s="10" t="n"/>
      <c r="C200" s="10" t="n"/>
      <c r="D200" s="22" t="n"/>
      <c r="E200" s="18" t="n"/>
      <c r="F200" s="18" t="n"/>
      <c r="G200" s="23">
        <f>IF($E200="","",$E200-N($F200))</f>
        <v/>
      </c>
      <c r="H200" s="24">
        <f>IFERROR($G200/$E200,"")</f>
        <v/>
      </c>
      <c r="I200" s="25">
        <f>IF($A200="","",YEAR($A200)&amp;"-"&amp;RIGHT("0"&amp;MONTH($A200),2))</f>
        <v/>
      </c>
      <c r="J200" s="10" t="n"/>
    </row>
    <row r="201">
      <c r="A201" s="15" t="n"/>
      <c r="B201" s="10" t="n"/>
      <c r="C201" s="10" t="n"/>
      <c r="D201" s="22" t="n"/>
      <c r="E201" s="18" t="n"/>
      <c r="F201" s="18" t="n"/>
      <c r="G201" s="23">
        <f>IF($E201="","",$E201-N($F201))</f>
        <v/>
      </c>
      <c r="H201" s="24">
        <f>IFERROR($G201/$E201,"")</f>
        <v/>
      </c>
      <c r="I201" s="25">
        <f>IF($A201="","",YEAR($A201)&amp;"-"&amp;RIGHT("0"&amp;MONTH($A201),2))</f>
        <v/>
      </c>
      <c r="J201" s="10" t="n"/>
    </row>
    <row r="202">
      <c r="A202" s="15" t="n"/>
      <c r="B202" s="10" t="n"/>
      <c r="C202" s="10" t="n"/>
      <c r="D202" s="22" t="n"/>
      <c r="E202" s="18" t="n"/>
      <c r="F202" s="18" t="n"/>
      <c r="G202" s="23">
        <f>IF($E202="","",$E202-N($F202))</f>
        <v/>
      </c>
      <c r="H202" s="24">
        <f>IFERROR($G202/$E202,"")</f>
        <v/>
      </c>
      <c r="I202" s="25">
        <f>IF($A202="","",YEAR($A202)&amp;"-"&amp;RIGHT("0"&amp;MONTH($A202),2))</f>
        <v/>
      </c>
      <c r="J202" s="10" t="n"/>
    </row>
    <row r="203">
      <c r="A203" s="15" t="n"/>
      <c r="B203" s="10" t="n"/>
      <c r="C203" s="10" t="n"/>
      <c r="D203" s="22" t="n"/>
      <c r="E203" s="18" t="n"/>
      <c r="F203" s="18" t="n"/>
      <c r="G203" s="23">
        <f>IF($E203="","",$E203-N($F203))</f>
        <v/>
      </c>
      <c r="H203" s="24">
        <f>IFERROR($G203/$E203,"")</f>
        <v/>
      </c>
      <c r="I203" s="25">
        <f>IF($A203="","",YEAR($A203)&amp;"-"&amp;RIGHT("0"&amp;MONTH($A203),2))</f>
        <v/>
      </c>
      <c r="J203" s="10" t="n"/>
    </row>
    <row r="204">
      <c r="A204" s="15" t="n"/>
      <c r="B204" s="10" t="n"/>
      <c r="C204" s="10" t="n"/>
      <c r="D204" s="22" t="n"/>
      <c r="E204" s="18" t="n"/>
      <c r="F204" s="18" t="n"/>
      <c r="G204" s="23">
        <f>IF($E204="","",$E204-N($F204))</f>
        <v/>
      </c>
      <c r="H204" s="24">
        <f>IFERROR($G204/$E204,"")</f>
        <v/>
      </c>
      <c r="I204" s="25">
        <f>IF($A204="","",YEAR($A204)&amp;"-"&amp;RIGHT("0"&amp;MONTH($A204),2))</f>
        <v/>
      </c>
      <c r="J204" s="10" t="n"/>
    </row>
    <row r="205">
      <c r="A205" s="15" t="n"/>
      <c r="B205" s="10" t="n"/>
      <c r="C205" s="10" t="n"/>
      <c r="D205" s="22" t="n"/>
      <c r="E205" s="18" t="n"/>
      <c r="F205" s="18" t="n"/>
      <c r="G205" s="23">
        <f>IF($E205="","",$E205-N($F205))</f>
        <v/>
      </c>
      <c r="H205" s="24">
        <f>IFERROR($G205/$E205,"")</f>
        <v/>
      </c>
      <c r="I205" s="25">
        <f>IF($A205="","",YEAR($A205)&amp;"-"&amp;RIGHT("0"&amp;MONTH($A205),2))</f>
        <v/>
      </c>
      <c r="J205" s="10" t="n"/>
    </row>
    <row r="206">
      <c r="A206" s="15" t="n"/>
      <c r="B206" s="10" t="n"/>
      <c r="C206" s="10" t="n"/>
      <c r="D206" s="22" t="n"/>
      <c r="E206" s="18" t="n"/>
      <c r="F206" s="18" t="n"/>
      <c r="G206" s="23">
        <f>IF($E206="","",$E206-N($F206))</f>
        <v/>
      </c>
      <c r="H206" s="24">
        <f>IFERROR($G206/$E206,"")</f>
        <v/>
      </c>
      <c r="I206" s="25">
        <f>IF($A206="","",YEAR($A206)&amp;"-"&amp;RIGHT("0"&amp;MONTH($A206),2))</f>
        <v/>
      </c>
      <c r="J206" s="10" t="n"/>
    </row>
    <row r="207">
      <c r="A207" s="15" t="n"/>
      <c r="B207" s="10" t="n"/>
      <c r="C207" s="10" t="n"/>
      <c r="D207" s="22" t="n"/>
      <c r="E207" s="18" t="n"/>
      <c r="F207" s="18" t="n"/>
      <c r="G207" s="23">
        <f>IF($E207="","",$E207-N($F207))</f>
        <v/>
      </c>
      <c r="H207" s="24">
        <f>IFERROR($G207/$E207,"")</f>
        <v/>
      </c>
      <c r="I207" s="25">
        <f>IF($A207="","",YEAR($A207)&amp;"-"&amp;RIGHT("0"&amp;MONTH($A207),2))</f>
        <v/>
      </c>
      <c r="J207" s="10" t="n"/>
    </row>
    <row r="208">
      <c r="A208" s="15" t="n"/>
      <c r="B208" s="10" t="n"/>
      <c r="C208" s="10" t="n"/>
      <c r="D208" s="22" t="n"/>
      <c r="E208" s="18" t="n"/>
      <c r="F208" s="18" t="n"/>
      <c r="G208" s="23">
        <f>IF($E208="","",$E208-N($F208))</f>
        <v/>
      </c>
      <c r="H208" s="24">
        <f>IFERROR($G208/$E208,"")</f>
        <v/>
      </c>
      <c r="I208" s="25">
        <f>IF($A208="","",YEAR($A208)&amp;"-"&amp;RIGHT("0"&amp;MONTH($A208),2))</f>
        <v/>
      </c>
      <c r="J208" s="10" t="n"/>
    </row>
    <row r="209">
      <c r="A209" s="15" t="n"/>
      <c r="B209" s="10" t="n"/>
      <c r="C209" s="10" t="n"/>
      <c r="D209" s="22" t="n"/>
      <c r="E209" s="18" t="n"/>
      <c r="F209" s="18" t="n"/>
      <c r="G209" s="23">
        <f>IF($E209="","",$E209-N($F209))</f>
        <v/>
      </c>
      <c r="H209" s="24">
        <f>IFERROR($G209/$E209,"")</f>
        <v/>
      </c>
      <c r="I209" s="25">
        <f>IF($A209="","",YEAR($A209)&amp;"-"&amp;RIGHT("0"&amp;MONTH($A209),2))</f>
        <v/>
      </c>
      <c r="J209" s="10" t="n"/>
    </row>
    <row r="210">
      <c r="A210" s="15" t="n"/>
      <c r="B210" s="10" t="n"/>
      <c r="C210" s="10" t="n"/>
      <c r="D210" s="22" t="n"/>
      <c r="E210" s="18" t="n"/>
      <c r="F210" s="18" t="n"/>
      <c r="G210" s="23">
        <f>IF($E210="","",$E210-N($F210))</f>
        <v/>
      </c>
      <c r="H210" s="24">
        <f>IFERROR($G210/$E210,"")</f>
        <v/>
      </c>
      <c r="I210" s="25">
        <f>IF($A210="","",YEAR($A210)&amp;"-"&amp;RIGHT("0"&amp;MONTH($A210),2))</f>
        <v/>
      </c>
      <c r="J210" s="10" t="n"/>
    </row>
    <row r="211">
      <c r="A211" s="15" t="n"/>
      <c r="B211" s="10" t="n"/>
      <c r="C211" s="10" t="n"/>
      <c r="D211" s="22" t="n"/>
      <c r="E211" s="18" t="n"/>
      <c r="F211" s="18" t="n"/>
      <c r="G211" s="23">
        <f>IF($E211="","",$E211-N($F211))</f>
        <v/>
      </c>
      <c r="H211" s="24">
        <f>IFERROR($G211/$E211,"")</f>
        <v/>
      </c>
      <c r="I211" s="25">
        <f>IF($A211="","",YEAR($A211)&amp;"-"&amp;RIGHT("0"&amp;MONTH($A211),2))</f>
        <v/>
      </c>
      <c r="J211" s="10" t="n"/>
    </row>
    <row r="212">
      <c r="A212" s="15" t="n"/>
      <c r="B212" s="10" t="n"/>
      <c r="C212" s="10" t="n"/>
      <c r="D212" s="22" t="n"/>
      <c r="E212" s="18" t="n"/>
      <c r="F212" s="18" t="n"/>
      <c r="G212" s="23">
        <f>IF($E212="","",$E212-N($F212))</f>
        <v/>
      </c>
      <c r="H212" s="24">
        <f>IFERROR($G212/$E212,"")</f>
        <v/>
      </c>
      <c r="I212" s="25">
        <f>IF($A212="","",YEAR($A212)&amp;"-"&amp;RIGHT("0"&amp;MONTH($A212),2))</f>
        <v/>
      </c>
      <c r="J212" s="10" t="n"/>
    </row>
    <row r="213">
      <c r="A213" s="15" t="n"/>
      <c r="B213" s="10" t="n"/>
      <c r="C213" s="10" t="n"/>
      <c r="D213" s="22" t="n"/>
      <c r="E213" s="18" t="n"/>
      <c r="F213" s="18" t="n"/>
      <c r="G213" s="23">
        <f>IF($E213="","",$E213-N($F213))</f>
        <v/>
      </c>
      <c r="H213" s="24">
        <f>IFERROR($G213/$E213,"")</f>
        <v/>
      </c>
      <c r="I213" s="25">
        <f>IF($A213="","",YEAR($A213)&amp;"-"&amp;RIGHT("0"&amp;MONTH($A213),2))</f>
        <v/>
      </c>
      <c r="J213" s="10" t="n"/>
    </row>
    <row r="214">
      <c r="A214" s="15" t="n"/>
      <c r="B214" s="10" t="n"/>
      <c r="C214" s="10" t="n"/>
      <c r="D214" s="22" t="n"/>
      <c r="E214" s="18" t="n"/>
      <c r="F214" s="18" t="n"/>
      <c r="G214" s="23">
        <f>IF($E214="","",$E214-N($F214))</f>
        <v/>
      </c>
      <c r="H214" s="24">
        <f>IFERROR($G214/$E214,"")</f>
        <v/>
      </c>
      <c r="I214" s="25">
        <f>IF($A214="","",YEAR($A214)&amp;"-"&amp;RIGHT("0"&amp;MONTH($A214),2))</f>
        <v/>
      </c>
      <c r="J214" s="10" t="n"/>
    </row>
    <row r="215">
      <c r="A215" s="15" t="n"/>
      <c r="B215" s="10" t="n"/>
      <c r="C215" s="10" t="n"/>
      <c r="D215" s="22" t="n"/>
      <c r="E215" s="18" t="n"/>
      <c r="F215" s="18" t="n"/>
      <c r="G215" s="23">
        <f>IF($E215="","",$E215-N($F215))</f>
        <v/>
      </c>
      <c r="H215" s="24">
        <f>IFERROR($G215/$E215,"")</f>
        <v/>
      </c>
      <c r="I215" s="25">
        <f>IF($A215="","",YEAR($A215)&amp;"-"&amp;RIGHT("0"&amp;MONTH($A215),2))</f>
        <v/>
      </c>
      <c r="J215" s="10" t="n"/>
    </row>
    <row r="216">
      <c r="A216" s="15" t="n"/>
      <c r="B216" s="10" t="n"/>
      <c r="C216" s="10" t="n"/>
      <c r="D216" s="22" t="n"/>
      <c r="E216" s="18" t="n"/>
      <c r="F216" s="18" t="n"/>
      <c r="G216" s="23">
        <f>IF($E216="","",$E216-N($F216))</f>
        <v/>
      </c>
      <c r="H216" s="24">
        <f>IFERROR($G216/$E216,"")</f>
        <v/>
      </c>
      <c r="I216" s="25">
        <f>IF($A216="","",YEAR($A216)&amp;"-"&amp;RIGHT("0"&amp;MONTH($A216),2))</f>
        <v/>
      </c>
      <c r="J216" s="10" t="n"/>
    </row>
    <row r="217">
      <c r="A217" s="15" t="n"/>
      <c r="B217" s="10" t="n"/>
      <c r="C217" s="10" t="n"/>
      <c r="D217" s="22" t="n"/>
      <c r="E217" s="18" t="n"/>
      <c r="F217" s="18" t="n"/>
      <c r="G217" s="23">
        <f>IF($E217="","",$E217-N($F217))</f>
        <v/>
      </c>
      <c r="H217" s="24">
        <f>IFERROR($G217/$E217,"")</f>
        <v/>
      </c>
      <c r="I217" s="25">
        <f>IF($A217="","",YEAR($A217)&amp;"-"&amp;RIGHT("0"&amp;MONTH($A217),2))</f>
        <v/>
      </c>
      <c r="J217" s="10" t="n"/>
    </row>
    <row r="218">
      <c r="A218" s="15" t="n"/>
      <c r="B218" s="10" t="n"/>
      <c r="C218" s="10" t="n"/>
      <c r="D218" s="22" t="n"/>
      <c r="E218" s="18" t="n"/>
      <c r="F218" s="18" t="n"/>
      <c r="G218" s="23">
        <f>IF($E218="","",$E218-N($F218))</f>
        <v/>
      </c>
      <c r="H218" s="24">
        <f>IFERROR($G218/$E218,"")</f>
        <v/>
      </c>
      <c r="I218" s="25">
        <f>IF($A218="","",YEAR($A218)&amp;"-"&amp;RIGHT("0"&amp;MONTH($A218),2))</f>
        <v/>
      </c>
      <c r="J218" s="10" t="n"/>
    </row>
    <row r="219">
      <c r="A219" s="15" t="n"/>
      <c r="B219" s="10" t="n"/>
      <c r="C219" s="10" t="n"/>
      <c r="D219" s="22" t="n"/>
      <c r="E219" s="18" t="n"/>
      <c r="F219" s="18" t="n"/>
      <c r="G219" s="23">
        <f>IF($E219="","",$E219-N($F219))</f>
        <v/>
      </c>
      <c r="H219" s="24">
        <f>IFERROR($G219/$E219,"")</f>
        <v/>
      </c>
      <c r="I219" s="25">
        <f>IF($A219="","",YEAR($A219)&amp;"-"&amp;RIGHT("0"&amp;MONTH($A219),2))</f>
        <v/>
      </c>
      <c r="J219" s="10" t="n"/>
    </row>
    <row r="220">
      <c r="A220" s="15" t="n"/>
      <c r="B220" s="10" t="n"/>
      <c r="C220" s="10" t="n"/>
      <c r="D220" s="22" t="n"/>
      <c r="E220" s="18" t="n"/>
      <c r="F220" s="18" t="n"/>
      <c r="G220" s="23">
        <f>IF($E220="","",$E220-N($F220))</f>
        <v/>
      </c>
      <c r="H220" s="24">
        <f>IFERROR($G220/$E220,"")</f>
        <v/>
      </c>
      <c r="I220" s="25">
        <f>IF($A220="","",YEAR($A220)&amp;"-"&amp;RIGHT("0"&amp;MONTH($A220),2))</f>
        <v/>
      </c>
      <c r="J220" s="10" t="n"/>
    </row>
    <row r="221">
      <c r="A221" s="15" t="n"/>
      <c r="B221" s="10" t="n"/>
      <c r="C221" s="10" t="n"/>
      <c r="D221" s="22" t="n"/>
      <c r="E221" s="18" t="n"/>
      <c r="F221" s="18" t="n"/>
      <c r="G221" s="23">
        <f>IF($E221="","",$E221-N($F221))</f>
        <v/>
      </c>
      <c r="H221" s="24">
        <f>IFERROR($G221/$E221,"")</f>
        <v/>
      </c>
      <c r="I221" s="25">
        <f>IF($A221="","",YEAR($A221)&amp;"-"&amp;RIGHT("0"&amp;MONTH($A221),2))</f>
        <v/>
      </c>
      <c r="J221" s="10" t="n"/>
    </row>
    <row r="222">
      <c r="A222" s="15" t="n"/>
      <c r="B222" s="10" t="n"/>
      <c r="C222" s="10" t="n"/>
      <c r="D222" s="22" t="n"/>
      <c r="E222" s="18" t="n"/>
      <c r="F222" s="18" t="n"/>
      <c r="G222" s="23">
        <f>IF($E222="","",$E222-N($F222))</f>
        <v/>
      </c>
      <c r="H222" s="24">
        <f>IFERROR($G222/$E222,"")</f>
        <v/>
      </c>
      <c r="I222" s="25">
        <f>IF($A222="","",YEAR($A222)&amp;"-"&amp;RIGHT("0"&amp;MONTH($A222),2))</f>
        <v/>
      </c>
      <c r="J222" s="10" t="n"/>
    </row>
    <row r="223">
      <c r="A223" s="15" t="n"/>
      <c r="B223" s="10" t="n"/>
      <c r="C223" s="10" t="n"/>
      <c r="D223" s="22" t="n"/>
      <c r="E223" s="18" t="n"/>
      <c r="F223" s="18" t="n"/>
      <c r="G223" s="23">
        <f>IF($E223="","",$E223-N($F223))</f>
        <v/>
      </c>
      <c r="H223" s="24">
        <f>IFERROR($G223/$E223,"")</f>
        <v/>
      </c>
      <c r="I223" s="25">
        <f>IF($A223="","",YEAR($A223)&amp;"-"&amp;RIGHT("0"&amp;MONTH($A223),2))</f>
        <v/>
      </c>
      <c r="J223" s="10" t="n"/>
    </row>
    <row r="224">
      <c r="A224" s="15" t="n"/>
      <c r="B224" s="10" t="n"/>
      <c r="C224" s="10" t="n"/>
      <c r="D224" s="22" t="n"/>
      <c r="E224" s="18" t="n"/>
      <c r="F224" s="18" t="n"/>
      <c r="G224" s="23">
        <f>IF($E224="","",$E224-N($F224))</f>
        <v/>
      </c>
      <c r="H224" s="24">
        <f>IFERROR($G224/$E224,"")</f>
        <v/>
      </c>
      <c r="I224" s="25">
        <f>IF($A224="","",YEAR($A224)&amp;"-"&amp;RIGHT("0"&amp;MONTH($A224),2))</f>
        <v/>
      </c>
      <c r="J224" s="10" t="n"/>
    </row>
    <row r="225">
      <c r="A225" s="15" t="n"/>
      <c r="B225" s="10" t="n"/>
      <c r="C225" s="10" t="n"/>
      <c r="D225" s="22" t="n"/>
      <c r="E225" s="18" t="n"/>
      <c r="F225" s="18" t="n"/>
      <c r="G225" s="23">
        <f>IF($E225="","",$E225-N($F225))</f>
        <v/>
      </c>
      <c r="H225" s="24">
        <f>IFERROR($G225/$E225,"")</f>
        <v/>
      </c>
      <c r="I225" s="25">
        <f>IF($A225="","",YEAR($A225)&amp;"-"&amp;RIGHT("0"&amp;MONTH($A225),2))</f>
        <v/>
      </c>
      <c r="J225" s="10" t="n"/>
    </row>
    <row r="226">
      <c r="A226" s="15" t="n"/>
      <c r="B226" s="10" t="n"/>
      <c r="C226" s="10" t="n"/>
      <c r="D226" s="22" t="n"/>
      <c r="E226" s="18" t="n"/>
      <c r="F226" s="18" t="n"/>
      <c r="G226" s="23">
        <f>IF($E226="","",$E226-N($F226))</f>
        <v/>
      </c>
      <c r="H226" s="24">
        <f>IFERROR($G226/$E226,"")</f>
        <v/>
      </c>
      <c r="I226" s="25">
        <f>IF($A226="","",YEAR($A226)&amp;"-"&amp;RIGHT("0"&amp;MONTH($A226),2))</f>
        <v/>
      </c>
      <c r="J226" s="10" t="n"/>
    </row>
    <row r="227">
      <c r="A227" s="15" t="n"/>
      <c r="B227" s="10" t="n"/>
      <c r="C227" s="10" t="n"/>
      <c r="D227" s="22" t="n"/>
      <c r="E227" s="18" t="n"/>
      <c r="F227" s="18" t="n"/>
      <c r="G227" s="23">
        <f>IF($E227="","",$E227-N($F227))</f>
        <v/>
      </c>
      <c r="H227" s="24">
        <f>IFERROR($G227/$E227,"")</f>
        <v/>
      </c>
      <c r="I227" s="25">
        <f>IF($A227="","",YEAR($A227)&amp;"-"&amp;RIGHT("0"&amp;MONTH($A227),2))</f>
        <v/>
      </c>
      <c r="J227" s="10" t="n"/>
    </row>
    <row r="228">
      <c r="A228" s="15" t="n"/>
      <c r="B228" s="10" t="n"/>
      <c r="C228" s="10" t="n"/>
      <c r="D228" s="22" t="n"/>
      <c r="E228" s="18" t="n"/>
      <c r="F228" s="18" t="n"/>
      <c r="G228" s="23">
        <f>IF($E228="","",$E228-N($F228))</f>
        <v/>
      </c>
      <c r="H228" s="24">
        <f>IFERROR($G228/$E228,"")</f>
        <v/>
      </c>
      <c r="I228" s="25">
        <f>IF($A228="","",YEAR($A228)&amp;"-"&amp;RIGHT("0"&amp;MONTH($A228),2))</f>
        <v/>
      </c>
      <c r="J228" s="10" t="n"/>
    </row>
    <row r="229">
      <c r="A229" s="15" t="n"/>
      <c r="B229" s="10" t="n"/>
      <c r="C229" s="10" t="n"/>
      <c r="D229" s="22" t="n"/>
      <c r="E229" s="18" t="n"/>
      <c r="F229" s="18" t="n"/>
      <c r="G229" s="23">
        <f>IF($E229="","",$E229-N($F229))</f>
        <v/>
      </c>
      <c r="H229" s="24">
        <f>IFERROR($G229/$E229,"")</f>
        <v/>
      </c>
      <c r="I229" s="25">
        <f>IF($A229="","",YEAR($A229)&amp;"-"&amp;RIGHT("0"&amp;MONTH($A229),2))</f>
        <v/>
      </c>
      <c r="J229" s="10" t="n"/>
    </row>
    <row r="230">
      <c r="A230" s="15" t="n"/>
      <c r="B230" s="10" t="n"/>
      <c r="C230" s="10" t="n"/>
      <c r="D230" s="22" t="n"/>
      <c r="E230" s="18" t="n"/>
      <c r="F230" s="18" t="n"/>
      <c r="G230" s="23">
        <f>IF($E230="","",$E230-N($F230))</f>
        <v/>
      </c>
      <c r="H230" s="24">
        <f>IFERROR($G230/$E230,"")</f>
        <v/>
      </c>
      <c r="I230" s="25">
        <f>IF($A230="","",YEAR($A230)&amp;"-"&amp;RIGHT("0"&amp;MONTH($A230),2))</f>
        <v/>
      </c>
      <c r="J230" s="10" t="n"/>
    </row>
    <row r="231">
      <c r="A231" s="15" t="n"/>
      <c r="B231" s="10" t="n"/>
      <c r="C231" s="10" t="n"/>
      <c r="D231" s="22" t="n"/>
      <c r="E231" s="18" t="n"/>
      <c r="F231" s="18" t="n"/>
      <c r="G231" s="23">
        <f>IF($E231="","",$E231-N($F231))</f>
        <v/>
      </c>
      <c r="H231" s="24">
        <f>IFERROR($G231/$E231,"")</f>
        <v/>
      </c>
      <c r="I231" s="25">
        <f>IF($A231="","",YEAR($A231)&amp;"-"&amp;RIGHT("0"&amp;MONTH($A231),2))</f>
        <v/>
      </c>
      <c r="J231" s="10" t="n"/>
    </row>
    <row r="232">
      <c r="A232" s="15" t="n"/>
      <c r="B232" s="10" t="n"/>
      <c r="C232" s="10" t="n"/>
      <c r="D232" s="22" t="n"/>
      <c r="E232" s="18" t="n"/>
      <c r="F232" s="18" t="n"/>
      <c r="G232" s="23">
        <f>IF($E232="","",$E232-N($F232))</f>
        <v/>
      </c>
      <c r="H232" s="24">
        <f>IFERROR($G232/$E232,"")</f>
        <v/>
      </c>
      <c r="I232" s="25">
        <f>IF($A232="","",YEAR($A232)&amp;"-"&amp;RIGHT("0"&amp;MONTH($A232),2))</f>
        <v/>
      </c>
      <c r="J232" s="10" t="n"/>
    </row>
    <row r="233">
      <c r="A233" s="15" t="n"/>
      <c r="B233" s="10" t="n"/>
      <c r="C233" s="10" t="n"/>
      <c r="D233" s="22" t="n"/>
      <c r="E233" s="18" t="n"/>
      <c r="F233" s="18" t="n"/>
      <c r="G233" s="23">
        <f>IF($E233="","",$E233-N($F233))</f>
        <v/>
      </c>
      <c r="H233" s="24">
        <f>IFERROR($G233/$E233,"")</f>
        <v/>
      </c>
      <c r="I233" s="25">
        <f>IF($A233="","",YEAR($A233)&amp;"-"&amp;RIGHT("0"&amp;MONTH($A233),2))</f>
        <v/>
      </c>
      <c r="J233" s="10" t="n"/>
    </row>
    <row r="234">
      <c r="A234" s="15" t="n"/>
      <c r="B234" s="10" t="n"/>
      <c r="C234" s="10" t="n"/>
      <c r="D234" s="22" t="n"/>
      <c r="E234" s="18" t="n"/>
      <c r="F234" s="18" t="n"/>
      <c r="G234" s="23">
        <f>IF($E234="","",$E234-N($F234))</f>
        <v/>
      </c>
      <c r="H234" s="24">
        <f>IFERROR($G234/$E234,"")</f>
        <v/>
      </c>
      <c r="I234" s="25">
        <f>IF($A234="","",YEAR($A234)&amp;"-"&amp;RIGHT("0"&amp;MONTH($A234),2))</f>
        <v/>
      </c>
      <c r="J234" s="10" t="n"/>
    </row>
    <row r="235">
      <c r="A235" s="15" t="n"/>
      <c r="B235" s="10" t="n"/>
      <c r="C235" s="10" t="n"/>
      <c r="D235" s="22" t="n"/>
      <c r="E235" s="18" t="n"/>
      <c r="F235" s="18" t="n"/>
      <c r="G235" s="23">
        <f>IF($E235="","",$E235-N($F235))</f>
        <v/>
      </c>
      <c r="H235" s="24">
        <f>IFERROR($G235/$E235,"")</f>
        <v/>
      </c>
      <c r="I235" s="25">
        <f>IF($A235="","",YEAR($A235)&amp;"-"&amp;RIGHT("0"&amp;MONTH($A235),2))</f>
        <v/>
      </c>
      <c r="J235" s="10" t="n"/>
    </row>
    <row r="236">
      <c r="A236" s="15" t="n"/>
      <c r="B236" s="10" t="n"/>
      <c r="C236" s="10" t="n"/>
      <c r="D236" s="22" t="n"/>
      <c r="E236" s="18" t="n"/>
      <c r="F236" s="18" t="n"/>
      <c r="G236" s="23">
        <f>IF($E236="","",$E236-N($F236))</f>
        <v/>
      </c>
      <c r="H236" s="24">
        <f>IFERROR($G236/$E236,"")</f>
        <v/>
      </c>
      <c r="I236" s="25">
        <f>IF($A236="","",YEAR($A236)&amp;"-"&amp;RIGHT("0"&amp;MONTH($A236),2))</f>
        <v/>
      </c>
      <c r="J236" s="10" t="n"/>
    </row>
    <row r="237">
      <c r="A237" s="15" t="n"/>
      <c r="B237" s="10" t="n"/>
      <c r="C237" s="10" t="n"/>
      <c r="D237" s="22" t="n"/>
      <c r="E237" s="18" t="n"/>
      <c r="F237" s="18" t="n"/>
      <c r="G237" s="23">
        <f>IF($E237="","",$E237-N($F237))</f>
        <v/>
      </c>
      <c r="H237" s="24">
        <f>IFERROR($G237/$E237,"")</f>
        <v/>
      </c>
      <c r="I237" s="25">
        <f>IF($A237="","",YEAR($A237)&amp;"-"&amp;RIGHT("0"&amp;MONTH($A237),2))</f>
        <v/>
      </c>
      <c r="J237" s="10" t="n"/>
    </row>
    <row r="238">
      <c r="A238" s="15" t="n"/>
      <c r="B238" s="10" t="n"/>
      <c r="C238" s="10" t="n"/>
      <c r="D238" s="22" t="n"/>
      <c r="E238" s="18" t="n"/>
      <c r="F238" s="18" t="n"/>
      <c r="G238" s="23">
        <f>IF($E238="","",$E238-N($F238))</f>
        <v/>
      </c>
      <c r="H238" s="24">
        <f>IFERROR($G238/$E238,"")</f>
        <v/>
      </c>
      <c r="I238" s="25">
        <f>IF($A238="","",YEAR($A238)&amp;"-"&amp;RIGHT("0"&amp;MONTH($A238),2))</f>
        <v/>
      </c>
      <c r="J238" s="10" t="n"/>
    </row>
    <row r="239">
      <c r="A239" s="15" t="n"/>
      <c r="B239" s="10" t="n"/>
      <c r="C239" s="10" t="n"/>
      <c r="D239" s="22" t="n"/>
      <c r="E239" s="18" t="n"/>
      <c r="F239" s="18" t="n"/>
      <c r="G239" s="23">
        <f>IF($E239="","",$E239-N($F239))</f>
        <v/>
      </c>
      <c r="H239" s="24">
        <f>IFERROR($G239/$E239,"")</f>
        <v/>
      </c>
      <c r="I239" s="25">
        <f>IF($A239="","",YEAR($A239)&amp;"-"&amp;RIGHT("0"&amp;MONTH($A239),2))</f>
        <v/>
      </c>
      <c r="J239" s="10" t="n"/>
    </row>
    <row r="240">
      <c r="A240" s="15" t="n"/>
      <c r="B240" s="10" t="n"/>
      <c r="C240" s="10" t="n"/>
      <c r="D240" s="22" t="n"/>
      <c r="E240" s="18" t="n"/>
      <c r="F240" s="18" t="n"/>
      <c r="G240" s="23">
        <f>IF($E240="","",$E240-N($F240))</f>
        <v/>
      </c>
      <c r="H240" s="24">
        <f>IFERROR($G240/$E240,"")</f>
        <v/>
      </c>
      <c r="I240" s="25">
        <f>IF($A240="","",YEAR($A240)&amp;"-"&amp;RIGHT("0"&amp;MONTH($A240),2))</f>
        <v/>
      </c>
      <c r="J240" s="10" t="n"/>
    </row>
    <row r="241">
      <c r="A241" s="15" t="n"/>
      <c r="B241" s="10" t="n"/>
      <c r="C241" s="10" t="n"/>
      <c r="D241" s="22" t="n"/>
      <c r="E241" s="18" t="n"/>
      <c r="F241" s="18" t="n"/>
      <c r="G241" s="23">
        <f>IF($E241="","",$E241-N($F241))</f>
        <v/>
      </c>
      <c r="H241" s="24">
        <f>IFERROR($G241/$E241,"")</f>
        <v/>
      </c>
      <c r="I241" s="25">
        <f>IF($A241="","",YEAR($A241)&amp;"-"&amp;RIGHT("0"&amp;MONTH($A241),2))</f>
        <v/>
      </c>
      <c r="J241" s="10" t="n"/>
    </row>
    <row r="242">
      <c r="A242" s="15" t="n"/>
      <c r="B242" s="10" t="n"/>
      <c r="C242" s="10" t="n"/>
      <c r="D242" s="22" t="n"/>
      <c r="E242" s="18" t="n"/>
      <c r="F242" s="18" t="n"/>
      <c r="G242" s="23">
        <f>IF($E242="","",$E242-N($F242))</f>
        <v/>
      </c>
      <c r="H242" s="24">
        <f>IFERROR($G242/$E242,"")</f>
        <v/>
      </c>
      <c r="I242" s="25">
        <f>IF($A242="","",YEAR($A242)&amp;"-"&amp;RIGHT("0"&amp;MONTH($A242),2))</f>
        <v/>
      </c>
      <c r="J242" s="10" t="n"/>
    </row>
    <row r="243">
      <c r="A243" s="15" t="n"/>
      <c r="B243" s="10" t="n"/>
      <c r="C243" s="10" t="n"/>
      <c r="D243" s="22" t="n"/>
      <c r="E243" s="18" t="n"/>
      <c r="F243" s="18" t="n"/>
      <c r="G243" s="23">
        <f>IF($E243="","",$E243-N($F243))</f>
        <v/>
      </c>
      <c r="H243" s="24">
        <f>IFERROR($G243/$E243,"")</f>
        <v/>
      </c>
      <c r="I243" s="25">
        <f>IF($A243="","",YEAR($A243)&amp;"-"&amp;RIGHT("0"&amp;MONTH($A243),2))</f>
        <v/>
      </c>
      <c r="J243" s="10" t="n"/>
    </row>
    <row r="244">
      <c r="A244" s="15" t="n"/>
      <c r="B244" s="10" t="n"/>
      <c r="C244" s="10" t="n"/>
      <c r="D244" s="22" t="n"/>
      <c r="E244" s="18" t="n"/>
      <c r="F244" s="18" t="n"/>
      <c r="G244" s="23">
        <f>IF($E244="","",$E244-N($F244))</f>
        <v/>
      </c>
      <c r="H244" s="24">
        <f>IFERROR($G244/$E244,"")</f>
        <v/>
      </c>
      <c r="I244" s="25">
        <f>IF($A244="","",YEAR($A244)&amp;"-"&amp;RIGHT("0"&amp;MONTH($A244),2))</f>
        <v/>
      </c>
      <c r="J244" s="10" t="n"/>
    </row>
    <row r="245">
      <c r="A245" s="15" t="n"/>
      <c r="B245" s="10" t="n"/>
      <c r="C245" s="10" t="n"/>
      <c r="D245" s="22" t="n"/>
      <c r="E245" s="18" t="n"/>
      <c r="F245" s="18" t="n"/>
      <c r="G245" s="23">
        <f>IF($E245="","",$E245-N($F245))</f>
        <v/>
      </c>
      <c r="H245" s="24">
        <f>IFERROR($G245/$E245,"")</f>
        <v/>
      </c>
      <c r="I245" s="25">
        <f>IF($A245="","",YEAR($A245)&amp;"-"&amp;RIGHT("0"&amp;MONTH($A245),2))</f>
        <v/>
      </c>
      <c r="J245" s="10" t="n"/>
    </row>
    <row r="246">
      <c r="A246" s="15" t="n"/>
      <c r="B246" s="10" t="n"/>
      <c r="C246" s="10" t="n"/>
      <c r="D246" s="22" t="n"/>
      <c r="E246" s="18" t="n"/>
      <c r="F246" s="18" t="n"/>
      <c r="G246" s="23">
        <f>IF($E246="","",$E246-N($F246))</f>
        <v/>
      </c>
      <c r="H246" s="24">
        <f>IFERROR($G246/$E246,"")</f>
        <v/>
      </c>
      <c r="I246" s="25">
        <f>IF($A246="","",YEAR($A246)&amp;"-"&amp;RIGHT("0"&amp;MONTH($A246),2))</f>
        <v/>
      </c>
      <c r="J246" s="10" t="n"/>
    </row>
    <row r="247">
      <c r="A247" s="15" t="n"/>
      <c r="B247" s="10" t="n"/>
      <c r="C247" s="10" t="n"/>
      <c r="D247" s="22" t="n"/>
      <c r="E247" s="18" t="n"/>
      <c r="F247" s="18" t="n"/>
      <c r="G247" s="23">
        <f>IF($E247="","",$E247-N($F247))</f>
        <v/>
      </c>
      <c r="H247" s="24">
        <f>IFERROR($G247/$E247,"")</f>
        <v/>
      </c>
      <c r="I247" s="25">
        <f>IF($A247="","",YEAR($A247)&amp;"-"&amp;RIGHT("0"&amp;MONTH($A247),2))</f>
        <v/>
      </c>
      <c r="J247" s="10" t="n"/>
    </row>
    <row r="248">
      <c r="A248" s="15" t="n"/>
      <c r="B248" s="10" t="n"/>
      <c r="C248" s="10" t="n"/>
      <c r="D248" s="22" t="n"/>
      <c r="E248" s="18" t="n"/>
      <c r="F248" s="18" t="n"/>
      <c r="G248" s="23">
        <f>IF($E248="","",$E248-N($F248))</f>
        <v/>
      </c>
      <c r="H248" s="24">
        <f>IFERROR($G248/$E248,"")</f>
        <v/>
      </c>
      <c r="I248" s="25">
        <f>IF($A248="","",YEAR($A248)&amp;"-"&amp;RIGHT("0"&amp;MONTH($A248),2))</f>
        <v/>
      </c>
      <c r="J248" s="10" t="n"/>
    </row>
    <row r="249">
      <c r="A249" s="15" t="n"/>
      <c r="B249" s="10" t="n"/>
      <c r="C249" s="10" t="n"/>
      <c r="D249" s="22" t="n"/>
      <c r="E249" s="18" t="n"/>
      <c r="F249" s="18" t="n"/>
      <c r="G249" s="23">
        <f>IF($E249="","",$E249-N($F249))</f>
        <v/>
      </c>
      <c r="H249" s="24">
        <f>IFERROR($G249/$E249,"")</f>
        <v/>
      </c>
      <c r="I249" s="25">
        <f>IF($A249="","",YEAR($A249)&amp;"-"&amp;RIGHT("0"&amp;MONTH($A249),2))</f>
        <v/>
      </c>
      <c r="J249" s="10" t="n"/>
    </row>
    <row r="250">
      <c r="A250" s="15" t="n"/>
      <c r="B250" s="10" t="n"/>
      <c r="C250" s="10" t="n"/>
      <c r="D250" s="22" t="n"/>
      <c r="E250" s="18" t="n"/>
      <c r="F250" s="18" t="n"/>
      <c r="G250" s="23">
        <f>IF($E250="","",$E250-N($F250))</f>
        <v/>
      </c>
      <c r="H250" s="24">
        <f>IFERROR($G250/$E250,"")</f>
        <v/>
      </c>
      <c r="I250" s="25">
        <f>IF($A250="","",YEAR($A250)&amp;"-"&amp;RIGHT("0"&amp;MONTH($A250),2))</f>
        <v/>
      </c>
      <c r="J250" s="10" t="n"/>
    </row>
    <row r="251">
      <c r="A251" s="15" t="n"/>
      <c r="B251" s="10" t="n"/>
      <c r="C251" s="10" t="n"/>
      <c r="D251" s="22" t="n"/>
      <c r="E251" s="18" t="n"/>
      <c r="F251" s="18" t="n"/>
      <c r="G251" s="23">
        <f>IF($E251="","",$E251-N($F251))</f>
        <v/>
      </c>
      <c r="H251" s="24">
        <f>IFERROR($G251/$E251,"")</f>
        <v/>
      </c>
      <c r="I251" s="25">
        <f>IF($A251="","",YEAR($A251)&amp;"-"&amp;RIGHT("0"&amp;MONTH($A251),2))</f>
        <v/>
      </c>
      <c r="J251" s="10" t="n"/>
    </row>
    <row r="252">
      <c r="A252" s="15" t="n"/>
      <c r="B252" s="10" t="n"/>
      <c r="C252" s="10" t="n"/>
      <c r="D252" s="22" t="n"/>
      <c r="E252" s="18" t="n"/>
      <c r="F252" s="18" t="n"/>
      <c r="G252" s="23">
        <f>IF($E252="","",$E252-N($F252))</f>
        <v/>
      </c>
      <c r="H252" s="24">
        <f>IFERROR($G252/$E252,"")</f>
        <v/>
      </c>
      <c r="I252" s="25">
        <f>IF($A252="","",YEAR($A252)&amp;"-"&amp;RIGHT("0"&amp;MONTH($A252),2))</f>
        <v/>
      </c>
      <c r="J252" s="10" t="n"/>
    </row>
    <row r="253">
      <c r="A253" s="15" t="n"/>
      <c r="B253" s="10" t="n"/>
      <c r="C253" s="10" t="n"/>
      <c r="D253" s="22" t="n"/>
      <c r="E253" s="18" t="n"/>
      <c r="F253" s="18" t="n"/>
      <c r="G253" s="23">
        <f>IF($E253="","",$E253-N($F253))</f>
        <v/>
      </c>
      <c r="H253" s="24">
        <f>IFERROR($G253/$E253,"")</f>
        <v/>
      </c>
      <c r="I253" s="25">
        <f>IF($A253="","",YEAR($A253)&amp;"-"&amp;RIGHT("0"&amp;MONTH($A253),2))</f>
        <v/>
      </c>
      <c r="J253" s="10" t="n"/>
    </row>
    <row r="254">
      <c r="A254" s="15" t="n"/>
      <c r="B254" s="10" t="n"/>
      <c r="C254" s="10" t="n"/>
      <c r="D254" s="22" t="n"/>
      <c r="E254" s="18" t="n"/>
      <c r="F254" s="18" t="n"/>
      <c r="G254" s="23">
        <f>IF($E254="","",$E254-N($F254))</f>
        <v/>
      </c>
      <c r="H254" s="24">
        <f>IFERROR($G254/$E254,"")</f>
        <v/>
      </c>
      <c r="I254" s="25">
        <f>IF($A254="","",YEAR($A254)&amp;"-"&amp;RIGHT("0"&amp;MONTH($A254),2))</f>
        <v/>
      </c>
      <c r="J254" s="10" t="n"/>
    </row>
    <row r="255">
      <c r="A255" s="15" t="n"/>
      <c r="B255" s="10" t="n"/>
      <c r="C255" s="10" t="n"/>
      <c r="D255" s="22" t="n"/>
      <c r="E255" s="18" t="n"/>
      <c r="F255" s="18" t="n"/>
      <c r="G255" s="23">
        <f>IF($E255="","",$E255-N($F255))</f>
        <v/>
      </c>
      <c r="H255" s="24">
        <f>IFERROR($G255/$E255,"")</f>
        <v/>
      </c>
      <c r="I255" s="25">
        <f>IF($A255="","",YEAR($A255)&amp;"-"&amp;RIGHT("0"&amp;MONTH($A255),2))</f>
        <v/>
      </c>
      <c r="J255" s="10" t="n"/>
    </row>
    <row r="256">
      <c r="A256" s="15" t="n"/>
      <c r="B256" s="10" t="n"/>
      <c r="C256" s="10" t="n"/>
      <c r="D256" s="22" t="n"/>
      <c r="E256" s="18" t="n"/>
      <c r="F256" s="18" t="n"/>
      <c r="G256" s="23">
        <f>IF($E256="","",$E256-N($F256))</f>
        <v/>
      </c>
      <c r="H256" s="24">
        <f>IFERROR($G256/$E256,"")</f>
        <v/>
      </c>
      <c r="I256" s="25">
        <f>IF($A256="","",YEAR($A256)&amp;"-"&amp;RIGHT("0"&amp;MONTH($A256),2))</f>
        <v/>
      </c>
      <c r="J256" s="10" t="n"/>
    </row>
    <row r="257">
      <c r="A257" s="15" t="n"/>
      <c r="B257" s="10" t="n"/>
      <c r="C257" s="10" t="n"/>
      <c r="D257" s="22" t="n"/>
      <c r="E257" s="18" t="n"/>
      <c r="F257" s="18" t="n"/>
      <c r="G257" s="23">
        <f>IF($E257="","",$E257-N($F257))</f>
        <v/>
      </c>
      <c r="H257" s="24">
        <f>IFERROR($G257/$E257,"")</f>
        <v/>
      </c>
      <c r="I257" s="25">
        <f>IF($A257="","",YEAR($A257)&amp;"-"&amp;RIGHT("0"&amp;MONTH($A257),2))</f>
        <v/>
      </c>
      <c r="J257" s="10" t="n"/>
    </row>
    <row r="258">
      <c r="A258" s="15" t="n"/>
      <c r="B258" s="10" t="n"/>
      <c r="C258" s="10" t="n"/>
      <c r="D258" s="22" t="n"/>
      <c r="E258" s="18" t="n"/>
      <c r="F258" s="18" t="n"/>
      <c r="G258" s="23">
        <f>IF($E258="","",$E258-N($F258))</f>
        <v/>
      </c>
      <c r="H258" s="24">
        <f>IFERROR($G258/$E258,"")</f>
        <v/>
      </c>
      <c r="I258" s="25">
        <f>IF($A258="","",YEAR($A258)&amp;"-"&amp;RIGHT("0"&amp;MONTH($A258),2))</f>
        <v/>
      </c>
      <c r="J258" s="10" t="n"/>
    </row>
    <row r="259">
      <c r="A259" s="15" t="n"/>
      <c r="B259" s="10" t="n"/>
      <c r="C259" s="10" t="n"/>
      <c r="D259" s="22" t="n"/>
      <c r="E259" s="18" t="n"/>
      <c r="F259" s="18" t="n"/>
      <c r="G259" s="23">
        <f>IF($E259="","",$E259-N($F259))</f>
        <v/>
      </c>
      <c r="H259" s="24">
        <f>IFERROR($G259/$E259,"")</f>
        <v/>
      </c>
      <c r="I259" s="25">
        <f>IF($A259="","",YEAR($A259)&amp;"-"&amp;RIGHT("0"&amp;MONTH($A259),2))</f>
        <v/>
      </c>
      <c r="J259" s="10" t="n"/>
    </row>
    <row r="260">
      <c r="A260" s="15" t="n"/>
      <c r="B260" s="10" t="n"/>
      <c r="C260" s="10" t="n"/>
      <c r="D260" s="22" t="n"/>
      <c r="E260" s="18" t="n"/>
      <c r="F260" s="18" t="n"/>
      <c r="G260" s="23">
        <f>IF($E260="","",$E260-N($F260))</f>
        <v/>
      </c>
      <c r="H260" s="24">
        <f>IFERROR($G260/$E260,"")</f>
        <v/>
      </c>
      <c r="I260" s="25">
        <f>IF($A260="","",YEAR($A260)&amp;"-"&amp;RIGHT("0"&amp;MONTH($A260),2))</f>
        <v/>
      </c>
      <c r="J260" s="10" t="n"/>
    </row>
    <row r="261">
      <c r="A261" s="15" t="n"/>
      <c r="B261" s="10" t="n"/>
      <c r="C261" s="10" t="n"/>
      <c r="D261" s="22" t="n"/>
      <c r="E261" s="18" t="n"/>
      <c r="F261" s="18" t="n"/>
      <c r="G261" s="23">
        <f>IF($E261="","",$E261-N($F261))</f>
        <v/>
      </c>
      <c r="H261" s="24">
        <f>IFERROR($G261/$E261,"")</f>
        <v/>
      </c>
      <c r="I261" s="25">
        <f>IF($A261="","",YEAR($A261)&amp;"-"&amp;RIGHT("0"&amp;MONTH($A261),2))</f>
        <v/>
      </c>
      <c r="J261" s="10" t="n"/>
    </row>
    <row r="262">
      <c r="A262" s="15" t="n"/>
      <c r="B262" s="10" t="n"/>
      <c r="C262" s="10" t="n"/>
      <c r="D262" s="22" t="n"/>
      <c r="E262" s="18" t="n"/>
      <c r="F262" s="18" t="n"/>
      <c r="G262" s="23">
        <f>IF($E262="","",$E262-N($F262))</f>
        <v/>
      </c>
      <c r="H262" s="24">
        <f>IFERROR($G262/$E262,"")</f>
        <v/>
      </c>
      <c r="I262" s="25">
        <f>IF($A262="","",YEAR($A262)&amp;"-"&amp;RIGHT("0"&amp;MONTH($A262),2))</f>
        <v/>
      </c>
      <c r="J262" s="10" t="n"/>
    </row>
    <row r="263">
      <c r="A263" s="15" t="n"/>
      <c r="B263" s="10" t="n"/>
      <c r="C263" s="10" t="n"/>
      <c r="D263" s="22" t="n"/>
      <c r="E263" s="18" t="n"/>
      <c r="F263" s="18" t="n"/>
      <c r="G263" s="23">
        <f>IF($E263="","",$E263-N($F263))</f>
        <v/>
      </c>
      <c r="H263" s="24">
        <f>IFERROR($G263/$E263,"")</f>
        <v/>
      </c>
      <c r="I263" s="25">
        <f>IF($A263="","",YEAR($A263)&amp;"-"&amp;RIGHT("0"&amp;MONTH($A263),2))</f>
        <v/>
      </c>
      <c r="J263" s="10" t="n"/>
    </row>
    <row r="264">
      <c r="A264" s="15" t="n"/>
      <c r="B264" s="10" t="n"/>
      <c r="C264" s="10" t="n"/>
      <c r="D264" s="22" t="n"/>
      <c r="E264" s="18" t="n"/>
      <c r="F264" s="18" t="n"/>
      <c r="G264" s="23">
        <f>IF($E264="","",$E264-N($F264))</f>
        <v/>
      </c>
      <c r="H264" s="24">
        <f>IFERROR($G264/$E264,"")</f>
        <v/>
      </c>
      <c r="I264" s="25">
        <f>IF($A264="","",YEAR($A264)&amp;"-"&amp;RIGHT("0"&amp;MONTH($A264),2))</f>
        <v/>
      </c>
      <c r="J264" s="10" t="n"/>
    </row>
    <row r="265">
      <c r="A265" s="15" t="n"/>
      <c r="B265" s="10" t="n"/>
      <c r="C265" s="10" t="n"/>
      <c r="D265" s="22" t="n"/>
      <c r="E265" s="18" t="n"/>
      <c r="F265" s="18" t="n"/>
      <c r="G265" s="23">
        <f>IF($E265="","",$E265-N($F265))</f>
        <v/>
      </c>
      <c r="H265" s="24">
        <f>IFERROR($G265/$E265,"")</f>
        <v/>
      </c>
      <c r="I265" s="25">
        <f>IF($A265="","",YEAR($A265)&amp;"-"&amp;RIGHT("0"&amp;MONTH($A265),2))</f>
        <v/>
      </c>
      <c r="J265" s="10" t="n"/>
    </row>
    <row r="266">
      <c r="A266" s="15" t="n"/>
      <c r="B266" s="10" t="n"/>
      <c r="C266" s="10" t="n"/>
      <c r="D266" s="22" t="n"/>
      <c r="E266" s="18" t="n"/>
      <c r="F266" s="18" t="n"/>
      <c r="G266" s="23">
        <f>IF($E266="","",$E266-N($F266))</f>
        <v/>
      </c>
      <c r="H266" s="24">
        <f>IFERROR($G266/$E266,"")</f>
        <v/>
      </c>
      <c r="I266" s="25">
        <f>IF($A266="","",YEAR($A266)&amp;"-"&amp;RIGHT("0"&amp;MONTH($A266),2))</f>
        <v/>
      </c>
      <c r="J266" s="10" t="n"/>
    </row>
    <row r="267">
      <c r="A267" s="15" t="n"/>
      <c r="B267" s="10" t="n"/>
      <c r="C267" s="10" t="n"/>
      <c r="D267" s="22" t="n"/>
      <c r="E267" s="18" t="n"/>
      <c r="F267" s="18" t="n"/>
      <c r="G267" s="23">
        <f>IF($E267="","",$E267-N($F267))</f>
        <v/>
      </c>
      <c r="H267" s="24">
        <f>IFERROR($G267/$E267,"")</f>
        <v/>
      </c>
      <c r="I267" s="25">
        <f>IF($A267="","",YEAR($A267)&amp;"-"&amp;RIGHT("0"&amp;MONTH($A267),2))</f>
        <v/>
      </c>
      <c r="J267" s="10" t="n"/>
    </row>
    <row r="268">
      <c r="A268" s="15" t="n"/>
      <c r="B268" s="10" t="n"/>
      <c r="C268" s="10" t="n"/>
      <c r="D268" s="22" t="n"/>
      <c r="E268" s="18" t="n"/>
      <c r="F268" s="18" t="n"/>
      <c r="G268" s="23">
        <f>IF($E268="","",$E268-N($F268))</f>
        <v/>
      </c>
      <c r="H268" s="24">
        <f>IFERROR($G268/$E268,"")</f>
        <v/>
      </c>
      <c r="I268" s="25">
        <f>IF($A268="","",YEAR($A268)&amp;"-"&amp;RIGHT("0"&amp;MONTH($A268),2))</f>
        <v/>
      </c>
      <c r="J268" s="10" t="n"/>
    </row>
    <row r="269">
      <c r="A269" s="15" t="n"/>
      <c r="B269" s="10" t="n"/>
      <c r="C269" s="10" t="n"/>
      <c r="D269" s="22" t="n"/>
      <c r="E269" s="18" t="n"/>
      <c r="F269" s="18" t="n"/>
      <c r="G269" s="23">
        <f>IF($E269="","",$E269-N($F269))</f>
        <v/>
      </c>
      <c r="H269" s="24">
        <f>IFERROR($G269/$E269,"")</f>
        <v/>
      </c>
      <c r="I269" s="25">
        <f>IF($A269="","",YEAR($A269)&amp;"-"&amp;RIGHT("0"&amp;MONTH($A269),2))</f>
        <v/>
      </c>
      <c r="J269" s="10" t="n"/>
    </row>
    <row r="270">
      <c r="A270" s="15" t="n"/>
      <c r="B270" s="10" t="n"/>
      <c r="C270" s="10" t="n"/>
      <c r="D270" s="22" t="n"/>
      <c r="E270" s="18" t="n"/>
      <c r="F270" s="18" t="n"/>
      <c r="G270" s="23">
        <f>IF($E270="","",$E270-N($F270))</f>
        <v/>
      </c>
      <c r="H270" s="24">
        <f>IFERROR($G270/$E270,"")</f>
        <v/>
      </c>
      <c r="I270" s="25">
        <f>IF($A270="","",YEAR($A270)&amp;"-"&amp;RIGHT("0"&amp;MONTH($A270),2))</f>
        <v/>
      </c>
      <c r="J270" s="10" t="n"/>
    </row>
    <row r="271">
      <c r="A271" s="15" t="n"/>
      <c r="B271" s="10" t="n"/>
      <c r="C271" s="10" t="n"/>
      <c r="D271" s="22" t="n"/>
      <c r="E271" s="18" t="n"/>
      <c r="F271" s="18" t="n"/>
      <c r="G271" s="23">
        <f>IF($E271="","",$E271-N($F271))</f>
        <v/>
      </c>
      <c r="H271" s="24">
        <f>IFERROR($G271/$E271,"")</f>
        <v/>
      </c>
      <c r="I271" s="25">
        <f>IF($A271="","",YEAR($A271)&amp;"-"&amp;RIGHT("0"&amp;MONTH($A271),2))</f>
        <v/>
      </c>
      <c r="J271" s="10" t="n"/>
    </row>
    <row r="272">
      <c r="A272" s="15" t="n"/>
      <c r="B272" s="10" t="n"/>
      <c r="C272" s="10" t="n"/>
      <c r="D272" s="22" t="n"/>
      <c r="E272" s="18" t="n"/>
      <c r="F272" s="18" t="n"/>
      <c r="G272" s="23">
        <f>IF($E272="","",$E272-N($F272))</f>
        <v/>
      </c>
      <c r="H272" s="24">
        <f>IFERROR($G272/$E272,"")</f>
        <v/>
      </c>
      <c r="I272" s="25">
        <f>IF($A272="","",YEAR($A272)&amp;"-"&amp;RIGHT("0"&amp;MONTH($A272),2))</f>
        <v/>
      </c>
      <c r="J272" s="10" t="n"/>
    </row>
    <row r="273">
      <c r="A273" s="15" t="n"/>
      <c r="B273" s="10" t="n"/>
      <c r="C273" s="10" t="n"/>
      <c r="D273" s="22" t="n"/>
      <c r="E273" s="18" t="n"/>
      <c r="F273" s="18" t="n"/>
      <c r="G273" s="23">
        <f>IF($E273="","",$E273-N($F273))</f>
        <v/>
      </c>
      <c r="H273" s="24">
        <f>IFERROR($G273/$E273,"")</f>
        <v/>
      </c>
      <c r="I273" s="25">
        <f>IF($A273="","",YEAR($A273)&amp;"-"&amp;RIGHT("0"&amp;MONTH($A273),2))</f>
        <v/>
      </c>
      <c r="J273" s="10" t="n"/>
    </row>
    <row r="274">
      <c r="A274" s="15" t="n"/>
      <c r="B274" s="10" t="n"/>
      <c r="C274" s="10" t="n"/>
      <c r="D274" s="22" t="n"/>
      <c r="E274" s="18" t="n"/>
      <c r="F274" s="18" t="n"/>
      <c r="G274" s="23">
        <f>IF($E274="","",$E274-N($F274))</f>
        <v/>
      </c>
      <c r="H274" s="24">
        <f>IFERROR($G274/$E274,"")</f>
        <v/>
      </c>
      <c r="I274" s="25">
        <f>IF($A274="","",YEAR($A274)&amp;"-"&amp;RIGHT("0"&amp;MONTH($A274),2))</f>
        <v/>
      </c>
      <c r="J274" s="10" t="n"/>
    </row>
    <row r="275">
      <c r="A275" s="15" t="n"/>
      <c r="B275" s="10" t="n"/>
      <c r="C275" s="10" t="n"/>
      <c r="D275" s="22" t="n"/>
      <c r="E275" s="18" t="n"/>
      <c r="F275" s="18" t="n"/>
      <c r="G275" s="23">
        <f>IF($E275="","",$E275-N($F275))</f>
        <v/>
      </c>
      <c r="H275" s="24">
        <f>IFERROR($G275/$E275,"")</f>
        <v/>
      </c>
      <c r="I275" s="25">
        <f>IF($A275="","",YEAR($A275)&amp;"-"&amp;RIGHT("0"&amp;MONTH($A275),2))</f>
        <v/>
      </c>
      <c r="J275" s="10" t="n"/>
    </row>
    <row r="276">
      <c r="A276" s="15" t="n"/>
      <c r="B276" s="10" t="n"/>
      <c r="C276" s="10" t="n"/>
      <c r="D276" s="22" t="n"/>
      <c r="E276" s="18" t="n"/>
      <c r="F276" s="18" t="n"/>
      <c r="G276" s="23">
        <f>IF($E276="","",$E276-N($F276))</f>
        <v/>
      </c>
      <c r="H276" s="24">
        <f>IFERROR($G276/$E276,"")</f>
        <v/>
      </c>
      <c r="I276" s="25">
        <f>IF($A276="","",YEAR($A276)&amp;"-"&amp;RIGHT("0"&amp;MONTH($A276),2))</f>
        <v/>
      </c>
      <c r="J276" s="10" t="n"/>
    </row>
    <row r="277">
      <c r="A277" s="15" t="n"/>
      <c r="B277" s="10" t="n"/>
      <c r="C277" s="10" t="n"/>
      <c r="D277" s="22" t="n"/>
      <c r="E277" s="18" t="n"/>
      <c r="F277" s="18" t="n"/>
      <c r="G277" s="23">
        <f>IF($E277="","",$E277-N($F277))</f>
        <v/>
      </c>
      <c r="H277" s="24">
        <f>IFERROR($G277/$E277,"")</f>
        <v/>
      </c>
      <c r="I277" s="25">
        <f>IF($A277="","",YEAR($A277)&amp;"-"&amp;RIGHT("0"&amp;MONTH($A277),2))</f>
        <v/>
      </c>
      <c r="J277" s="10" t="n"/>
    </row>
    <row r="278">
      <c r="A278" s="15" t="n"/>
      <c r="B278" s="10" t="n"/>
      <c r="C278" s="10" t="n"/>
      <c r="D278" s="22" t="n"/>
      <c r="E278" s="18" t="n"/>
      <c r="F278" s="18" t="n"/>
      <c r="G278" s="23">
        <f>IF($E278="","",$E278-N($F278))</f>
        <v/>
      </c>
      <c r="H278" s="24">
        <f>IFERROR($G278/$E278,"")</f>
        <v/>
      </c>
      <c r="I278" s="25">
        <f>IF($A278="","",YEAR($A278)&amp;"-"&amp;RIGHT("0"&amp;MONTH($A278),2))</f>
        <v/>
      </c>
      <c r="J278" s="10" t="n"/>
    </row>
    <row r="279">
      <c r="A279" s="15" t="n"/>
      <c r="B279" s="10" t="n"/>
      <c r="C279" s="10" t="n"/>
      <c r="D279" s="22" t="n"/>
      <c r="E279" s="18" t="n"/>
      <c r="F279" s="18" t="n"/>
      <c r="G279" s="23">
        <f>IF($E279="","",$E279-N($F279))</f>
        <v/>
      </c>
      <c r="H279" s="24">
        <f>IFERROR($G279/$E279,"")</f>
        <v/>
      </c>
      <c r="I279" s="25">
        <f>IF($A279="","",YEAR($A279)&amp;"-"&amp;RIGHT("0"&amp;MONTH($A279),2))</f>
        <v/>
      </c>
      <c r="J279" s="10" t="n"/>
    </row>
    <row r="280">
      <c r="A280" s="15" t="n"/>
      <c r="B280" s="10" t="n"/>
      <c r="C280" s="10" t="n"/>
      <c r="D280" s="22" t="n"/>
      <c r="E280" s="18" t="n"/>
      <c r="F280" s="18" t="n"/>
      <c r="G280" s="23">
        <f>IF($E280="","",$E280-N($F280))</f>
        <v/>
      </c>
      <c r="H280" s="24">
        <f>IFERROR($G280/$E280,"")</f>
        <v/>
      </c>
      <c r="I280" s="25">
        <f>IF($A280="","",YEAR($A280)&amp;"-"&amp;RIGHT("0"&amp;MONTH($A280),2))</f>
        <v/>
      </c>
      <c r="J280" s="10" t="n"/>
    </row>
    <row r="281">
      <c r="A281" s="15" t="n"/>
      <c r="B281" s="10" t="n"/>
      <c r="C281" s="10" t="n"/>
      <c r="D281" s="22" t="n"/>
      <c r="E281" s="18" t="n"/>
      <c r="F281" s="18" t="n"/>
      <c r="G281" s="23">
        <f>IF($E281="","",$E281-N($F281))</f>
        <v/>
      </c>
      <c r="H281" s="24">
        <f>IFERROR($G281/$E281,"")</f>
        <v/>
      </c>
      <c r="I281" s="25">
        <f>IF($A281="","",YEAR($A281)&amp;"-"&amp;RIGHT("0"&amp;MONTH($A281),2))</f>
        <v/>
      </c>
      <c r="J281" s="10" t="n"/>
    </row>
    <row r="282">
      <c r="A282" s="15" t="n"/>
      <c r="B282" s="10" t="n"/>
      <c r="C282" s="10" t="n"/>
      <c r="D282" s="22" t="n"/>
      <c r="E282" s="18" t="n"/>
      <c r="F282" s="18" t="n"/>
      <c r="G282" s="23">
        <f>IF($E282="","",$E282-N($F282))</f>
        <v/>
      </c>
      <c r="H282" s="24">
        <f>IFERROR($G282/$E282,"")</f>
        <v/>
      </c>
      <c r="I282" s="25">
        <f>IF($A282="","",YEAR($A282)&amp;"-"&amp;RIGHT("0"&amp;MONTH($A282),2))</f>
        <v/>
      </c>
      <c r="J282" s="10" t="n"/>
    </row>
    <row r="283">
      <c r="A283" s="15" t="n"/>
      <c r="B283" s="10" t="n"/>
      <c r="C283" s="10" t="n"/>
      <c r="D283" s="22" t="n"/>
      <c r="E283" s="18" t="n"/>
      <c r="F283" s="18" t="n"/>
      <c r="G283" s="23">
        <f>IF($E283="","",$E283-N($F283))</f>
        <v/>
      </c>
      <c r="H283" s="24">
        <f>IFERROR($G283/$E283,"")</f>
        <v/>
      </c>
      <c r="I283" s="25">
        <f>IF($A283="","",YEAR($A283)&amp;"-"&amp;RIGHT("0"&amp;MONTH($A283),2))</f>
        <v/>
      </c>
      <c r="J283" s="10" t="n"/>
    </row>
    <row r="284">
      <c r="A284" s="15" t="n"/>
      <c r="B284" s="10" t="n"/>
      <c r="C284" s="10" t="n"/>
      <c r="D284" s="22" t="n"/>
      <c r="E284" s="18" t="n"/>
      <c r="F284" s="18" t="n"/>
      <c r="G284" s="23">
        <f>IF($E284="","",$E284-N($F284))</f>
        <v/>
      </c>
      <c r="H284" s="24">
        <f>IFERROR($G284/$E284,"")</f>
        <v/>
      </c>
      <c r="I284" s="25">
        <f>IF($A284="","",YEAR($A284)&amp;"-"&amp;RIGHT("0"&amp;MONTH($A284),2))</f>
        <v/>
      </c>
      <c r="J284" s="10" t="n"/>
    </row>
    <row r="285">
      <c r="A285" s="15" t="n"/>
      <c r="B285" s="10" t="n"/>
      <c r="C285" s="10" t="n"/>
      <c r="D285" s="22" t="n"/>
      <c r="E285" s="18" t="n"/>
      <c r="F285" s="18" t="n"/>
      <c r="G285" s="23">
        <f>IF($E285="","",$E285-N($F285))</f>
        <v/>
      </c>
      <c r="H285" s="24">
        <f>IFERROR($G285/$E285,"")</f>
        <v/>
      </c>
      <c r="I285" s="25">
        <f>IF($A285="","",YEAR($A285)&amp;"-"&amp;RIGHT("0"&amp;MONTH($A285),2))</f>
        <v/>
      </c>
      <c r="J285" s="10" t="n"/>
    </row>
    <row r="286">
      <c r="A286" s="15" t="n"/>
      <c r="B286" s="10" t="n"/>
      <c r="C286" s="10" t="n"/>
      <c r="D286" s="22" t="n"/>
      <c r="E286" s="18" t="n"/>
      <c r="F286" s="18" t="n"/>
      <c r="G286" s="23">
        <f>IF($E286="","",$E286-N($F286))</f>
        <v/>
      </c>
      <c r="H286" s="24">
        <f>IFERROR($G286/$E286,"")</f>
        <v/>
      </c>
      <c r="I286" s="25">
        <f>IF($A286="","",YEAR($A286)&amp;"-"&amp;RIGHT("0"&amp;MONTH($A286),2))</f>
        <v/>
      </c>
      <c r="J286" s="10" t="n"/>
    </row>
    <row r="287">
      <c r="A287" s="15" t="n"/>
      <c r="B287" s="10" t="n"/>
      <c r="C287" s="10" t="n"/>
      <c r="D287" s="22" t="n"/>
      <c r="E287" s="18" t="n"/>
      <c r="F287" s="18" t="n"/>
      <c r="G287" s="23">
        <f>IF($E287="","",$E287-N($F287))</f>
        <v/>
      </c>
      <c r="H287" s="24">
        <f>IFERROR($G287/$E287,"")</f>
        <v/>
      </c>
      <c r="I287" s="25">
        <f>IF($A287="","",YEAR($A287)&amp;"-"&amp;RIGHT("0"&amp;MONTH($A287),2))</f>
        <v/>
      </c>
      <c r="J287" s="10" t="n"/>
    </row>
    <row r="288">
      <c r="A288" s="15" t="n"/>
      <c r="B288" s="10" t="n"/>
      <c r="C288" s="10" t="n"/>
      <c r="D288" s="22" t="n"/>
      <c r="E288" s="18" t="n"/>
      <c r="F288" s="18" t="n"/>
      <c r="G288" s="23">
        <f>IF($E288="","",$E288-N($F288))</f>
        <v/>
      </c>
      <c r="H288" s="24">
        <f>IFERROR($G288/$E288,"")</f>
        <v/>
      </c>
      <c r="I288" s="25">
        <f>IF($A288="","",YEAR($A288)&amp;"-"&amp;RIGHT("0"&amp;MONTH($A288),2))</f>
        <v/>
      </c>
      <c r="J288" s="10" t="n"/>
    </row>
    <row r="289">
      <c r="A289" s="15" t="n"/>
      <c r="B289" s="10" t="n"/>
      <c r="C289" s="10" t="n"/>
      <c r="D289" s="22" t="n"/>
      <c r="E289" s="18" t="n"/>
      <c r="F289" s="18" t="n"/>
      <c r="G289" s="23">
        <f>IF($E289="","",$E289-N($F289))</f>
        <v/>
      </c>
      <c r="H289" s="24">
        <f>IFERROR($G289/$E289,"")</f>
        <v/>
      </c>
      <c r="I289" s="25">
        <f>IF($A289="","",YEAR($A289)&amp;"-"&amp;RIGHT("0"&amp;MONTH($A289),2))</f>
        <v/>
      </c>
      <c r="J289" s="10" t="n"/>
    </row>
    <row r="290">
      <c r="A290" s="15" t="n"/>
      <c r="B290" s="10" t="n"/>
      <c r="C290" s="10" t="n"/>
      <c r="D290" s="22" t="n"/>
      <c r="E290" s="18" t="n"/>
      <c r="F290" s="18" t="n"/>
      <c r="G290" s="23">
        <f>IF($E290="","",$E290-N($F290))</f>
        <v/>
      </c>
      <c r="H290" s="24">
        <f>IFERROR($G290/$E290,"")</f>
        <v/>
      </c>
      <c r="I290" s="25">
        <f>IF($A290="","",YEAR($A290)&amp;"-"&amp;RIGHT("0"&amp;MONTH($A290),2))</f>
        <v/>
      </c>
      <c r="J290" s="10" t="n"/>
    </row>
    <row r="291">
      <c r="A291" s="15" t="n"/>
      <c r="B291" s="10" t="n"/>
      <c r="C291" s="10" t="n"/>
      <c r="D291" s="22" t="n"/>
      <c r="E291" s="18" t="n"/>
      <c r="F291" s="18" t="n"/>
      <c r="G291" s="23">
        <f>IF($E291="","",$E291-N($F291))</f>
        <v/>
      </c>
      <c r="H291" s="24">
        <f>IFERROR($G291/$E291,"")</f>
        <v/>
      </c>
      <c r="I291" s="25">
        <f>IF($A291="","",YEAR($A291)&amp;"-"&amp;RIGHT("0"&amp;MONTH($A291),2))</f>
        <v/>
      </c>
      <c r="J291" s="10" t="n"/>
    </row>
    <row r="292">
      <c r="A292" s="15" t="n"/>
      <c r="B292" s="10" t="n"/>
      <c r="C292" s="10" t="n"/>
      <c r="D292" s="22" t="n"/>
      <c r="E292" s="18" t="n"/>
      <c r="F292" s="18" t="n"/>
      <c r="G292" s="23">
        <f>IF($E292="","",$E292-N($F292))</f>
        <v/>
      </c>
      <c r="H292" s="24">
        <f>IFERROR($G292/$E292,"")</f>
        <v/>
      </c>
      <c r="I292" s="25">
        <f>IF($A292="","",YEAR($A292)&amp;"-"&amp;RIGHT("0"&amp;MONTH($A292),2))</f>
        <v/>
      </c>
      <c r="J292" s="10" t="n"/>
    </row>
    <row r="293">
      <c r="A293" s="15" t="n"/>
      <c r="B293" s="10" t="n"/>
      <c r="C293" s="10" t="n"/>
      <c r="D293" s="22" t="n"/>
      <c r="E293" s="18" t="n"/>
      <c r="F293" s="18" t="n"/>
      <c r="G293" s="23">
        <f>IF($E293="","",$E293-N($F293))</f>
        <v/>
      </c>
      <c r="H293" s="24">
        <f>IFERROR($G293/$E293,"")</f>
        <v/>
      </c>
      <c r="I293" s="25">
        <f>IF($A293="","",YEAR($A293)&amp;"-"&amp;RIGHT("0"&amp;MONTH($A293),2))</f>
        <v/>
      </c>
      <c r="J293" s="10" t="n"/>
    </row>
    <row r="294">
      <c r="A294" s="15" t="n"/>
      <c r="B294" s="10" t="n"/>
      <c r="C294" s="10" t="n"/>
      <c r="D294" s="22" t="n"/>
      <c r="E294" s="18" t="n"/>
      <c r="F294" s="18" t="n"/>
      <c r="G294" s="23">
        <f>IF($E294="","",$E294-N($F294))</f>
        <v/>
      </c>
      <c r="H294" s="24">
        <f>IFERROR($G294/$E294,"")</f>
        <v/>
      </c>
      <c r="I294" s="25">
        <f>IF($A294="","",YEAR($A294)&amp;"-"&amp;RIGHT("0"&amp;MONTH($A294),2))</f>
        <v/>
      </c>
      <c r="J294" s="10" t="n"/>
    </row>
    <row r="295">
      <c r="A295" s="15" t="n"/>
      <c r="B295" s="10" t="n"/>
      <c r="C295" s="10" t="n"/>
      <c r="D295" s="22" t="n"/>
      <c r="E295" s="18" t="n"/>
      <c r="F295" s="18" t="n"/>
      <c r="G295" s="23">
        <f>IF($E295="","",$E295-N($F295))</f>
        <v/>
      </c>
      <c r="H295" s="24">
        <f>IFERROR($G295/$E295,"")</f>
        <v/>
      </c>
      <c r="I295" s="25">
        <f>IF($A295="","",YEAR($A295)&amp;"-"&amp;RIGHT("0"&amp;MONTH($A295),2))</f>
        <v/>
      </c>
      <c r="J295" s="10" t="n"/>
    </row>
    <row r="296">
      <c r="A296" s="15" t="n"/>
      <c r="B296" s="10" t="n"/>
      <c r="C296" s="10" t="n"/>
      <c r="D296" s="22" t="n"/>
      <c r="E296" s="18" t="n"/>
      <c r="F296" s="18" t="n"/>
      <c r="G296" s="23">
        <f>IF($E296="","",$E296-N($F296))</f>
        <v/>
      </c>
      <c r="H296" s="24">
        <f>IFERROR($G296/$E296,"")</f>
        <v/>
      </c>
      <c r="I296" s="25">
        <f>IF($A296="","",YEAR($A296)&amp;"-"&amp;RIGHT("0"&amp;MONTH($A296),2))</f>
        <v/>
      </c>
      <c r="J296" s="10" t="n"/>
    </row>
    <row r="297">
      <c r="A297" s="15" t="n"/>
      <c r="B297" s="10" t="n"/>
      <c r="C297" s="10" t="n"/>
      <c r="D297" s="22" t="n"/>
      <c r="E297" s="18" t="n"/>
      <c r="F297" s="18" t="n"/>
      <c r="G297" s="23">
        <f>IF($E297="","",$E297-N($F297))</f>
        <v/>
      </c>
      <c r="H297" s="24">
        <f>IFERROR($G297/$E297,"")</f>
        <v/>
      </c>
      <c r="I297" s="25">
        <f>IF($A297="","",YEAR($A297)&amp;"-"&amp;RIGHT("0"&amp;MONTH($A297),2))</f>
        <v/>
      </c>
      <c r="J297" s="10" t="n"/>
    </row>
    <row r="298">
      <c r="A298" s="15" t="n"/>
      <c r="B298" s="10" t="n"/>
      <c r="C298" s="10" t="n"/>
      <c r="D298" s="22" t="n"/>
      <c r="E298" s="18" t="n"/>
      <c r="F298" s="18" t="n"/>
      <c r="G298" s="23">
        <f>IF($E298="","",$E298-N($F298))</f>
        <v/>
      </c>
      <c r="H298" s="24">
        <f>IFERROR($G298/$E298,"")</f>
        <v/>
      </c>
      <c r="I298" s="25">
        <f>IF($A298="","",YEAR($A298)&amp;"-"&amp;RIGHT("0"&amp;MONTH($A298),2))</f>
        <v/>
      </c>
      <c r="J298" s="10" t="n"/>
    </row>
    <row r="299">
      <c r="A299" s="15" t="n"/>
      <c r="B299" s="10" t="n"/>
      <c r="C299" s="10" t="n"/>
      <c r="D299" s="22" t="n"/>
      <c r="E299" s="18" t="n"/>
      <c r="F299" s="18" t="n"/>
      <c r="G299" s="23">
        <f>IF($E299="","",$E299-N($F299))</f>
        <v/>
      </c>
      <c r="H299" s="24">
        <f>IFERROR($G299/$E299,"")</f>
        <v/>
      </c>
      <c r="I299" s="25">
        <f>IF($A299="","",YEAR($A299)&amp;"-"&amp;RIGHT("0"&amp;MONTH($A299),2))</f>
        <v/>
      </c>
      <c r="J299" s="10" t="n"/>
    </row>
    <row r="300">
      <c r="A300" s="15" t="n"/>
      <c r="B300" s="10" t="n"/>
      <c r="C300" s="10" t="n"/>
      <c r="D300" s="22" t="n"/>
      <c r="E300" s="18" t="n"/>
      <c r="F300" s="18" t="n"/>
      <c r="G300" s="23">
        <f>IF($E300="","",$E300-N($F300))</f>
        <v/>
      </c>
      <c r="H300" s="24">
        <f>IFERROR($G300/$E300,"")</f>
        <v/>
      </c>
      <c r="I300" s="25">
        <f>IF($A300="","",YEAR($A300)&amp;"-"&amp;RIGHT("0"&amp;MONTH($A300),2))</f>
        <v/>
      </c>
      <c r="J300" s="10" t="n"/>
    </row>
    <row r="301">
      <c r="A301" s="15" t="n"/>
      <c r="B301" s="10" t="n"/>
      <c r="C301" s="10" t="n"/>
      <c r="D301" s="22" t="n"/>
      <c r="E301" s="18" t="n"/>
      <c r="F301" s="18" t="n"/>
      <c r="G301" s="23">
        <f>IF($E301="","",$E301-N($F301))</f>
        <v/>
      </c>
      <c r="H301" s="24">
        <f>IFERROR($G301/$E301,"")</f>
        <v/>
      </c>
      <c r="I301" s="25">
        <f>IF($A301="","",YEAR($A301)&amp;"-"&amp;RIGHT("0"&amp;MONTH($A301),2))</f>
        <v/>
      </c>
      <c r="J301" s="10" t="n"/>
    </row>
    <row r="302">
      <c r="A302" s="15" t="n"/>
      <c r="B302" s="10" t="n"/>
      <c r="C302" s="10" t="n"/>
      <c r="D302" s="22" t="n"/>
      <c r="E302" s="18" t="n"/>
      <c r="F302" s="18" t="n"/>
      <c r="G302" s="23">
        <f>IF($E302="","",$E302-N($F302))</f>
        <v/>
      </c>
      <c r="H302" s="24">
        <f>IFERROR($G302/$E302,"")</f>
        <v/>
      </c>
      <c r="I302" s="25">
        <f>IF($A302="","",YEAR($A302)&amp;"-"&amp;RIGHT("0"&amp;MONTH($A302),2))</f>
        <v/>
      </c>
      <c r="J302" s="10" t="n"/>
    </row>
    <row r="303">
      <c r="A303" s="15" t="n"/>
      <c r="B303" s="10" t="n"/>
      <c r="C303" s="10" t="n"/>
      <c r="D303" s="22" t="n"/>
      <c r="E303" s="18" t="n"/>
      <c r="F303" s="18" t="n"/>
      <c r="G303" s="23">
        <f>IF($E303="","",$E303-N($F303))</f>
        <v/>
      </c>
      <c r="H303" s="24">
        <f>IFERROR($G303/$E303,"")</f>
        <v/>
      </c>
      <c r="I303" s="25">
        <f>IF($A303="","",YEAR($A303)&amp;"-"&amp;RIGHT("0"&amp;MONTH($A303),2))</f>
        <v/>
      </c>
      <c r="J303" s="10" t="n"/>
    </row>
    <row r="304">
      <c r="A304" s="15" t="n"/>
      <c r="B304" s="10" t="n"/>
      <c r="C304" s="10" t="n"/>
      <c r="D304" s="22" t="n"/>
      <c r="E304" s="18" t="n"/>
      <c r="F304" s="18" t="n"/>
      <c r="G304" s="23">
        <f>IF($E304="","",$E304-N($F304))</f>
        <v/>
      </c>
      <c r="H304" s="24">
        <f>IFERROR($G304/$E304,"")</f>
        <v/>
      </c>
      <c r="I304" s="25">
        <f>IF($A304="","",YEAR($A304)&amp;"-"&amp;RIGHT("0"&amp;MONTH($A304),2))</f>
        <v/>
      </c>
      <c r="J304" s="10" t="n"/>
    </row>
    <row r="305">
      <c r="A305" s="15" t="n"/>
      <c r="B305" s="10" t="n"/>
      <c r="C305" s="10" t="n"/>
      <c r="D305" s="22" t="n"/>
      <c r="E305" s="18" t="n"/>
      <c r="F305" s="18" t="n"/>
      <c r="G305" s="23">
        <f>IF($E305="","",$E305-N($F305))</f>
        <v/>
      </c>
      <c r="H305" s="24">
        <f>IFERROR($G305/$E305,"")</f>
        <v/>
      </c>
      <c r="I305" s="25">
        <f>IF($A305="","",YEAR($A305)&amp;"-"&amp;RIGHT("0"&amp;MONTH($A305),2))</f>
        <v/>
      </c>
      <c r="J305" s="10" t="n"/>
    </row>
    <row r="306">
      <c r="A306" s="15" t="n"/>
      <c r="B306" s="10" t="n"/>
      <c r="C306" s="10" t="n"/>
      <c r="D306" s="22" t="n"/>
      <c r="E306" s="18" t="n"/>
      <c r="F306" s="18" t="n"/>
      <c r="G306" s="23">
        <f>IF($E306="","",$E306-N($F306))</f>
        <v/>
      </c>
      <c r="H306" s="24">
        <f>IFERROR($G306/$E306,"")</f>
        <v/>
      </c>
      <c r="I306" s="25">
        <f>IF($A306="","",YEAR($A306)&amp;"-"&amp;RIGHT("0"&amp;MONTH($A306),2))</f>
        <v/>
      </c>
      <c r="J306" s="10" t="n"/>
    </row>
    <row r="307">
      <c r="A307" s="15" t="n"/>
      <c r="B307" s="10" t="n"/>
      <c r="C307" s="10" t="n"/>
      <c r="D307" s="22" t="n"/>
      <c r="E307" s="18" t="n"/>
      <c r="F307" s="18" t="n"/>
      <c r="G307" s="23">
        <f>IF($E307="","",$E307-N($F307))</f>
        <v/>
      </c>
      <c r="H307" s="24">
        <f>IFERROR($G307/$E307,"")</f>
        <v/>
      </c>
      <c r="I307" s="25">
        <f>IF($A307="","",YEAR($A307)&amp;"-"&amp;RIGHT("0"&amp;MONTH($A307),2))</f>
        <v/>
      </c>
      <c r="J307" s="10" t="n"/>
    </row>
    <row r="308">
      <c r="A308" s="15" t="n"/>
      <c r="B308" s="10" t="n"/>
      <c r="C308" s="10" t="n"/>
      <c r="D308" s="22" t="n"/>
      <c r="E308" s="18" t="n"/>
      <c r="F308" s="18" t="n"/>
      <c r="G308" s="23">
        <f>IF($E308="","",$E308-N($F308))</f>
        <v/>
      </c>
      <c r="H308" s="24">
        <f>IFERROR($G308/$E308,"")</f>
        <v/>
      </c>
      <c r="I308" s="25">
        <f>IF($A308="","",YEAR($A308)&amp;"-"&amp;RIGHT("0"&amp;MONTH($A308),2))</f>
        <v/>
      </c>
      <c r="J308" s="10" t="n"/>
    </row>
    <row r="309">
      <c r="A309" s="15" t="n"/>
      <c r="B309" s="10" t="n"/>
      <c r="C309" s="10" t="n"/>
      <c r="D309" s="22" t="n"/>
      <c r="E309" s="18" t="n"/>
      <c r="F309" s="18" t="n"/>
      <c r="G309" s="23">
        <f>IF($E309="","",$E309-N($F309))</f>
        <v/>
      </c>
      <c r="H309" s="24">
        <f>IFERROR($G309/$E309,"")</f>
        <v/>
      </c>
      <c r="I309" s="25">
        <f>IF($A309="","",YEAR($A309)&amp;"-"&amp;RIGHT("0"&amp;MONTH($A309),2))</f>
        <v/>
      </c>
      <c r="J309" s="10" t="n"/>
    </row>
    <row r="310">
      <c r="A310" s="15" t="n"/>
      <c r="B310" s="10" t="n"/>
      <c r="C310" s="10" t="n"/>
      <c r="D310" s="22" t="n"/>
      <c r="E310" s="18" t="n"/>
      <c r="F310" s="18" t="n"/>
      <c r="G310" s="23">
        <f>IF($E310="","",$E310-N($F310))</f>
        <v/>
      </c>
      <c r="H310" s="24">
        <f>IFERROR($G310/$E310,"")</f>
        <v/>
      </c>
      <c r="I310" s="25">
        <f>IF($A310="","",YEAR($A310)&amp;"-"&amp;RIGHT("0"&amp;MONTH($A310),2))</f>
        <v/>
      </c>
      <c r="J310" s="10" t="n"/>
    </row>
    <row r="311">
      <c r="A311" s="15" t="n"/>
      <c r="B311" s="10" t="n"/>
      <c r="C311" s="10" t="n"/>
      <c r="D311" s="22" t="n"/>
      <c r="E311" s="18" t="n"/>
      <c r="F311" s="18" t="n"/>
      <c r="G311" s="23">
        <f>IF($E311="","",$E311-N($F311))</f>
        <v/>
      </c>
      <c r="H311" s="24">
        <f>IFERROR($G311/$E311,"")</f>
        <v/>
      </c>
      <c r="I311" s="25">
        <f>IF($A311="","",YEAR($A311)&amp;"-"&amp;RIGHT("0"&amp;MONTH($A311),2))</f>
        <v/>
      </c>
      <c r="J311" s="10" t="n"/>
    </row>
    <row r="312">
      <c r="A312" s="15" t="n"/>
      <c r="B312" s="10" t="n"/>
      <c r="C312" s="10" t="n"/>
      <c r="D312" s="22" t="n"/>
      <c r="E312" s="18" t="n"/>
      <c r="F312" s="18" t="n"/>
      <c r="G312" s="23">
        <f>IF($E312="","",$E312-N($F312))</f>
        <v/>
      </c>
      <c r="H312" s="24">
        <f>IFERROR($G312/$E312,"")</f>
        <v/>
      </c>
      <c r="I312" s="25">
        <f>IF($A312="","",YEAR($A312)&amp;"-"&amp;RIGHT("0"&amp;MONTH($A312),2))</f>
        <v/>
      </c>
      <c r="J312" s="10" t="n"/>
    </row>
    <row r="313">
      <c r="A313" s="15" t="n"/>
      <c r="B313" s="10" t="n"/>
      <c r="C313" s="10" t="n"/>
      <c r="D313" s="22" t="n"/>
      <c r="E313" s="18" t="n"/>
      <c r="F313" s="18" t="n"/>
      <c r="G313" s="23">
        <f>IF($E313="","",$E313-N($F313))</f>
        <v/>
      </c>
      <c r="H313" s="24">
        <f>IFERROR($G313/$E313,"")</f>
        <v/>
      </c>
      <c r="I313" s="25">
        <f>IF($A313="","",YEAR($A313)&amp;"-"&amp;RIGHT("0"&amp;MONTH($A313),2))</f>
        <v/>
      </c>
      <c r="J313" s="10" t="n"/>
    </row>
    <row r="314">
      <c r="A314" s="15" t="n"/>
      <c r="B314" s="10" t="n"/>
      <c r="C314" s="10" t="n"/>
      <c r="D314" s="22" t="n"/>
      <c r="E314" s="18" t="n"/>
      <c r="F314" s="18" t="n"/>
      <c r="G314" s="23">
        <f>IF($E314="","",$E314-N($F314))</f>
        <v/>
      </c>
      <c r="H314" s="24">
        <f>IFERROR($G314/$E314,"")</f>
        <v/>
      </c>
      <c r="I314" s="25">
        <f>IF($A314="","",YEAR($A314)&amp;"-"&amp;RIGHT("0"&amp;MONTH($A314),2))</f>
        <v/>
      </c>
      <c r="J314" s="10" t="n"/>
    </row>
    <row r="315">
      <c r="A315" s="15" t="n"/>
      <c r="B315" s="10" t="n"/>
      <c r="C315" s="10" t="n"/>
      <c r="D315" s="22" t="n"/>
      <c r="E315" s="18" t="n"/>
      <c r="F315" s="18" t="n"/>
      <c r="G315" s="23">
        <f>IF($E315="","",$E315-N($F315))</f>
        <v/>
      </c>
      <c r="H315" s="24">
        <f>IFERROR($G315/$E315,"")</f>
        <v/>
      </c>
      <c r="I315" s="25">
        <f>IF($A315="","",YEAR($A315)&amp;"-"&amp;RIGHT("0"&amp;MONTH($A315),2))</f>
        <v/>
      </c>
      <c r="J315" s="10" t="n"/>
    </row>
    <row r="316">
      <c r="A316" s="15" t="n"/>
      <c r="B316" s="10" t="n"/>
      <c r="C316" s="10" t="n"/>
      <c r="D316" s="22" t="n"/>
      <c r="E316" s="18" t="n"/>
      <c r="F316" s="18" t="n"/>
      <c r="G316" s="23">
        <f>IF($E316="","",$E316-N($F316))</f>
        <v/>
      </c>
      <c r="H316" s="24">
        <f>IFERROR($G316/$E316,"")</f>
        <v/>
      </c>
      <c r="I316" s="25">
        <f>IF($A316="","",YEAR($A316)&amp;"-"&amp;RIGHT("0"&amp;MONTH($A316),2))</f>
        <v/>
      </c>
      <c r="J316" s="10" t="n"/>
    </row>
    <row r="317">
      <c r="A317" s="15" t="n"/>
      <c r="B317" s="10" t="n"/>
      <c r="C317" s="10" t="n"/>
      <c r="D317" s="22" t="n"/>
      <c r="E317" s="18" t="n"/>
      <c r="F317" s="18" t="n"/>
      <c r="G317" s="23">
        <f>IF($E317="","",$E317-N($F317))</f>
        <v/>
      </c>
      <c r="H317" s="24">
        <f>IFERROR($G317/$E317,"")</f>
        <v/>
      </c>
      <c r="I317" s="25">
        <f>IF($A317="","",YEAR($A317)&amp;"-"&amp;RIGHT("0"&amp;MONTH($A317),2))</f>
        <v/>
      </c>
      <c r="J317" s="10" t="n"/>
    </row>
    <row r="318">
      <c r="A318" s="15" t="n"/>
      <c r="B318" s="10" t="n"/>
      <c r="C318" s="10" t="n"/>
      <c r="D318" s="22" t="n"/>
      <c r="E318" s="18" t="n"/>
      <c r="F318" s="18" t="n"/>
      <c r="G318" s="23">
        <f>IF($E318="","",$E318-N($F318))</f>
        <v/>
      </c>
      <c r="H318" s="24">
        <f>IFERROR($G318/$E318,"")</f>
        <v/>
      </c>
      <c r="I318" s="25">
        <f>IF($A318="","",YEAR($A318)&amp;"-"&amp;RIGHT("0"&amp;MONTH($A318),2))</f>
        <v/>
      </c>
      <c r="J318" s="10" t="n"/>
    </row>
    <row r="319">
      <c r="A319" s="15" t="n"/>
      <c r="B319" s="10" t="n"/>
      <c r="C319" s="10" t="n"/>
      <c r="D319" s="22" t="n"/>
      <c r="E319" s="18" t="n"/>
      <c r="F319" s="18" t="n"/>
      <c r="G319" s="23">
        <f>IF($E319="","",$E319-N($F319))</f>
        <v/>
      </c>
      <c r="H319" s="24">
        <f>IFERROR($G319/$E319,"")</f>
        <v/>
      </c>
      <c r="I319" s="25">
        <f>IF($A319="","",YEAR($A319)&amp;"-"&amp;RIGHT("0"&amp;MONTH($A319),2))</f>
        <v/>
      </c>
      <c r="J319" s="10" t="n"/>
    </row>
    <row r="320">
      <c r="A320" s="15" t="n"/>
      <c r="B320" s="10" t="n"/>
      <c r="C320" s="10" t="n"/>
      <c r="D320" s="22" t="n"/>
      <c r="E320" s="18" t="n"/>
      <c r="F320" s="18" t="n"/>
      <c r="G320" s="23">
        <f>IF($E320="","",$E320-N($F320))</f>
        <v/>
      </c>
      <c r="H320" s="24">
        <f>IFERROR($G320/$E320,"")</f>
        <v/>
      </c>
      <c r="I320" s="25">
        <f>IF($A320="","",YEAR($A320)&amp;"-"&amp;RIGHT("0"&amp;MONTH($A320),2))</f>
        <v/>
      </c>
      <c r="J320" s="10" t="n"/>
    </row>
    <row r="321">
      <c r="A321" s="15" t="n"/>
      <c r="B321" s="10" t="n"/>
      <c r="C321" s="10" t="n"/>
      <c r="D321" s="22" t="n"/>
      <c r="E321" s="18" t="n"/>
      <c r="F321" s="18" t="n"/>
      <c r="G321" s="23">
        <f>IF($E321="","",$E321-N($F321))</f>
        <v/>
      </c>
      <c r="H321" s="24">
        <f>IFERROR($G321/$E321,"")</f>
        <v/>
      </c>
      <c r="I321" s="25">
        <f>IF($A321="","",YEAR($A321)&amp;"-"&amp;RIGHT("0"&amp;MONTH($A321),2))</f>
        <v/>
      </c>
      <c r="J321" s="10" t="n"/>
    </row>
    <row r="322">
      <c r="A322" s="15" t="n"/>
      <c r="B322" s="10" t="n"/>
      <c r="C322" s="10" t="n"/>
      <c r="D322" s="22" t="n"/>
      <c r="E322" s="18" t="n"/>
      <c r="F322" s="18" t="n"/>
      <c r="G322" s="23">
        <f>IF($E322="","",$E322-N($F322))</f>
        <v/>
      </c>
      <c r="H322" s="24">
        <f>IFERROR($G322/$E322,"")</f>
        <v/>
      </c>
      <c r="I322" s="25">
        <f>IF($A322="","",YEAR($A322)&amp;"-"&amp;RIGHT("0"&amp;MONTH($A322),2))</f>
        <v/>
      </c>
      <c r="J322" s="10" t="n"/>
    </row>
    <row r="323">
      <c r="A323" s="15" t="n"/>
      <c r="B323" s="10" t="n"/>
      <c r="C323" s="10" t="n"/>
      <c r="D323" s="22" t="n"/>
      <c r="E323" s="18" t="n"/>
      <c r="F323" s="18" t="n"/>
      <c r="G323" s="23">
        <f>IF($E323="","",$E323-N($F323))</f>
        <v/>
      </c>
      <c r="H323" s="24">
        <f>IFERROR($G323/$E323,"")</f>
        <v/>
      </c>
      <c r="I323" s="25">
        <f>IF($A323="","",YEAR($A323)&amp;"-"&amp;RIGHT("0"&amp;MONTH($A323),2))</f>
        <v/>
      </c>
      <c r="J323" s="10" t="n"/>
    </row>
    <row r="324">
      <c r="A324" s="15" t="n"/>
      <c r="B324" s="10" t="n"/>
      <c r="C324" s="10" t="n"/>
      <c r="D324" s="22" t="n"/>
      <c r="E324" s="18" t="n"/>
      <c r="F324" s="18" t="n"/>
      <c r="G324" s="23">
        <f>IF($E324="","",$E324-N($F324))</f>
        <v/>
      </c>
      <c r="H324" s="24">
        <f>IFERROR($G324/$E324,"")</f>
        <v/>
      </c>
      <c r="I324" s="25">
        <f>IF($A324="","",YEAR($A324)&amp;"-"&amp;RIGHT("0"&amp;MONTH($A324),2))</f>
        <v/>
      </c>
      <c r="J324" s="10" t="n"/>
    </row>
    <row r="325">
      <c r="A325" s="15" t="n"/>
      <c r="B325" s="10" t="n"/>
      <c r="C325" s="10" t="n"/>
      <c r="D325" s="22" t="n"/>
      <c r="E325" s="18" t="n"/>
      <c r="F325" s="18" t="n"/>
      <c r="G325" s="23">
        <f>IF($E325="","",$E325-N($F325))</f>
        <v/>
      </c>
      <c r="H325" s="24">
        <f>IFERROR($G325/$E325,"")</f>
        <v/>
      </c>
      <c r="I325" s="25">
        <f>IF($A325="","",YEAR($A325)&amp;"-"&amp;RIGHT("0"&amp;MONTH($A325),2))</f>
        <v/>
      </c>
      <c r="J325" s="10" t="n"/>
    </row>
    <row r="326">
      <c r="A326" s="15" t="n"/>
      <c r="B326" s="10" t="n"/>
      <c r="C326" s="10" t="n"/>
      <c r="D326" s="22" t="n"/>
      <c r="E326" s="18" t="n"/>
      <c r="F326" s="18" t="n"/>
      <c r="G326" s="23">
        <f>IF($E326="","",$E326-N($F326))</f>
        <v/>
      </c>
      <c r="H326" s="24">
        <f>IFERROR($G326/$E326,"")</f>
        <v/>
      </c>
      <c r="I326" s="25">
        <f>IF($A326="","",YEAR($A326)&amp;"-"&amp;RIGHT("0"&amp;MONTH($A326),2))</f>
        <v/>
      </c>
      <c r="J326" s="10" t="n"/>
    </row>
    <row r="327">
      <c r="A327" s="15" t="n"/>
      <c r="B327" s="10" t="n"/>
      <c r="C327" s="10" t="n"/>
      <c r="D327" s="22" t="n"/>
      <c r="E327" s="18" t="n"/>
      <c r="F327" s="18" t="n"/>
      <c r="G327" s="23">
        <f>IF($E327="","",$E327-N($F327))</f>
        <v/>
      </c>
      <c r="H327" s="24">
        <f>IFERROR($G327/$E327,"")</f>
        <v/>
      </c>
      <c r="I327" s="25">
        <f>IF($A327="","",YEAR($A327)&amp;"-"&amp;RIGHT("0"&amp;MONTH($A327),2))</f>
        <v/>
      </c>
      <c r="J327" s="10" t="n"/>
    </row>
    <row r="328">
      <c r="A328" s="15" t="n"/>
      <c r="B328" s="10" t="n"/>
      <c r="C328" s="10" t="n"/>
      <c r="D328" s="22" t="n"/>
      <c r="E328" s="18" t="n"/>
      <c r="F328" s="18" t="n"/>
      <c r="G328" s="23">
        <f>IF($E328="","",$E328-N($F328))</f>
        <v/>
      </c>
      <c r="H328" s="24">
        <f>IFERROR($G328/$E328,"")</f>
        <v/>
      </c>
      <c r="I328" s="25">
        <f>IF($A328="","",YEAR($A328)&amp;"-"&amp;RIGHT("0"&amp;MONTH($A328),2))</f>
        <v/>
      </c>
      <c r="J328" s="10" t="n"/>
    </row>
    <row r="329">
      <c r="A329" s="15" t="n"/>
      <c r="B329" s="10" t="n"/>
      <c r="C329" s="10" t="n"/>
      <c r="D329" s="22" t="n"/>
      <c r="E329" s="18" t="n"/>
      <c r="F329" s="18" t="n"/>
      <c r="G329" s="23">
        <f>IF($E329="","",$E329-N($F329))</f>
        <v/>
      </c>
      <c r="H329" s="24">
        <f>IFERROR($G329/$E329,"")</f>
        <v/>
      </c>
      <c r="I329" s="25">
        <f>IF($A329="","",YEAR($A329)&amp;"-"&amp;RIGHT("0"&amp;MONTH($A329),2))</f>
        <v/>
      </c>
      <c r="J329" s="10" t="n"/>
    </row>
    <row r="330">
      <c r="A330" s="15" t="n"/>
      <c r="B330" s="10" t="n"/>
      <c r="C330" s="10" t="n"/>
      <c r="D330" s="22" t="n"/>
      <c r="E330" s="18" t="n"/>
      <c r="F330" s="18" t="n"/>
      <c r="G330" s="23">
        <f>IF($E330="","",$E330-N($F330))</f>
        <v/>
      </c>
      <c r="H330" s="24">
        <f>IFERROR($G330/$E330,"")</f>
        <v/>
      </c>
      <c r="I330" s="25">
        <f>IF($A330="","",YEAR($A330)&amp;"-"&amp;RIGHT("0"&amp;MONTH($A330),2))</f>
        <v/>
      </c>
      <c r="J330" s="10" t="n"/>
    </row>
    <row r="331">
      <c r="A331" s="15" t="n"/>
      <c r="B331" s="10" t="n"/>
      <c r="C331" s="10" t="n"/>
      <c r="D331" s="22" t="n"/>
      <c r="E331" s="18" t="n"/>
      <c r="F331" s="18" t="n"/>
      <c r="G331" s="23">
        <f>IF($E331="","",$E331-N($F331))</f>
        <v/>
      </c>
      <c r="H331" s="24">
        <f>IFERROR($G331/$E331,"")</f>
        <v/>
      </c>
      <c r="I331" s="25">
        <f>IF($A331="","",YEAR($A331)&amp;"-"&amp;RIGHT("0"&amp;MONTH($A331),2))</f>
        <v/>
      </c>
      <c r="J331" s="10" t="n"/>
    </row>
    <row r="332">
      <c r="A332" s="15" t="n"/>
      <c r="B332" s="10" t="n"/>
      <c r="C332" s="10" t="n"/>
      <c r="D332" s="22" t="n"/>
      <c r="E332" s="18" t="n"/>
      <c r="F332" s="18" t="n"/>
      <c r="G332" s="23">
        <f>IF($E332="","",$E332-N($F332))</f>
        <v/>
      </c>
      <c r="H332" s="24">
        <f>IFERROR($G332/$E332,"")</f>
        <v/>
      </c>
      <c r="I332" s="25">
        <f>IF($A332="","",YEAR($A332)&amp;"-"&amp;RIGHT("0"&amp;MONTH($A332),2))</f>
        <v/>
      </c>
      <c r="J332" s="10" t="n"/>
    </row>
    <row r="333">
      <c r="A333" s="15" t="n"/>
      <c r="B333" s="10" t="n"/>
      <c r="C333" s="10" t="n"/>
      <c r="D333" s="22" t="n"/>
      <c r="E333" s="18" t="n"/>
      <c r="F333" s="18" t="n"/>
      <c r="G333" s="23">
        <f>IF($E333="","",$E333-N($F333))</f>
        <v/>
      </c>
      <c r="H333" s="24">
        <f>IFERROR($G333/$E333,"")</f>
        <v/>
      </c>
      <c r="I333" s="25">
        <f>IF($A333="","",YEAR($A333)&amp;"-"&amp;RIGHT("0"&amp;MONTH($A333),2))</f>
        <v/>
      </c>
      <c r="J333" s="10" t="n"/>
    </row>
    <row r="334">
      <c r="A334" s="15" t="n"/>
      <c r="B334" s="10" t="n"/>
      <c r="C334" s="10" t="n"/>
      <c r="D334" s="22" t="n"/>
      <c r="E334" s="18" t="n"/>
      <c r="F334" s="18" t="n"/>
      <c r="G334" s="23">
        <f>IF($E334="","",$E334-N($F334))</f>
        <v/>
      </c>
      <c r="H334" s="24">
        <f>IFERROR($G334/$E334,"")</f>
        <v/>
      </c>
      <c r="I334" s="25">
        <f>IF($A334="","",YEAR($A334)&amp;"-"&amp;RIGHT("0"&amp;MONTH($A334),2))</f>
        <v/>
      </c>
      <c r="J334" s="10" t="n"/>
    </row>
    <row r="335">
      <c r="A335" s="15" t="n"/>
      <c r="B335" s="10" t="n"/>
      <c r="C335" s="10" t="n"/>
      <c r="D335" s="22" t="n"/>
      <c r="E335" s="18" t="n"/>
      <c r="F335" s="18" t="n"/>
      <c r="G335" s="23">
        <f>IF($E335="","",$E335-N($F335))</f>
        <v/>
      </c>
      <c r="H335" s="24">
        <f>IFERROR($G335/$E335,"")</f>
        <v/>
      </c>
      <c r="I335" s="25">
        <f>IF($A335="","",YEAR($A335)&amp;"-"&amp;RIGHT("0"&amp;MONTH($A335),2))</f>
        <v/>
      </c>
      <c r="J335" s="10" t="n"/>
    </row>
    <row r="336">
      <c r="A336" s="15" t="n"/>
      <c r="B336" s="10" t="n"/>
      <c r="C336" s="10" t="n"/>
      <c r="D336" s="22" t="n"/>
      <c r="E336" s="18" t="n"/>
      <c r="F336" s="18" t="n"/>
      <c r="G336" s="23">
        <f>IF($E336="","",$E336-N($F336))</f>
        <v/>
      </c>
      <c r="H336" s="24">
        <f>IFERROR($G336/$E336,"")</f>
        <v/>
      </c>
      <c r="I336" s="25">
        <f>IF($A336="","",YEAR($A336)&amp;"-"&amp;RIGHT("0"&amp;MONTH($A336),2))</f>
        <v/>
      </c>
      <c r="J336" s="10" t="n"/>
    </row>
    <row r="337">
      <c r="A337" s="15" t="n"/>
      <c r="B337" s="10" t="n"/>
      <c r="C337" s="10" t="n"/>
      <c r="D337" s="22" t="n"/>
      <c r="E337" s="18" t="n"/>
      <c r="F337" s="18" t="n"/>
      <c r="G337" s="23">
        <f>IF($E337="","",$E337-N($F337))</f>
        <v/>
      </c>
      <c r="H337" s="24">
        <f>IFERROR($G337/$E337,"")</f>
        <v/>
      </c>
      <c r="I337" s="25">
        <f>IF($A337="","",YEAR($A337)&amp;"-"&amp;RIGHT("0"&amp;MONTH($A337),2))</f>
        <v/>
      </c>
      <c r="J337" s="10" t="n"/>
    </row>
    <row r="338">
      <c r="A338" s="15" t="n"/>
      <c r="B338" s="10" t="n"/>
      <c r="C338" s="10" t="n"/>
      <c r="D338" s="22" t="n"/>
      <c r="E338" s="18" t="n"/>
      <c r="F338" s="18" t="n"/>
      <c r="G338" s="23">
        <f>IF($E338="","",$E338-N($F338))</f>
        <v/>
      </c>
      <c r="H338" s="24">
        <f>IFERROR($G338/$E338,"")</f>
        <v/>
      </c>
      <c r="I338" s="25">
        <f>IF($A338="","",YEAR($A338)&amp;"-"&amp;RIGHT("0"&amp;MONTH($A338),2))</f>
        <v/>
      </c>
      <c r="J338" s="10" t="n"/>
    </row>
    <row r="339">
      <c r="A339" s="15" t="n"/>
      <c r="B339" s="10" t="n"/>
      <c r="C339" s="10" t="n"/>
      <c r="D339" s="22" t="n"/>
      <c r="E339" s="18" t="n"/>
      <c r="F339" s="18" t="n"/>
      <c r="G339" s="23">
        <f>IF($E339="","",$E339-N($F339))</f>
        <v/>
      </c>
      <c r="H339" s="24">
        <f>IFERROR($G339/$E339,"")</f>
        <v/>
      </c>
      <c r="I339" s="25">
        <f>IF($A339="","",YEAR($A339)&amp;"-"&amp;RIGHT("0"&amp;MONTH($A339),2))</f>
        <v/>
      </c>
      <c r="J339" s="10" t="n"/>
    </row>
    <row r="340">
      <c r="A340" s="15" t="n"/>
      <c r="B340" s="10" t="n"/>
      <c r="C340" s="10" t="n"/>
      <c r="D340" s="22" t="n"/>
      <c r="E340" s="18" t="n"/>
      <c r="F340" s="18" t="n"/>
      <c r="G340" s="23">
        <f>IF($E340="","",$E340-N($F340))</f>
        <v/>
      </c>
      <c r="H340" s="24">
        <f>IFERROR($G340/$E340,"")</f>
        <v/>
      </c>
      <c r="I340" s="25">
        <f>IF($A340="","",YEAR($A340)&amp;"-"&amp;RIGHT("0"&amp;MONTH($A340),2))</f>
        <v/>
      </c>
      <c r="J340" s="10" t="n"/>
    </row>
    <row r="341">
      <c r="A341" s="15" t="n"/>
      <c r="B341" s="10" t="n"/>
      <c r="C341" s="10" t="n"/>
      <c r="D341" s="22" t="n"/>
      <c r="E341" s="18" t="n"/>
      <c r="F341" s="18" t="n"/>
      <c r="G341" s="23">
        <f>IF($E341="","",$E341-N($F341))</f>
        <v/>
      </c>
      <c r="H341" s="24">
        <f>IFERROR($G341/$E341,"")</f>
        <v/>
      </c>
      <c r="I341" s="25">
        <f>IF($A341="","",YEAR($A341)&amp;"-"&amp;RIGHT("0"&amp;MONTH($A341),2))</f>
        <v/>
      </c>
      <c r="J341" s="10" t="n"/>
    </row>
    <row r="342">
      <c r="A342" s="15" t="n"/>
      <c r="B342" s="10" t="n"/>
      <c r="C342" s="10" t="n"/>
      <c r="D342" s="22" t="n"/>
      <c r="E342" s="18" t="n"/>
      <c r="F342" s="18" t="n"/>
      <c r="G342" s="23">
        <f>IF($E342="","",$E342-N($F342))</f>
        <v/>
      </c>
      <c r="H342" s="24">
        <f>IFERROR($G342/$E342,"")</f>
        <v/>
      </c>
      <c r="I342" s="25">
        <f>IF($A342="","",YEAR($A342)&amp;"-"&amp;RIGHT("0"&amp;MONTH($A342),2))</f>
        <v/>
      </c>
      <c r="J342" s="10" t="n"/>
    </row>
    <row r="343">
      <c r="A343" s="15" t="n"/>
      <c r="B343" s="10" t="n"/>
      <c r="C343" s="10" t="n"/>
      <c r="D343" s="22" t="n"/>
      <c r="E343" s="18" t="n"/>
      <c r="F343" s="18" t="n"/>
      <c r="G343" s="23">
        <f>IF($E343="","",$E343-N($F343))</f>
        <v/>
      </c>
      <c r="H343" s="24">
        <f>IFERROR($G343/$E343,"")</f>
        <v/>
      </c>
      <c r="I343" s="25">
        <f>IF($A343="","",YEAR($A343)&amp;"-"&amp;RIGHT("0"&amp;MONTH($A343),2))</f>
        <v/>
      </c>
      <c r="J343" s="10" t="n"/>
    </row>
    <row r="344">
      <c r="A344" s="15" t="n"/>
      <c r="B344" s="10" t="n"/>
      <c r="C344" s="10" t="n"/>
      <c r="D344" s="22" t="n"/>
      <c r="E344" s="18" t="n"/>
      <c r="F344" s="18" t="n"/>
      <c r="G344" s="23">
        <f>IF($E344="","",$E344-N($F344))</f>
        <v/>
      </c>
      <c r="H344" s="24">
        <f>IFERROR($G344/$E344,"")</f>
        <v/>
      </c>
      <c r="I344" s="25">
        <f>IF($A344="","",YEAR($A344)&amp;"-"&amp;RIGHT("0"&amp;MONTH($A344),2))</f>
        <v/>
      </c>
      <c r="J344" s="10" t="n"/>
    </row>
    <row r="345">
      <c r="A345" s="15" t="n"/>
      <c r="B345" s="10" t="n"/>
      <c r="C345" s="10" t="n"/>
      <c r="D345" s="22" t="n"/>
      <c r="E345" s="18" t="n"/>
      <c r="F345" s="18" t="n"/>
      <c r="G345" s="23">
        <f>IF($E345="","",$E345-N($F345))</f>
        <v/>
      </c>
      <c r="H345" s="24">
        <f>IFERROR($G345/$E345,"")</f>
        <v/>
      </c>
      <c r="I345" s="25">
        <f>IF($A345="","",YEAR($A345)&amp;"-"&amp;RIGHT("0"&amp;MONTH($A345),2))</f>
        <v/>
      </c>
      <c r="J345" s="10" t="n"/>
    </row>
    <row r="346">
      <c r="A346" s="15" t="n"/>
      <c r="B346" s="10" t="n"/>
      <c r="C346" s="10" t="n"/>
      <c r="D346" s="22" t="n"/>
      <c r="E346" s="18" t="n"/>
      <c r="F346" s="18" t="n"/>
      <c r="G346" s="23">
        <f>IF($E346="","",$E346-N($F346))</f>
        <v/>
      </c>
      <c r="H346" s="24">
        <f>IFERROR($G346/$E346,"")</f>
        <v/>
      </c>
      <c r="I346" s="25">
        <f>IF($A346="","",YEAR($A346)&amp;"-"&amp;RIGHT("0"&amp;MONTH($A346),2))</f>
        <v/>
      </c>
      <c r="J346" s="10" t="n"/>
    </row>
    <row r="347">
      <c r="A347" s="15" t="n"/>
      <c r="B347" s="10" t="n"/>
      <c r="C347" s="10" t="n"/>
      <c r="D347" s="22" t="n"/>
      <c r="E347" s="18" t="n"/>
      <c r="F347" s="18" t="n"/>
      <c r="G347" s="23">
        <f>IF($E347="","",$E347-N($F347))</f>
        <v/>
      </c>
      <c r="H347" s="24">
        <f>IFERROR($G347/$E347,"")</f>
        <v/>
      </c>
      <c r="I347" s="25">
        <f>IF($A347="","",YEAR($A347)&amp;"-"&amp;RIGHT("0"&amp;MONTH($A347),2))</f>
        <v/>
      </c>
      <c r="J347" s="10" t="n"/>
    </row>
    <row r="348">
      <c r="A348" s="15" t="n"/>
      <c r="B348" s="10" t="n"/>
      <c r="C348" s="10" t="n"/>
      <c r="D348" s="22" t="n"/>
      <c r="E348" s="18" t="n"/>
      <c r="F348" s="18" t="n"/>
      <c r="G348" s="23">
        <f>IF($E348="","",$E348-N($F348))</f>
        <v/>
      </c>
      <c r="H348" s="24">
        <f>IFERROR($G348/$E348,"")</f>
        <v/>
      </c>
      <c r="I348" s="25">
        <f>IF($A348="","",YEAR($A348)&amp;"-"&amp;RIGHT("0"&amp;MONTH($A348),2))</f>
        <v/>
      </c>
      <c r="J348" s="10" t="n"/>
    </row>
    <row r="349">
      <c r="A349" s="15" t="n"/>
      <c r="B349" s="10" t="n"/>
      <c r="C349" s="10" t="n"/>
      <c r="D349" s="22" t="n"/>
      <c r="E349" s="18" t="n"/>
      <c r="F349" s="18" t="n"/>
      <c r="G349" s="23">
        <f>IF($E349="","",$E349-N($F349))</f>
        <v/>
      </c>
      <c r="H349" s="24">
        <f>IFERROR($G349/$E349,"")</f>
        <v/>
      </c>
      <c r="I349" s="25">
        <f>IF($A349="","",YEAR($A349)&amp;"-"&amp;RIGHT("0"&amp;MONTH($A349),2))</f>
        <v/>
      </c>
      <c r="J349" s="10" t="n"/>
    </row>
    <row r="350">
      <c r="A350" s="15" t="n"/>
      <c r="B350" s="10" t="n"/>
      <c r="C350" s="10" t="n"/>
      <c r="D350" s="22" t="n"/>
      <c r="E350" s="18" t="n"/>
      <c r="F350" s="18" t="n"/>
      <c r="G350" s="23">
        <f>IF($E350="","",$E350-N($F350))</f>
        <v/>
      </c>
      <c r="H350" s="24">
        <f>IFERROR($G350/$E350,"")</f>
        <v/>
      </c>
      <c r="I350" s="25">
        <f>IF($A350="","",YEAR($A350)&amp;"-"&amp;RIGHT("0"&amp;MONTH($A350),2))</f>
        <v/>
      </c>
      <c r="J350" s="10" t="n"/>
    </row>
    <row r="351">
      <c r="A351" s="15" t="n"/>
      <c r="B351" s="10" t="n"/>
      <c r="C351" s="10" t="n"/>
      <c r="D351" s="22" t="n"/>
      <c r="E351" s="18" t="n"/>
      <c r="F351" s="18" t="n"/>
      <c r="G351" s="23">
        <f>IF($E351="","",$E351-N($F351))</f>
        <v/>
      </c>
      <c r="H351" s="24">
        <f>IFERROR($G351/$E351,"")</f>
        <v/>
      </c>
      <c r="I351" s="25">
        <f>IF($A351="","",YEAR($A351)&amp;"-"&amp;RIGHT("0"&amp;MONTH($A351),2))</f>
        <v/>
      </c>
      <c r="J351" s="10" t="n"/>
    </row>
    <row r="352">
      <c r="A352" s="15" t="n"/>
      <c r="B352" s="10" t="n"/>
      <c r="C352" s="10" t="n"/>
      <c r="D352" s="22" t="n"/>
      <c r="E352" s="18" t="n"/>
      <c r="F352" s="18" t="n"/>
      <c r="G352" s="23">
        <f>IF($E352="","",$E352-N($F352))</f>
        <v/>
      </c>
      <c r="H352" s="24">
        <f>IFERROR($G352/$E352,"")</f>
        <v/>
      </c>
      <c r="I352" s="25">
        <f>IF($A352="","",YEAR($A352)&amp;"-"&amp;RIGHT("0"&amp;MONTH($A352),2))</f>
        <v/>
      </c>
      <c r="J352" s="10" t="n"/>
    </row>
    <row r="353">
      <c r="A353" s="15" t="n"/>
      <c r="B353" s="10" t="n"/>
      <c r="C353" s="10" t="n"/>
      <c r="D353" s="22" t="n"/>
      <c r="E353" s="18" t="n"/>
      <c r="F353" s="18" t="n"/>
      <c r="G353" s="23">
        <f>IF($E353="","",$E353-N($F353))</f>
        <v/>
      </c>
      <c r="H353" s="24">
        <f>IFERROR($G353/$E353,"")</f>
        <v/>
      </c>
      <c r="I353" s="25">
        <f>IF($A353="","",YEAR($A353)&amp;"-"&amp;RIGHT("0"&amp;MONTH($A353),2))</f>
        <v/>
      </c>
      <c r="J353" s="10" t="n"/>
    </row>
    <row r="354">
      <c r="A354" s="15" t="n"/>
      <c r="B354" s="10" t="n"/>
      <c r="C354" s="10" t="n"/>
      <c r="D354" s="22" t="n"/>
      <c r="E354" s="18" t="n"/>
      <c r="F354" s="18" t="n"/>
      <c r="G354" s="23">
        <f>IF($E354="","",$E354-N($F354))</f>
        <v/>
      </c>
      <c r="H354" s="24">
        <f>IFERROR($G354/$E354,"")</f>
        <v/>
      </c>
      <c r="I354" s="25">
        <f>IF($A354="","",YEAR($A354)&amp;"-"&amp;RIGHT("0"&amp;MONTH($A354),2))</f>
        <v/>
      </c>
      <c r="J354" s="10" t="n"/>
    </row>
    <row r="355">
      <c r="A355" s="15" t="n"/>
      <c r="B355" s="10" t="n"/>
      <c r="C355" s="10" t="n"/>
      <c r="D355" s="22" t="n"/>
      <c r="E355" s="18" t="n"/>
      <c r="F355" s="18" t="n"/>
      <c r="G355" s="23">
        <f>IF($E355="","",$E355-N($F355))</f>
        <v/>
      </c>
      <c r="H355" s="24">
        <f>IFERROR($G355/$E355,"")</f>
        <v/>
      </c>
      <c r="I355" s="25">
        <f>IF($A355="","",YEAR($A355)&amp;"-"&amp;RIGHT("0"&amp;MONTH($A355),2))</f>
        <v/>
      </c>
      <c r="J355" s="10" t="n"/>
    </row>
    <row r="356">
      <c r="A356" s="15" t="n"/>
      <c r="B356" s="10" t="n"/>
      <c r="C356" s="10" t="n"/>
      <c r="D356" s="22" t="n"/>
      <c r="E356" s="18" t="n"/>
      <c r="F356" s="18" t="n"/>
      <c r="G356" s="23">
        <f>IF($E356="","",$E356-N($F356))</f>
        <v/>
      </c>
      <c r="H356" s="24">
        <f>IFERROR($G356/$E356,"")</f>
        <v/>
      </c>
      <c r="I356" s="25">
        <f>IF($A356="","",YEAR($A356)&amp;"-"&amp;RIGHT("0"&amp;MONTH($A356),2))</f>
        <v/>
      </c>
      <c r="J356" s="10" t="n"/>
    </row>
    <row r="357">
      <c r="A357" s="15" t="n"/>
      <c r="B357" s="10" t="n"/>
      <c r="C357" s="10" t="n"/>
      <c r="D357" s="22" t="n"/>
      <c r="E357" s="18" t="n"/>
      <c r="F357" s="18" t="n"/>
      <c r="G357" s="23">
        <f>IF($E357="","",$E357-N($F357))</f>
        <v/>
      </c>
      <c r="H357" s="24">
        <f>IFERROR($G357/$E357,"")</f>
        <v/>
      </c>
      <c r="I357" s="25">
        <f>IF($A357="","",YEAR($A357)&amp;"-"&amp;RIGHT("0"&amp;MONTH($A357),2))</f>
        <v/>
      </c>
      <c r="J357" s="10" t="n"/>
    </row>
    <row r="358">
      <c r="A358" s="15" t="n"/>
      <c r="B358" s="10" t="n"/>
      <c r="C358" s="10" t="n"/>
      <c r="D358" s="22" t="n"/>
      <c r="E358" s="18" t="n"/>
      <c r="F358" s="18" t="n"/>
      <c r="G358" s="23">
        <f>IF($E358="","",$E358-N($F358))</f>
        <v/>
      </c>
      <c r="H358" s="24">
        <f>IFERROR($G358/$E358,"")</f>
        <v/>
      </c>
      <c r="I358" s="25">
        <f>IF($A358="","",YEAR($A358)&amp;"-"&amp;RIGHT("0"&amp;MONTH($A358),2))</f>
        <v/>
      </c>
      <c r="J358" s="10" t="n"/>
    </row>
    <row r="359">
      <c r="A359" s="15" t="n"/>
      <c r="B359" s="10" t="n"/>
      <c r="C359" s="10" t="n"/>
      <c r="D359" s="22" t="n"/>
      <c r="E359" s="18" t="n"/>
      <c r="F359" s="18" t="n"/>
      <c r="G359" s="23">
        <f>IF($E359="","",$E359-N($F359))</f>
        <v/>
      </c>
      <c r="H359" s="24">
        <f>IFERROR($G359/$E359,"")</f>
        <v/>
      </c>
      <c r="I359" s="25">
        <f>IF($A359="","",YEAR($A359)&amp;"-"&amp;RIGHT("0"&amp;MONTH($A359),2))</f>
        <v/>
      </c>
      <c r="J359" s="10" t="n"/>
    </row>
    <row r="360">
      <c r="A360" s="15" t="n"/>
      <c r="B360" s="10" t="n"/>
      <c r="C360" s="10" t="n"/>
      <c r="D360" s="22" t="n"/>
      <c r="E360" s="18" t="n"/>
      <c r="F360" s="18" t="n"/>
      <c r="G360" s="23">
        <f>IF($E360="","",$E360-N($F360))</f>
        <v/>
      </c>
      <c r="H360" s="24">
        <f>IFERROR($G360/$E360,"")</f>
        <v/>
      </c>
      <c r="I360" s="25">
        <f>IF($A360="","",YEAR($A360)&amp;"-"&amp;RIGHT("0"&amp;MONTH($A360),2))</f>
        <v/>
      </c>
      <c r="J360" s="10" t="n"/>
    </row>
    <row r="361">
      <c r="A361" s="15" t="n"/>
      <c r="B361" s="10" t="n"/>
      <c r="C361" s="10" t="n"/>
      <c r="D361" s="22" t="n"/>
      <c r="E361" s="18" t="n"/>
      <c r="F361" s="18" t="n"/>
      <c r="G361" s="23">
        <f>IF($E361="","",$E361-N($F361))</f>
        <v/>
      </c>
      <c r="H361" s="24">
        <f>IFERROR($G361/$E361,"")</f>
        <v/>
      </c>
      <c r="I361" s="25">
        <f>IF($A361="","",YEAR($A361)&amp;"-"&amp;RIGHT("0"&amp;MONTH($A361),2))</f>
        <v/>
      </c>
      <c r="J361" s="10" t="n"/>
    </row>
    <row r="362">
      <c r="A362" s="15" t="n"/>
      <c r="B362" s="10" t="n"/>
      <c r="C362" s="10" t="n"/>
      <c r="D362" s="22" t="n"/>
      <c r="E362" s="18" t="n"/>
      <c r="F362" s="18" t="n"/>
      <c r="G362" s="23">
        <f>IF($E362="","",$E362-N($F362))</f>
        <v/>
      </c>
      <c r="H362" s="24">
        <f>IFERROR($G362/$E362,"")</f>
        <v/>
      </c>
      <c r="I362" s="25">
        <f>IF($A362="","",YEAR($A362)&amp;"-"&amp;RIGHT("0"&amp;MONTH($A362),2))</f>
        <v/>
      </c>
      <c r="J362" s="10" t="n"/>
    </row>
    <row r="363">
      <c r="A363" s="15" t="n"/>
      <c r="B363" s="10" t="n"/>
      <c r="C363" s="10" t="n"/>
      <c r="D363" s="22" t="n"/>
      <c r="E363" s="18" t="n"/>
      <c r="F363" s="18" t="n"/>
      <c r="G363" s="23">
        <f>IF($E363="","",$E363-N($F363))</f>
        <v/>
      </c>
      <c r="H363" s="24">
        <f>IFERROR($G363/$E363,"")</f>
        <v/>
      </c>
      <c r="I363" s="25">
        <f>IF($A363="","",YEAR($A363)&amp;"-"&amp;RIGHT("0"&amp;MONTH($A363),2))</f>
        <v/>
      </c>
      <c r="J363" s="10" t="n"/>
    </row>
    <row r="364">
      <c r="A364" s="15" t="n"/>
      <c r="B364" s="10" t="n"/>
      <c r="C364" s="10" t="n"/>
      <c r="D364" s="22" t="n"/>
      <c r="E364" s="18" t="n"/>
      <c r="F364" s="18" t="n"/>
      <c r="G364" s="23">
        <f>IF($E364="","",$E364-N($F364))</f>
        <v/>
      </c>
      <c r="H364" s="24">
        <f>IFERROR($G364/$E364,"")</f>
        <v/>
      </c>
      <c r="I364" s="25">
        <f>IF($A364="","",YEAR($A364)&amp;"-"&amp;RIGHT("0"&amp;MONTH($A364),2))</f>
        <v/>
      </c>
      <c r="J364" s="10" t="n"/>
    </row>
    <row r="365">
      <c r="A365" s="15" t="n"/>
      <c r="B365" s="10" t="n"/>
      <c r="C365" s="10" t="n"/>
      <c r="D365" s="22" t="n"/>
      <c r="E365" s="18" t="n"/>
      <c r="F365" s="18" t="n"/>
      <c r="G365" s="23">
        <f>IF($E365="","",$E365-N($F365))</f>
        <v/>
      </c>
      <c r="H365" s="24">
        <f>IFERROR($G365/$E365,"")</f>
        <v/>
      </c>
      <c r="I365" s="25">
        <f>IF($A365="","",YEAR($A365)&amp;"-"&amp;RIGHT("0"&amp;MONTH($A365),2))</f>
        <v/>
      </c>
      <c r="J365" s="10" t="n"/>
    </row>
    <row r="366">
      <c r="A366" s="15" t="n"/>
      <c r="B366" s="10" t="n"/>
      <c r="C366" s="10" t="n"/>
      <c r="D366" s="22" t="n"/>
      <c r="E366" s="18" t="n"/>
      <c r="F366" s="18" t="n"/>
      <c r="G366" s="23">
        <f>IF($E366="","",$E366-N($F366))</f>
        <v/>
      </c>
      <c r="H366" s="24">
        <f>IFERROR($G366/$E366,"")</f>
        <v/>
      </c>
      <c r="I366" s="25">
        <f>IF($A366="","",YEAR($A366)&amp;"-"&amp;RIGHT("0"&amp;MONTH($A366),2))</f>
        <v/>
      </c>
      <c r="J366" s="10" t="n"/>
    </row>
    <row r="367">
      <c r="A367" s="15" t="n"/>
      <c r="B367" s="10" t="n"/>
      <c r="C367" s="10" t="n"/>
      <c r="D367" s="22" t="n"/>
      <c r="E367" s="18" t="n"/>
      <c r="F367" s="18" t="n"/>
      <c r="G367" s="23">
        <f>IF($E367="","",$E367-N($F367))</f>
        <v/>
      </c>
      <c r="H367" s="24">
        <f>IFERROR($G367/$E367,"")</f>
        <v/>
      </c>
      <c r="I367" s="25">
        <f>IF($A367="","",YEAR($A367)&amp;"-"&amp;RIGHT("0"&amp;MONTH($A367),2))</f>
        <v/>
      </c>
      <c r="J367" s="10" t="n"/>
    </row>
    <row r="368">
      <c r="A368" s="15" t="n"/>
      <c r="B368" s="10" t="n"/>
      <c r="C368" s="10" t="n"/>
      <c r="D368" s="22" t="n"/>
      <c r="E368" s="18" t="n"/>
      <c r="F368" s="18" t="n"/>
      <c r="G368" s="23">
        <f>IF($E368="","",$E368-N($F368))</f>
        <v/>
      </c>
      <c r="H368" s="24">
        <f>IFERROR($G368/$E368,"")</f>
        <v/>
      </c>
      <c r="I368" s="25">
        <f>IF($A368="","",YEAR($A368)&amp;"-"&amp;RIGHT("0"&amp;MONTH($A368),2))</f>
        <v/>
      </c>
      <c r="J368" s="10" t="n"/>
    </row>
    <row r="369">
      <c r="A369" s="15" t="n"/>
      <c r="B369" s="10" t="n"/>
      <c r="C369" s="10" t="n"/>
      <c r="D369" s="22" t="n"/>
      <c r="E369" s="18" t="n"/>
      <c r="F369" s="18" t="n"/>
      <c r="G369" s="23">
        <f>IF($E369="","",$E369-N($F369))</f>
        <v/>
      </c>
      <c r="H369" s="24">
        <f>IFERROR($G369/$E369,"")</f>
        <v/>
      </c>
      <c r="I369" s="25">
        <f>IF($A369="","",YEAR($A369)&amp;"-"&amp;RIGHT("0"&amp;MONTH($A369),2))</f>
        <v/>
      </c>
      <c r="J369" s="10" t="n"/>
    </row>
    <row r="370">
      <c r="A370" s="15" t="n"/>
      <c r="B370" s="10" t="n"/>
      <c r="C370" s="10" t="n"/>
      <c r="D370" s="22" t="n"/>
      <c r="E370" s="18" t="n"/>
      <c r="F370" s="18" t="n"/>
      <c r="G370" s="23">
        <f>IF($E370="","",$E370-N($F370))</f>
        <v/>
      </c>
      <c r="H370" s="24">
        <f>IFERROR($G370/$E370,"")</f>
        <v/>
      </c>
      <c r="I370" s="25">
        <f>IF($A370="","",YEAR($A370)&amp;"-"&amp;RIGHT("0"&amp;MONTH($A370),2))</f>
        <v/>
      </c>
      <c r="J370" s="10" t="n"/>
    </row>
    <row r="371">
      <c r="A371" s="15" t="n"/>
      <c r="B371" s="10" t="n"/>
      <c r="C371" s="10" t="n"/>
      <c r="D371" s="22" t="n"/>
      <c r="E371" s="18" t="n"/>
      <c r="F371" s="18" t="n"/>
      <c r="G371" s="23">
        <f>IF($E371="","",$E371-N($F371))</f>
        <v/>
      </c>
      <c r="H371" s="24">
        <f>IFERROR($G371/$E371,"")</f>
        <v/>
      </c>
      <c r="I371" s="25">
        <f>IF($A371="","",YEAR($A371)&amp;"-"&amp;RIGHT("0"&amp;MONTH($A371),2))</f>
        <v/>
      </c>
      <c r="J371" s="10" t="n"/>
    </row>
    <row r="372">
      <c r="A372" s="15" t="n"/>
      <c r="B372" s="10" t="n"/>
      <c r="C372" s="10" t="n"/>
      <c r="D372" s="22" t="n"/>
      <c r="E372" s="18" t="n"/>
      <c r="F372" s="18" t="n"/>
      <c r="G372" s="23">
        <f>IF($E372="","",$E372-N($F372))</f>
        <v/>
      </c>
      <c r="H372" s="24">
        <f>IFERROR($G372/$E372,"")</f>
        <v/>
      </c>
      <c r="I372" s="25">
        <f>IF($A372="","",YEAR($A372)&amp;"-"&amp;RIGHT("0"&amp;MONTH($A372),2))</f>
        <v/>
      </c>
      <c r="J372" s="10" t="n"/>
    </row>
    <row r="373">
      <c r="A373" s="15" t="n"/>
      <c r="B373" s="10" t="n"/>
      <c r="C373" s="10" t="n"/>
      <c r="D373" s="22" t="n"/>
      <c r="E373" s="18" t="n"/>
      <c r="F373" s="18" t="n"/>
      <c r="G373" s="23">
        <f>IF($E373="","",$E373-N($F373))</f>
        <v/>
      </c>
      <c r="H373" s="24">
        <f>IFERROR($G373/$E373,"")</f>
        <v/>
      </c>
      <c r="I373" s="25">
        <f>IF($A373="","",YEAR($A373)&amp;"-"&amp;RIGHT("0"&amp;MONTH($A373),2))</f>
        <v/>
      </c>
      <c r="J373" s="10" t="n"/>
    </row>
    <row r="374">
      <c r="A374" s="15" t="n"/>
      <c r="B374" s="10" t="n"/>
      <c r="C374" s="10" t="n"/>
      <c r="D374" s="22" t="n"/>
      <c r="E374" s="18" t="n"/>
      <c r="F374" s="18" t="n"/>
      <c r="G374" s="23">
        <f>IF($E374="","",$E374-N($F374))</f>
        <v/>
      </c>
      <c r="H374" s="24">
        <f>IFERROR($G374/$E374,"")</f>
        <v/>
      </c>
      <c r="I374" s="25">
        <f>IF($A374="","",YEAR($A374)&amp;"-"&amp;RIGHT("0"&amp;MONTH($A374),2))</f>
        <v/>
      </c>
      <c r="J374" s="10" t="n"/>
    </row>
    <row r="375">
      <c r="A375" s="15" t="n"/>
      <c r="B375" s="10" t="n"/>
      <c r="C375" s="10" t="n"/>
      <c r="D375" s="22" t="n"/>
      <c r="E375" s="18" t="n"/>
      <c r="F375" s="18" t="n"/>
      <c r="G375" s="23">
        <f>IF($E375="","",$E375-N($F375))</f>
        <v/>
      </c>
      <c r="H375" s="24">
        <f>IFERROR($G375/$E375,"")</f>
        <v/>
      </c>
      <c r="I375" s="25">
        <f>IF($A375="","",YEAR($A375)&amp;"-"&amp;RIGHT("0"&amp;MONTH($A375),2))</f>
        <v/>
      </c>
      <c r="J375" s="10" t="n"/>
    </row>
    <row r="376">
      <c r="A376" s="15" t="n"/>
      <c r="B376" s="10" t="n"/>
      <c r="C376" s="10" t="n"/>
      <c r="D376" s="22" t="n"/>
      <c r="E376" s="18" t="n"/>
      <c r="F376" s="18" t="n"/>
      <c r="G376" s="23">
        <f>IF($E376="","",$E376-N($F376))</f>
        <v/>
      </c>
      <c r="H376" s="24">
        <f>IFERROR($G376/$E376,"")</f>
        <v/>
      </c>
      <c r="I376" s="25">
        <f>IF($A376="","",YEAR($A376)&amp;"-"&amp;RIGHT("0"&amp;MONTH($A376),2))</f>
        <v/>
      </c>
      <c r="J376" s="10" t="n"/>
    </row>
    <row r="377">
      <c r="A377" s="15" t="n"/>
      <c r="B377" s="10" t="n"/>
      <c r="C377" s="10" t="n"/>
      <c r="D377" s="22" t="n"/>
      <c r="E377" s="18" t="n"/>
      <c r="F377" s="18" t="n"/>
      <c r="G377" s="23">
        <f>IF($E377="","",$E377-N($F377))</f>
        <v/>
      </c>
      <c r="H377" s="24">
        <f>IFERROR($G377/$E377,"")</f>
        <v/>
      </c>
      <c r="I377" s="25">
        <f>IF($A377="","",YEAR($A377)&amp;"-"&amp;RIGHT("0"&amp;MONTH($A377),2))</f>
        <v/>
      </c>
      <c r="J377" s="10" t="n"/>
    </row>
    <row r="378">
      <c r="A378" s="15" t="n"/>
      <c r="B378" s="10" t="n"/>
      <c r="C378" s="10" t="n"/>
      <c r="D378" s="22" t="n"/>
      <c r="E378" s="18" t="n"/>
      <c r="F378" s="18" t="n"/>
      <c r="G378" s="23">
        <f>IF($E378="","",$E378-N($F378))</f>
        <v/>
      </c>
      <c r="H378" s="24">
        <f>IFERROR($G378/$E378,"")</f>
        <v/>
      </c>
      <c r="I378" s="25">
        <f>IF($A378="","",YEAR($A378)&amp;"-"&amp;RIGHT("0"&amp;MONTH($A378),2))</f>
        <v/>
      </c>
      <c r="J378" s="10" t="n"/>
    </row>
    <row r="379">
      <c r="A379" s="15" t="n"/>
      <c r="B379" s="10" t="n"/>
      <c r="C379" s="10" t="n"/>
      <c r="D379" s="22" t="n"/>
      <c r="E379" s="18" t="n"/>
      <c r="F379" s="18" t="n"/>
      <c r="G379" s="23">
        <f>IF($E379="","",$E379-N($F379))</f>
        <v/>
      </c>
      <c r="H379" s="24">
        <f>IFERROR($G379/$E379,"")</f>
        <v/>
      </c>
      <c r="I379" s="25">
        <f>IF($A379="","",YEAR($A379)&amp;"-"&amp;RIGHT("0"&amp;MONTH($A379),2))</f>
        <v/>
      </c>
      <c r="J379" s="10" t="n"/>
    </row>
    <row r="380">
      <c r="A380" s="15" t="n"/>
      <c r="B380" s="10" t="n"/>
      <c r="C380" s="10" t="n"/>
      <c r="D380" s="22" t="n"/>
      <c r="E380" s="18" t="n"/>
      <c r="F380" s="18" t="n"/>
      <c r="G380" s="23">
        <f>IF($E380="","",$E380-N($F380))</f>
        <v/>
      </c>
      <c r="H380" s="24">
        <f>IFERROR($G380/$E380,"")</f>
        <v/>
      </c>
      <c r="I380" s="25">
        <f>IF($A380="","",YEAR($A380)&amp;"-"&amp;RIGHT("0"&amp;MONTH($A380),2))</f>
        <v/>
      </c>
      <c r="J380" s="10" t="n"/>
    </row>
    <row r="381">
      <c r="A381" s="15" t="n"/>
      <c r="B381" s="10" t="n"/>
      <c r="C381" s="10" t="n"/>
      <c r="D381" s="22" t="n"/>
      <c r="E381" s="18" t="n"/>
      <c r="F381" s="18" t="n"/>
      <c r="G381" s="23">
        <f>IF($E381="","",$E381-N($F381))</f>
        <v/>
      </c>
      <c r="H381" s="24">
        <f>IFERROR($G381/$E381,"")</f>
        <v/>
      </c>
      <c r="I381" s="25">
        <f>IF($A381="","",YEAR($A381)&amp;"-"&amp;RIGHT("0"&amp;MONTH($A381),2))</f>
        <v/>
      </c>
      <c r="J381" s="10" t="n"/>
    </row>
    <row r="382">
      <c r="A382" s="15" t="n"/>
      <c r="B382" s="10" t="n"/>
      <c r="C382" s="10" t="n"/>
      <c r="D382" s="22" t="n"/>
      <c r="E382" s="18" t="n"/>
      <c r="F382" s="18" t="n"/>
      <c r="G382" s="23">
        <f>IF($E382="","",$E382-N($F382))</f>
        <v/>
      </c>
      <c r="H382" s="24">
        <f>IFERROR($G382/$E382,"")</f>
        <v/>
      </c>
      <c r="I382" s="25">
        <f>IF($A382="","",YEAR($A382)&amp;"-"&amp;RIGHT("0"&amp;MONTH($A382),2))</f>
        <v/>
      </c>
      <c r="J382" s="10" t="n"/>
    </row>
    <row r="383">
      <c r="A383" s="15" t="n"/>
      <c r="B383" s="10" t="n"/>
      <c r="C383" s="10" t="n"/>
      <c r="D383" s="22" t="n"/>
      <c r="E383" s="18" t="n"/>
      <c r="F383" s="18" t="n"/>
      <c r="G383" s="23">
        <f>IF($E383="","",$E383-N($F383))</f>
        <v/>
      </c>
      <c r="H383" s="24">
        <f>IFERROR($G383/$E383,"")</f>
        <v/>
      </c>
      <c r="I383" s="25">
        <f>IF($A383="","",YEAR($A383)&amp;"-"&amp;RIGHT("0"&amp;MONTH($A383),2))</f>
        <v/>
      </c>
      <c r="J383" s="10" t="n"/>
    </row>
    <row r="384">
      <c r="A384" s="15" t="n"/>
      <c r="B384" s="10" t="n"/>
      <c r="C384" s="10" t="n"/>
      <c r="D384" s="22" t="n"/>
      <c r="E384" s="18" t="n"/>
      <c r="F384" s="18" t="n"/>
      <c r="G384" s="23">
        <f>IF($E384="","",$E384-N($F384))</f>
        <v/>
      </c>
      <c r="H384" s="24">
        <f>IFERROR($G384/$E384,"")</f>
        <v/>
      </c>
      <c r="I384" s="25">
        <f>IF($A384="","",YEAR($A384)&amp;"-"&amp;RIGHT("0"&amp;MONTH($A384),2))</f>
        <v/>
      </c>
      <c r="J384" s="10" t="n"/>
    </row>
    <row r="385">
      <c r="A385" s="15" t="n"/>
      <c r="B385" s="10" t="n"/>
      <c r="C385" s="10" t="n"/>
      <c r="D385" s="22" t="n"/>
      <c r="E385" s="18" t="n"/>
      <c r="F385" s="18" t="n"/>
      <c r="G385" s="23">
        <f>IF($E385="","",$E385-N($F385))</f>
        <v/>
      </c>
      <c r="H385" s="24">
        <f>IFERROR($G385/$E385,"")</f>
        <v/>
      </c>
      <c r="I385" s="25">
        <f>IF($A385="","",YEAR($A385)&amp;"-"&amp;RIGHT("0"&amp;MONTH($A385),2))</f>
        <v/>
      </c>
      <c r="J385" s="10" t="n"/>
    </row>
    <row r="386">
      <c r="A386" s="15" t="n"/>
      <c r="B386" s="10" t="n"/>
      <c r="C386" s="10" t="n"/>
      <c r="D386" s="22" t="n"/>
      <c r="E386" s="18" t="n"/>
      <c r="F386" s="18" t="n"/>
      <c r="G386" s="23">
        <f>IF($E386="","",$E386-N($F386))</f>
        <v/>
      </c>
      <c r="H386" s="24">
        <f>IFERROR($G386/$E386,"")</f>
        <v/>
      </c>
      <c r="I386" s="25">
        <f>IF($A386="","",YEAR($A386)&amp;"-"&amp;RIGHT("0"&amp;MONTH($A386),2))</f>
        <v/>
      </c>
      <c r="J386" s="10" t="n"/>
    </row>
    <row r="387">
      <c r="A387" s="15" t="n"/>
      <c r="B387" s="10" t="n"/>
      <c r="C387" s="10" t="n"/>
      <c r="D387" s="22" t="n"/>
      <c r="E387" s="18" t="n"/>
      <c r="F387" s="18" t="n"/>
      <c r="G387" s="23">
        <f>IF($E387="","",$E387-N($F387))</f>
        <v/>
      </c>
      <c r="H387" s="24">
        <f>IFERROR($G387/$E387,"")</f>
        <v/>
      </c>
      <c r="I387" s="25">
        <f>IF($A387="","",YEAR($A387)&amp;"-"&amp;RIGHT("0"&amp;MONTH($A387),2))</f>
        <v/>
      </c>
      <c r="J387" s="10" t="n"/>
    </row>
    <row r="388">
      <c r="A388" s="15" t="n"/>
      <c r="B388" s="10" t="n"/>
      <c r="C388" s="10" t="n"/>
      <c r="D388" s="22" t="n"/>
      <c r="E388" s="18" t="n"/>
      <c r="F388" s="18" t="n"/>
      <c r="G388" s="23">
        <f>IF($E388="","",$E388-N($F388))</f>
        <v/>
      </c>
      <c r="H388" s="24">
        <f>IFERROR($G388/$E388,"")</f>
        <v/>
      </c>
      <c r="I388" s="25">
        <f>IF($A388="","",YEAR($A388)&amp;"-"&amp;RIGHT("0"&amp;MONTH($A388),2))</f>
        <v/>
      </c>
      <c r="J388" s="10" t="n"/>
    </row>
    <row r="389">
      <c r="A389" s="15" t="n"/>
      <c r="B389" s="10" t="n"/>
      <c r="C389" s="10" t="n"/>
      <c r="D389" s="22" t="n"/>
      <c r="E389" s="18" t="n"/>
      <c r="F389" s="18" t="n"/>
      <c r="G389" s="23">
        <f>IF($E389="","",$E389-N($F389))</f>
        <v/>
      </c>
      <c r="H389" s="24">
        <f>IFERROR($G389/$E389,"")</f>
        <v/>
      </c>
      <c r="I389" s="25">
        <f>IF($A389="","",YEAR($A389)&amp;"-"&amp;RIGHT("0"&amp;MONTH($A389),2))</f>
        <v/>
      </c>
      <c r="J389" s="10" t="n"/>
    </row>
    <row r="390">
      <c r="A390" s="15" t="n"/>
      <c r="B390" s="10" t="n"/>
      <c r="C390" s="10" t="n"/>
      <c r="D390" s="22" t="n"/>
      <c r="E390" s="18" t="n"/>
      <c r="F390" s="18" t="n"/>
      <c r="G390" s="23">
        <f>IF($E390="","",$E390-N($F390))</f>
        <v/>
      </c>
      <c r="H390" s="24">
        <f>IFERROR($G390/$E390,"")</f>
        <v/>
      </c>
      <c r="I390" s="25">
        <f>IF($A390="","",YEAR($A390)&amp;"-"&amp;RIGHT("0"&amp;MONTH($A390),2))</f>
        <v/>
      </c>
      <c r="J390" s="10" t="n"/>
    </row>
    <row r="391">
      <c r="A391" s="15" t="n"/>
      <c r="B391" s="10" t="n"/>
      <c r="C391" s="10" t="n"/>
      <c r="D391" s="22" t="n"/>
      <c r="E391" s="18" t="n"/>
      <c r="F391" s="18" t="n"/>
      <c r="G391" s="23">
        <f>IF($E391="","",$E391-N($F391))</f>
        <v/>
      </c>
      <c r="H391" s="24">
        <f>IFERROR($G391/$E391,"")</f>
        <v/>
      </c>
      <c r="I391" s="25">
        <f>IF($A391="","",YEAR($A391)&amp;"-"&amp;RIGHT("0"&amp;MONTH($A391),2))</f>
        <v/>
      </c>
      <c r="J391" s="10" t="n"/>
    </row>
    <row r="392">
      <c r="A392" s="15" t="n"/>
      <c r="B392" s="10" t="n"/>
      <c r="C392" s="10" t="n"/>
      <c r="D392" s="22" t="n"/>
      <c r="E392" s="18" t="n"/>
      <c r="F392" s="18" t="n"/>
      <c r="G392" s="23">
        <f>IF($E392="","",$E392-N($F392))</f>
        <v/>
      </c>
      <c r="H392" s="24">
        <f>IFERROR($G392/$E392,"")</f>
        <v/>
      </c>
      <c r="I392" s="25">
        <f>IF($A392="","",YEAR($A392)&amp;"-"&amp;RIGHT("0"&amp;MONTH($A392),2))</f>
        <v/>
      </c>
      <c r="J392" s="10" t="n"/>
    </row>
    <row r="393">
      <c r="A393" s="15" t="n"/>
      <c r="B393" s="10" t="n"/>
      <c r="C393" s="10" t="n"/>
      <c r="D393" s="22" t="n"/>
      <c r="E393" s="18" t="n"/>
      <c r="F393" s="18" t="n"/>
      <c r="G393" s="23">
        <f>IF($E393="","",$E393-N($F393))</f>
        <v/>
      </c>
      <c r="H393" s="24">
        <f>IFERROR($G393/$E393,"")</f>
        <v/>
      </c>
      <c r="I393" s="25">
        <f>IF($A393="","",YEAR($A393)&amp;"-"&amp;RIGHT("0"&amp;MONTH($A393),2))</f>
        <v/>
      </c>
      <c r="J393" s="10" t="n"/>
    </row>
    <row r="394">
      <c r="A394" s="15" t="n"/>
      <c r="B394" s="10" t="n"/>
      <c r="C394" s="10" t="n"/>
      <c r="D394" s="22" t="n"/>
      <c r="E394" s="18" t="n"/>
      <c r="F394" s="18" t="n"/>
      <c r="G394" s="23">
        <f>IF($E394="","",$E394-N($F394))</f>
        <v/>
      </c>
      <c r="H394" s="24">
        <f>IFERROR($G394/$E394,"")</f>
        <v/>
      </c>
      <c r="I394" s="25">
        <f>IF($A394="","",YEAR($A394)&amp;"-"&amp;RIGHT("0"&amp;MONTH($A394),2))</f>
        <v/>
      </c>
      <c r="J394" s="10" t="n"/>
    </row>
    <row r="395">
      <c r="A395" s="15" t="n"/>
      <c r="B395" s="10" t="n"/>
      <c r="C395" s="10" t="n"/>
      <c r="D395" s="22" t="n"/>
      <c r="E395" s="18" t="n"/>
      <c r="F395" s="18" t="n"/>
      <c r="G395" s="23">
        <f>IF($E395="","",$E395-N($F395))</f>
        <v/>
      </c>
      <c r="H395" s="24">
        <f>IFERROR($G395/$E395,"")</f>
        <v/>
      </c>
      <c r="I395" s="25">
        <f>IF($A395="","",YEAR($A395)&amp;"-"&amp;RIGHT("0"&amp;MONTH($A395),2))</f>
        <v/>
      </c>
      <c r="J395" s="10" t="n"/>
    </row>
    <row r="396">
      <c r="A396" s="15" t="n"/>
      <c r="B396" s="10" t="n"/>
      <c r="C396" s="10" t="n"/>
      <c r="D396" s="22" t="n"/>
      <c r="E396" s="18" t="n"/>
      <c r="F396" s="18" t="n"/>
      <c r="G396" s="23">
        <f>IF($E396="","",$E396-N($F396))</f>
        <v/>
      </c>
      <c r="H396" s="24">
        <f>IFERROR($G396/$E396,"")</f>
        <v/>
      </c>
      <c r="I396" s="25">
        <f>IF($A396="","",YEAR($A396)&amp;"-"&amp;RIGHT("0"&amp;MONTH($A396),2))</f>
        <v/>
      </c>
      <c r="J396" s="10" t="n"/>
    </row>
    <row r="397">
      <c r="A397" s="15" t="n"/>
      <c r="B397" s="10" t="n"/>
      <c r="C397" s="10" t="n"/>
      <c r="D397" s="22" t="n"/>
      <c r="E397" s="18" t="n"/>
      <c r="F397" s="18" t="n"/>
      <c r="G397" s="23">
        <f>IF($E397="","",$E397-N($F397))</f>
        <v/>
      </c>
      <c r="H397" s="24">
        <f>IFERROR($G397/$E397,"")</f>
        <v/>
      </c>
      <c r="I397" s="25">
        <f>IF($A397="","",YEAR($A397)&amp;"-"&amp;RIGHT("0"&amp;MONTH($A397),2))</f>
        <v/>
      </c>
      <c r="J397" s="10" t="n"/>
    </row>
    <row r="398">
      <c r="A398" s="15" t="n"/>
      <c r="B398" s="10" t="n"/>
      <c r="C398" s="10" t="n"/>
      <c r="D398" s="22" t="n"/>
      <c r="E398" s="18" t="n"/>
      <c r="F398" s="18" t="n"/>
      <c r="G398" s="23">
        <f>IF($E398="","",$E398-N($F398))</f>
        <v/>
      </c>
      <c r="H398" s="24">
        <f>IFERROR($G398/$E398,"")</f>
        <v/>
      </c>
      <c r="I398" s="25">
        <f>IF($A398="","",YEAR($A398)&amp;"-"&amp;RIGHT("0"&amp;MONTH($A398),2))</f>
        <v/>
      </c>
      <c r="J398" s="10" t="n"/>
    </row>
    <row r="399">
      <c r="A399" s="15" t="n"/>
      <c r="B399" s="10" t="n"/>
      <c r="C399" s="10" t="n"/>
      <c r="D399" s="22" t="n"/>
      <c r="E399" s="18" t="n"/>
      <c r="F399" s="18" t="n"/>
      <c r="G399" s="23">
        <f>IF($E399="","",$E399-N($F399))</f>
        <v/>
      </c>
      <c r="H399" s="24">
        <f>IFERROR($G399/$E399,"")</f>
        <v/>
      </c>
      <c r="I399" s="25">
        <f>IF($A399="","",YEAR($A399)&amp;"-"&amp;RIGHT("0"&amp;MONTH($A399),2))</f>
        <v/>
      </c>
      <c r="J399" s="10" t="n"/>
    </row>
    <row r="400">
      <c r="A400" s="15" t="n"/>
      <c r="B400" s="10" t="n"/>
      <c r="C400" s="10" t="n"/>
      <c r="D400" s="22" t="n"/>
      <c r="E400" s="18" t="n"/>
      <c r="F400" s="18" t="n"/>
      <c r="G400" s="23">
        <f>IF($E400="","",$E400-N($F400))</f>
        <v/>
      </c>
      <c r="H400" s="24">
        <f>IFERROR($G400/$E400,"")</f>
        <v/>
      </c>
      <c r="I400" s="25">
        <f>IF($A400="","",YEAR($A400)&amp;"-"&amp;RIGHT("0"&amp;MONTH($A400),2))</f>
        <v/>
      </c>
      <c r="J400" s="10" t="n"/>
    </row>
    <row r="401">
      <c r="A401" s="15" t="n"/>
      <c r="B401" s="10" t="n"/>
      <c r="C401" s="10" t="n"/>
      <c r="D401" s="22" t="n"/>
      <c r="E401" s="18" t="n"/>
      <c r="F401" s="18" t="n"/>
      <c r="G401" s="23">
        <f>IF($E401="","",$E401-N($F401))</f>
        <v/>
      </c>
      <c r="H401" s="24">
        <f>IFERROR($G401/$E401,"")</f>
        <v/>
      </c>
      <c r="I401" s="25">
        <f>IF($A401="","",YEAR($A401)&amp;"-"&amp;RIGHT("0"&amp;MONTH($A401),2))</f>
        <v/>
      </c>
      <c r="J401" s="10" t="n"/>
    </row>
    <row r="402">
      <c r="A402" s="15" t="n"/>
      <c r="B402" s="10" t="n"/>
      <c r="C402" s="10" t="n"/>
      <c r="D402" s="22" t="n"/>
      <c r="E402" s="18" t="n"/>
      <c r="F402" s="18" t="n"/>
      <c r="G402" s="23">
        <f>IF($E402="","",$E402-N($F402))</f>
        <v/>
      </c>
      <c r="H402" s="24">
        <f>IFERROR($G402/$E402,"")</f>
        <v/>
      </c>
      <c r="I402" s="25">
        <f>IF($A402="","",YEAR($A402)&amp;"-"&amp;RIGHT("0"&amp;MONTH($A402),2))</f>
        <v/>
      </c>
      <c r="J402" s="10" t="n"/>
    </row>
    <row r="403">
      <c r="A403" s="15" t="n"/>
      <c r="B403" s="10" t="n"/>
      <c r="C403" s="10" t="n"/>
      <c r="D403" s="22" t="n"/>
      <c r="E403" s="18" t="n"/>
      <c r="F403" s="18" t="n"/>
      <c r="G403" s="23">
        <f>IF($E403="","",$E403-N($F403))</f>
        <v/>
      </c>
      <c r="H403" s="24">
        <f>IFERROR($G403/$E403,"")</f>
        <v/>
      </c>
      <c r="I403" s="25">
        <f>IF($A403="","",YEAR($A403)&amp;"-"&amp;RIGHT("0"&amp;MONTH($A403),2))</f>
        <v/>
      </c>
      <c r="J403" s="10" t="n"/>
    </row>
    <row r="404">
      <c r="A404" s="15" t="n"/>
      <c r="B404" s="10" t="n"/>
      <c r="C404" s="10" t="n"/>
      <c r="D404" s="22" t="n"/>
      <c r="E404" s="18" t="n"/>
      <c r="F404" s="18" t="n"/>
      <c r="G404" s="23">
        <f>IF($E404="","",$E404-N($F404))</f>
        <v/>
      </c>
      <c r="H404" s="24">
        <f>IFERROR($G404/$E404,"")</f>
        <v/>
      </c>
      <c r="I404" s="25">
        <f>IF($A404="","",YEAR($A404)&amp;"-"&amp;RIGHT("0"&amp;MONTH($A404),2))</f>
        <v/>
      </c>
      <c r="J404" s="10" t="n"/>
    </row>
    <row r="405">
      <c r="A405" s="15" t="n"/>
      <c r="B405" s="10" t="n"/>
      <c r="C405" s="10" t="n"/>
      <c r="D405" s="22" t="n"/>
      <c r="E405" s="18" t="n"/>
      <c r="F405" s="18" t="n"/>
      <c r="G405" s="23">
        <f>IF($E405="","",$E405-N($F405))</f>
        <v/>
      </c>
      <c r="H405" s="24">
        <f>IFERROR($G405/$E405,"")</f>
        <v/>
      </c>
      <c r="I405" s="25">
        <f>IF($A405="","",YEAR($A405)&amp;"-"&amp;RIGHT("0"&amp;MONTH($A405),2))</f>
        <v/>
      </c>
      <c r="J405" s="10" t="n"/>
    </row>
    <row r="406">
      <c r="A406" s="15" t="n"/>
      <c r="B406" s="10" t="n"/>
      <c r="C406" s="10" t="n"/>
      <c r="D406" s="22" t="n"/>
      <c r="E406" s="18" t="n"/>
      <c r="F406" s="18" t="n"/>
      <c r="G406" s="23">
        <f>IF($E406="","",$E406-N($F406))</f>
        <v/>
      </c>
      <c r="H406" s="24">
        <f>IFERROR($G406/$E406,"")</f>
        <v/>
      </c>
      <c r="I406" s="25">
        <f>IF($A406="","",YEAR($A406)&amp;"-"&amp;RIGHT("0"&amp;MONTH($A406),2))</f>
        <v/>
      </c>
      <c r="J406" s="10" t="n"/>
    </row>
    <row r="407">
      <c r="A407" s="15" t="n"/>
      <c r="B407" s="10" t="n"/>
      <c r="C407" s="10" t="n"/>
      <c r="D407" s="22" t="n"/>
      <c r="E407" s="18" t="n"/>
      <c r="F407" s="18" t="n"/>
      <c r="G407" s="23">
        <f>IF($E407="","",$E407-N($F407))</f>
        <v/>
      </c>
      <c r="H407" s="24">
        <f>IFERROR($G407/$E407,"")</f>
        <v/>
      </c>
      <c r="I407" s="25">
        <f>IF($A407="","",YEAR($A407)&amp;"-"&amp;RIGHT("0"&amp;MONTH($A407),2))</f>
        <v/>
      </c>
      <c r="J407" s="10" t="n"/>
    </row>
    <row r="408">
      <c r="A408" s="15" t="n"/>
      <c r="B408" s="10" t="n"/>
      <c r="C408" s="10" t="n"/>
      <c r="D408" s="22" t="n"/>
      <c r="E408" s="18" t="n"/>
      <c r="F408" s="18" t="n"/>
      <c r="G408" s="23">
        <f>IF($E408="","",$E408-N($F408))</f>
        <v/>
      </c>
      <c r="H408" s="24">
        <f>IFERROR($G408/$E408,"")</f>
        <v/>
      </c>
      <c r="I408" s="25">
        <f>IF($A408="","",YEAR($A408)&amp;"-"&amp;RIGHT("0"&amp;MONTH($A408),2))</f>
        <v/>
      </c>
      <c r="J408" s="10" t="n"/>
    </row>
    <row r="409">
      <c r="A409" s="15" t="n"/>
      <c r="B409" s="10" t="n"/>
      <c r="C409" s="10" t="n"/>
      <c r="D409" s="22" t="n"/>
      <c r="E409" s="18" t="n"/>
      <c r="F409" s="18" t="n"/>
      <c r="G409" s="23">
        <f>IF($E409="","",$E409-N($F409))</f>
        <v/>
      </c>
      <c r="H409" s="24">
        <f>IFERROR($G409/$E409,"")</f>
        <v/>
      </c>
      <c r="I409" s="25">
        <f>IF($A409="","",YEAR($A409)&amp;"-"&amp;RIGHT("0"&amp;MONTH($A409),2))</f>
        <v/>
      </c>
      <c r="J409" s="10" t="n"/>
    </row>
    <row r="410">
      <c r="A410" s="15" t="n"/>
      <c r="B410" s="10" t="n"/>
      <c r="C410" s="10" t="n"/>
      <c r="D410" s="22" t="n"/>
      <c r="E410" s="18" t="n"/>
      <c r="F410" s="18" t="n"/>
      <c r="G410" s="23">
        <f>IF($E410="","",$E410-N($F410))</f>
        <v/>
      </c>
      <c r="H410" s="24">
        <f>IFERROR($G410/$E410,"")</f>
        <v/>
      </c>
      <c r="I410" s="25">
        <f>IF($A410="","",YEAR($A410)&amp;"-"&amp;RIGHT("0"&amp;MONTH($A410),2))</f>
        <v/>
      </c>
      <c r="J410" s="10" t="n"/>
    </row>
    <row r="411">
      <c r="A411" s="15" t="n"/>
      <c r="B411" s="10" t="n"/>
      <c r="C411" s="10" t="n"/>
      <c r="D411" s="22" t="n"/>
      <c r="E411" s="18" t="n"/>
      <c r="F411" s="18" t="n"/>
      <c r="G411" s="23">
        <f>IF($E411="","",$E411-N($F411))</f>
        <v/>
      </c>
      <c r="H411" s="24">
        <f>IFERROR($G411/$E411,"")</f>
        <v/>
      </c>
      <c r="I411" s="25">
        <f>IF($A411="","",YEAR($A411)&amp;"-"&amp;RIGHT("0"&amp;MONTH($A411),2))</f>
        <v/>
      </c>
      <c r="J411" s="10" t="n"/>
    </row>
    <row r="412">
      <c r="A412" s="15" t="n"/>
      <c r="B412" s="10" t="n"/>
      <c r="C412" s="10" t="n"/>
      <c r="D412" s="22" t="n"/>
      <c r="E412" s="18" t="n"/>
      <c r="F412" s="18" t="n"/>
      <c r="G412" s="23">
        <f>IF($E412="","",$E412-N($F412))</f>
        <v/>
      </c>
      <c r="H412" s="24">
        <f>IFERROR($G412/$E412,"")</f>
        <v/>
      </c>
      <c r="I412" s="25">
        <f>IF($A412="","",YEAR($A412)&amp;"-"&amp;RIGHT("0"&amp;MONTH($A412),2))</f>
        <v/>
      </c>
      <c r="J412" s="10" t="n"/>
    </row>
    <row r="413">
      <c r="A413" s="15" t="n"/>
      <c r="B413" s="10" t="n"/>
      <c r="C413" s="10" t="n"/>
      <c r="D413" s="22" t="n"/>
      <c r="E413" s="18" t="n"/>
      <c r="F413" s="18" t="n"/>
      <c r="G413" s="23">
        <f>IF($E413="","",$E413-N($F413))</f>
        <v/>
      </c>
      <c r="H413" s="24">
        <f>IFERROR($G413/$E413,"")</f>
        <v/>
      </c>
      <c r="I413" s="25">
        <f>IF($A413="","",YEAR($A413)&amp;"-"&amp;RIGHT("0"&amp;MONTH($A413),2))</f>
        <v/>
      </c>
      <c r="J413" s="10" t="n"/>
    </row>
    <row r="414">
      <c r="A414" s="15" t="n"/>
      <c r="B414" s="10" t="n"/>
      <c r="C414" s="10" t="n"/>
      <c r="D414" s="22" t="n"/>
      <c r="E414" s="18" t="n"/>
      <c r="F414" s="18" t="n"/>
      <c r="G414" s="23">
        <f>IF($E414="","",$E414-N($F414))</f>
        <v/>
      </c>
      <c r="H414" s="24">
        <f>IFERROR($G414/$E414,"")</f>
        <v/>
      </c>
      <c r="I414" s="25">
        <f>IF($A414="","",YEAR($A414)&amp;"-"&amp;RIGHT("0"&amp;MONTH($A414),2))</f>
        <v/>
      </c>
      <c r="J414" s="10" t="n"/>
    </row>
    <row r="415">
      <c r="A415" s="15" t="n"/>
      <c r="B415" s="10" t="n"/>
      <c r="C415" s="10" t="n"/>
      <c r="D415" s="22" t="n"/>
      <c r="E415" s="18" t="n"/>
      <c r="F415" s="18" t="n"/>
      <c r="G415" s="23">
        <f>IF($E415="","",$E415-N($F415))</f>
        <v/>
      </c>
      <c r="H415" s="24">
        <f>IFERROR($G415/$E415,"")</f>
        <v/>
      </c>
      <c r="I415" s="25">
        <f>IF($A415="","",YEAR($A415)&amp;"-"&amp;RIGHT("0"&amp;MONTH($A415),2))</f>
        <v/>
      </c>
      <c r="J415" s="10" t="n"/>
    </row>
    <row r="416">
      <c r="A416" s="15" t="n"/>
      <c r="B416" s="10" t="n"/>
      <c r="C416" s="10" t="n"/>
      <c r="D416" s="22" t="n"/>
      <c r="E416" s="18" t="n"/>
      <c r="F416" s="18" t="n"/>
      <c r="G416" s="23">
        <f>IF($E416="","",$E416-N($F416))</f>
        <v/>
      </c>
      <c r="H416" s="24">
        <f>IFERROR($G416/$E416,"")</f>
        <v/>
      </c>
      <c r="I416" s="25">
        <f>IF($A416="","",YEAR($A416)&amp;"-"&amp;RIGHT("0"&amp;MONTH($A416),2))</f>
        <v/>
      </c>
      <c r="J416" s="10" t="n"/>
    </row>
    <row r="417">
      <c r="A417" s="15" t="n"/>
      <c r="B417" s="10" t="n"/>
      <c r="C417" s="10" t="n"/>
      <c r="D417" s="22" t="n"/>
      <c r="E417" s="18" t="n"/>
      <c r="F417" s="18" t="n"/>
      <c r="G417" s="23">
        <f>IF($E417="","",$E417-N($F417))</f>
        <v/>
      </c>
      <c r="H417" s="24">
        <f>IFERROR($G417/$E417,"")</f>
        <v/>
      </c>
      <c r="I417" s="25">
        <f>IF($A417="","",YEAR($A417)&amp;"-"&amp;RIGHT("0"&amp;MONTH($A417),2))</f>
        <v/>
      </c>
      <c r="J417" s="10" t="n"/>
    </row>
    <row r="418">
      <c r="A418" s="15" t="n"/>
      <c r="B418" s="10" t="n"/>
      <c r="C418" s="10" t="n"/>
      <c r="D418" s="22" t="n"/>
      <c r="E418" s="18" t="n"/>
      <c r="F418" s="18" t="n"/>
      <c r="G418" s="23">
        <f>IF($E418="","",$E418-N($F418))</f>
        <v/>
      </c>
      <c r="H418" s="24">
        <f>IFERROR($G418/$E418,"")</f>
        <v/>
      </c>
      <c r="I418" s="25">
        <f>IF($A418="","",YEAR($A418)&amp;"-"&amp;RIGHT("0"&amp;MONTH($A418),2))</f>
        <v/>
      </c>
      <c r="J418" s="10" t="n"/>
    </row>
    <row r="419">
      <c r="A419" s="15" t="n"/>
      <c r="B419" s="10" t="n"/>
      <c r="C419" s="10" t="n"/>
      <c r="D419" s="22" t="n"/>
      <c r="E419" s="18" t="n"/>
      <c r="F419" s="18" t="n"/>
      <c r="G419" s="23">
        <f>IF($E419="","",$E419-N($F419))</f>
        <v/>
      </c>
      <c r="H419" s="24">
        <f>IFERROR($G419/$E419,"")</f>
        <v/>
      </c>
      <c r="I419" s="25">
        <f>IF($A419="","",YEAR($A419)&amp;"-"&amp;RIGHT("0"&amp;MONTH($A419),2))</f>
        <v/>
      </c>
      <c r="J419" s="10" t="n"/>
    </row>
    <row r="420">
      <c r="A420" s="15" t="n"/>
      <c r="B420" s="10" t="n"/>
      <c r="C420" s="10" t="n"/>
      <c r="D420" s="22" t="n"/>
      <c r="E420" s="18" t="n"/>
      <c r="F420" s="18" t="n"/>
      <c r="G420" s="23">
        <f>IF($E420="","",$E420-N($F420))</f>
        <v/>
      </c>
      <c r="H420" s="24">
        <f>IFERROR($G420/$E420,"")</f>
        <v/>
      </c>
      <c r="I420" s="25">
        <f>IF($A420="","",YEAR($A420)&amp;"-"&amp;RIGHT("0"&amp;MONTH($A420),2))</f>
        <v/>
      </c>
      <c r="J420" s="10" t="n"/>
    </row>
    <row r="421">
      <c r="A421" s="15" t="n"/>
      <c r="B421" s="10" t="n"/>
      <c r="C421" s="10" t="n"/>
      <c r="D421" s="22" t="n"/>
      <c r="E421" s="18" t="n"/>
      <c r="F421" s="18" t="n"/>
      <c r="G421" s="23">
        <f>IF($E421="","",$E421-N($F421))</f>
        <v/>
      </c>
      <c r="H421" s="24">
        <f>IFERROR($G421/$E421,"")</f>
        <v/>
      </c>
      <c r="I421" s="25">
        <f>IF($A421="","",YEAR($A421)&amp;"-"&amp;RIGHT("0"&amp;MONTH($A421),2))</f>
        <v/>
      </c>
      <c r="J421" s="10" t="n"/>
    </row>
    <row r="422">
      <c r="A422" s="15" t="n"/>
      <c r="B422" s="10" t="n"/>
      <c r="C422" s="10" t="n"/>
      <c r="D422" s="22" t="n"/>
      <c r="E422" s="18" t="n"/>
      <c r="F422" s="18" t="n"/>
      <c r="G422" s="23">
        <f>IF($E422="","",$E422-N($F422))</f>
        <v/>
      </c>
      <c r="H422" s="24">
        <f>IFERROR($G422/$E422,"")</f>
        <v/>
      </c>
      <c r="I422" s="25">
        <f>IF($A422="","",YEAR($A422)&amp;"-"&amp;RIGHT("0"&amp;MONTH($A422),2))</f>
        <v/>
      </c>
      <c r="J422" s="10" t="n"/>
    </row>
    <row r="423">
      <c r="A423" s="15" t="n"/>
      <c r="B423" s="10" t="n"/>
      <c r="C423" s="10" t="n"/>
      <c r="D423" s="22" t="n"/>
      <c r="E423" s="18" t="n"/>
      <c r="F423" s="18" t="n"/>
      <c r="G423" s="23">
        <f>IF($E423="","",$E423-N($F423))</f>
        <v/>
      </c>
      <c r="H423" s="24">
        <f>IFERROR($G423/$E423,"")</f>
        <v/>
      </c>
      <c r="I423" s="25">
        <f>IF($A423="","",YEAR($A423)&amp;"-"&amp;RIGHT("0"&amp;MONTH($A423),2))</f>
        <v/>
      </c>
      <c r="J423" s="10" t="n"/>
    </row>
    <row r="424">
      <c r="A424" s="15" t="n"/>
      <c r="B424" s="10" t="n"/>
      <c r="C424" s="10" t="n"/>
      <c r="D424" s="22" t="n"/>
      <c r="E424" s="18" t="n"/>
      <c r="F424" s="18" t="n"/>
      <c r="G424" s="23">
        <f>IF($E424="","",$E424-N($F424))</f>
        <v/>
      </c>
      <c r="H424" s="24">
        <f>IFERROR($G424/$E424,"")</f>
        <v/>
      </c>
      <c r="I424" s="25">
        <f>IF($A424="","",YEAR($A424)&amp;"-"&amp;RIGHT("0"&amp;MONTH($A424),2))</f>
        <v/>
      </c>
      <c r="J424" s="10" t="n"/>
    </row>
    <row r="425">
      <c r="A425" s="15" t="n"/>
      <c r="B425" s="10" t="n"/>
      <c r="C425" s="10" t="n"/>
      <c r="D425" s="22" t="n"/>
      <c r="E425" s="18" t="n"/>
      <c r="F425" s="18" t="n"/>
      <c r="G425" s="23">
        <f>IF($E425="","",$E425-N($F425))</f>
        <v/>
      </c>
      <c r="H425" s="24">
        <f>IFERROR($G425/$E425,"")</f>
        <v/>
      </c>
      <c r="I425" s="25">
        <f>IF($A425="","",YEAR($A425)&amp;"-"&amp;RIGHT("0"&amp;MONTH($A425),2))</f>
        <v/>
      </c>
      <c r="J425" s="10" t="n"/>
    </row>
    <row r="426">
      <c r="A426" s="15" t="n"/>
      <c r="B426" s="10" t="n"/>
      <c r="C426" s="10" t="n"/>
      <c r="D426" s="22" t="n"/>
      <c r="E426" s="18" t="n"/>
      <c r="F426" s="18" t="n"/>
      <c r="G426" s="23">
        <f>IF($E426="","",$E426-N($F426))</f>
        <v/>
      </c>
      <c r="H426" s="24">
        <f>IFERROR($G426/$E426,"")</f>
        <v/>
      </c>
      <c r="I426" s="25">
        <f>IF($A426="","",YEAR($A426)&amp;"-"&amp;RIGHT("0"&amp;MONTH($A426),2))</f>
        <v/>
      </c>
      <c r="J426" s="10" t="n"/>
    </row>
    <row r="427">
      <c r="A427" s="15" t="n"/>
      <c r="B427" s="10" t="n"/>
      <c r="C427" s="10" t="n"/>
      <c r="D427" s="22" t="n"/>
      <c r="E427" s="18" t="n"/>
      <c r="F427" s="18" t="n"/>
      <c r="G427" s="23">
        <f>IF($E427="","",$E427-N($F427))</f>
        <v/>
      </c>
      <c r="H427" s="24">
        <f>IFERROR($G427/$E427,"")</f>
        <v/>
      </c>
      <c r="I427" s="25">
        <f>IF($A427="","",YEAR($A427)&amp;"-"&amp;RIGHT("0"&amp;MONTH($A427),2))</f>
        <v/>
      </c>
      <c r="J427" s="10" t="n"/>
    </row>
    <row r="428">
      <c r="A428" s="15" t="n"/>
      <c r="B428" s="10" t="n"/>
      <c r="C428" s="10" t="n"/>
      <c r="D428" s="22" t="n"/>
      <c r="E428" s="18" t="n"/>
      <c r="F428" s="18" t="n"/>
      <c r="G428" s="23">
        <f>IF($E428="","",$E428-N($F428))</f>
        <v/>
      </c>
      <c r="H428" s="24">
        <f>IFERROR($G428/$E428,"")</f>
        <v/>
      </c>
      <c r="I428" s="25">
        <f>IF($A428="","",YEAR($A428)&amp;"-"&amp;RIGHT("0"&amp;MONTH($A428),2))</f>
        <v/>
      </c>
      <c r="J428" s="10" t="n"/>
    </row>
    <row r="429">
      <c r="A429" s="15" t="n"/>
      <c r="B429" s="10" t="n"/>
      <c r="C429" s="10" t="n"/>
      <c r="D429" s="22" t="n"/>
      <c r="E429" s="18" t="n"/>
      <c r="F429" s="18" t="n"/>
      <c r="G429" s="23">
        <f>IF($E429="","",$E429-N($F429))</f>
        <v/>
      </c>
      <c r="H429" s="24">
        <f>IFERROR($G429/$E429,"")</f>
        <v/>
      </c>
      <c r="I429" s="25">
        <f>IF($A429="","",YEAR($A429)&amp;"-"&amp;RIGHT("0"&amp;MONTH($A429),2))</f>
        <v/>
      </c>
      <c r="J429" s="10" t="n"/>
    </row>
    <row r="430">
      <c r="A430" s="15" t="n"/>
      <c r="B430" s="10" t="n"/>
      <c r="C430" s="10" t="n"/>
      <c r="D430" s="22" t="n"/>
      <c r="E430" s="18" t="n"/>
      <c r="F430" s="18" t="n"/>
      <c r="G430" s="23">
        <f>IF($E430="","",$E430-N($F430))</f>
        <v/>
      </c>
      <c r="H430" s="24">
        <f>IFERROR($G430/$E430,"")</f>
        <v/>
      </c>
      <c r="I430" s="25">
        <f>IF($A430="","",YEAR($A430)&amp;"-"&amp;RIGHT("0"&amp;MONTH($A430),2))</f>
        <v/>
      </c>
      <c r="J430" s="10" t="n"/>
    </row>
    <row r="431">
      <c r="A431" s="15" t="n"/>
      <c r="B431" s="10" t="n"/>
      <c r="C431" s="10" t="n"/>
      <c r="D431" s="22" t="n"/>
      <c r="E431" s="18" t="n"/>
      <c r="F431" s="18" t="n"/>
      <c r="G431" s="23">
        <f>IF($E431="","",$E431-N($F431))</f>
        <v/>
      </c>
      <c r="H431" s="24">
        <f>IFERROR($G431/$E431,"")</f>
        <v/>
      </c>
      <c r="I431" s="25">
        <f>IF($A431="","",YEAR($A431)&amp;"-"&amp;RIGHT("0"&amp;MONTH($A431),2))</f>
        <v/>
      </c>
      <c r="J431" s="10" t="n"/>
    </row>
    <row r="432">
      <c r="A432" s="15" t="n"/>
      <c r="B432" s="10" t="n"/>
      <c r="C432" s="10" t="n"/>
      <c r="D432" s="22" t="n"/>
      <c r="E432" s="18" t="n"/>
      <c r="F432" s="18" t="n"/>
      <c r="G432" s="23">
        <f>IF($E432="","",$E432-N($F432))</f>
        <v/>
      </c>
      <c r="H432" s="24">
        <f>IFERROR($G432/$E432,"")</f>
        <v/>
      </c>
      <c r="I432" s="25">
        <f>IF($A432="","",YEAR($A432)&amp;"-"&amp;RIGHT("0"&amp;MONTH($A432),2))</f>
        <v/>
      </c>
      <c r="J432" s="10" t="n"/>
    </row>
    <row r="433">
      <c r="A433" s="15" t="n"/>
      <c r="B433" s="10" t="n"/>
      <c r="C433" s="10" t="n"/>
      <c r="D433" s="22" t="n"/>
      <c r="E433" s="18" t="n"/>
      <c r="F433" s="18" t="n"/>
      <c r="G433" s="23">
        <f>IF($E433="","",$E433-N($F433))</f>
        <v/>
      </c>
      <c r="H433" s="24">
        <f>IFERROR($G433/$E433,"")</f>
        <v/>
      </c>
      <c r="I433" s="25">
        <f>IF($A433="","",YEAR($A433)&amp;"-"&amp;RIGHT("0"&amp;MONTH($A433),2))</f>
        <v/>
      </c>
      <c r="J433" s="10" t="n"/>
    </row>
    <row r="434">
      <c r="A434" s="15" t="n"/>
      <c r="B434" s="10" t="n"/>
      <c r="C434" s="10" t="n"/>
      <c r="D434" s="22" t="n"/>
      <c r="E434" s="18" t="n"/>
      <c r="F434" s="18" t="n"/>
      <c r="G434" s="23">
        <f>IF($E434="","",$E434-N($F434))</f>
        <v/>
      </c>
      <c r="H434" s="24">
        <f>IFERROR($G434/$E434,"")</f>
        <v/>
      </c>
      <c r="I434" s="25">
        <f>IF($A434="","",YEAR($A434)&amp;"-"&amp;RIGHT("0"&amp;MONTH($A434),2))</f>
        <v/>
      </c>
      <c r="J434" s="10" t="n"/>
    </row>
    <row r="435">
      <c r="A435" s="15" t="n"/>
      <c r="B435" s="10" t="n"/>
      <c r="C435" s="10" t="n"/>
      <c r="D435" s="22" t="n"/>
      <c r="E435" s="18" t="n"/>
      <c r="F435" s="18" t="n"/>
      <c r="G435" s="23">
        <f>IF($E435="","",$E435-N($F435))</f>
        <v/>
      </c>
      <c r="H435" s="24">
        <f>IFERROR($G435/$E435,"")</f>
        <v/>
      </c>
      <c r="I435" s="25">
        <f>IF($A435="","",YEAR($A435)&amp;"-"&amp;RIGHT("0"&amp;MONTH($A435),2))</f>
        <v/>
      </c>
      <c r="J435" s="10" t="n"/>
    </row>
    <row r="436">
      <c r="A436" s="15" t="n"/>
      <c r="B436" s="10" t="n"/>
      <c r="C436" s="10" t="n"/>
      <c r="D436" s="22" t="n"/>
      <c r="E436" s="18" t="n"/>
      <c r="F436" s="18" t="n"/>
      <c r="G436" s="23">
        <f>IF($E436="","",$E436-N($F436))</f>
        <v/>
      </c>
      <c r="H436" s="24">
        <f>IFERROR($G436/$E436,"")</f>
        <v/>
      </c>
      <c r="I436" s="25">
        <f>IF($A436="","",YEAR($A436)&amp;"-"&amp;RIGHT("0"&amp;MONTH($A436),2))</f>
        <v/>
      </c>
      <c r="J436" s="10" t="n"/>
    </row>
    <row r="437">
      <c r="A437" s="15" t="n"/>
      <c r="B437" s="10" t="n"/>
      <c r="C437" s="10" t="n"/>
      <c r="D437" s="22" t="n"/>
      <c r="E437" s="18" t="n"/>
      <c r="F437" s="18" t="n"/>
      <c r="G437" s="23">
        <f>IF($E437="","",$E437-N($F437))</f>
        <v/>
      </c>
      <c r="H437" s="24">
        <f>IFERROR($G437/$E437,"")</f>
        <v/>
      </c>
      <c r="I437" s="25">
        <f>IF($A437="","",YEAR($A437)&amp;"-"&amp;RIGHT("0"&amp;MONTH($A437),2))</f>
        <v/>
      </c>
      <c r="J437" s="10" t="n"/>
    </row>
    <row r="438">
      <c r="A438" s="15" t="n"/>
      <c r="B438" s="10" t="n"/>
      <c r="C438" s="10" t="n"/>
      <c r="D438" s="22" t="n"/>
      <c r="E438" s="18" t="n"/>
      <c r="F438" s="18" t="n"/>
      <c r="G438" s="23">
        <f>IF($E438="","",$E438-N($F438))</f>
        <v/>
      </c>
      <c r="H438" s="24">
        <f>IFERROR($G438/$E438,"")</f>
        <v/>
      </c>
      <c r="I438" s="25">
        <f>IF($A438="","",YEAR($A438)&amp;"-"&amp;RIGHT("0"&amp;MONTH($A438),2))</f>
        <v/>
      </c>
      <c r="J438" s="10" t="n"/>
    </row>
    <row r="439">
      <c r="A439" s="15" t="n"/>
      <c r="B439" s="10" t="n"/>
      <c r="C439" s="10" t="n"/>
      <c r="D439" s="22" t="n"/>
      <c r="E439" s="18" t="n"/>
      <c r="F439" s="18" t="n"/>
      <c r="G439" s="23">
        <f>IF($E439="","",$E439-N($F439))</f>
        <v/>
      </c>
      <c r="H439" s="24">
        <f>IFERROR($G439/$E439,"")</f>
        <v/>
      </c>
      <c r="I439" s="25">
        <f>IF($A439="","",YEAR($A439)&amp;"-"&amp;RIGHT("0"&amp;MONTH($A439),2))</f>
        <v/>
      </c>
      <c r="J439" s="10" t="n"/>
    </row>
    <row r="440">
      <c r="A440" s="15" t="n"/>
      <c r="B440" s="10" t="n"/>
      <c r="C440" s="10" t="n"/>
      <c r="D440" s="22" t="n"/>
      <c r="E440" s="18" t="n"/>
      <c r="F440" s="18" t="n"/>
      <c r="G440" s="23">
        <f>IF($E440="","",$E440-N($F440))</f>
        <v/>
      </c>
      <c r="H440" s="24">
        <f>IFERROR($G440/$E440,"")</f>
        <v/>
      </c>
      <c r="I440" s="25">
        <f>IF($A440="","",YEAR($A440)&amp;"-"&amp;RIGHT("0"&amp;MONTH($A440),2))</f>
        <v/>
      </c>
      <c r="J440" s="10" t="n"/>
    </row>
    <row r="441">
      <c r="A441" s="15" t="n"/>
      <c r="B441" s="10" t="n"/>
      <c r="C441" s="10" t="n"/>
      <c r="D441" s="22" t="n"/>
      <c r="E441" s="18" t="n"/>
      <c r="F441" s="18" t="n"/>
      <c r="G441" s="23">
        <f>IF($E441="","",$E441-N($F441))</f>
        <v/>
      </c>
      <c r="H441" s="24">
        <f>IFERROR($G441/$E441,"")</f>
        <v/>
      </c>
      <c r="I441" s="25">
        <f>IF($A441="","",YEAR($A441)&amp;"-"&amp;RIGHT("0"&amp;MONTH($A441),2))</f>
        <v/>
      </c>
      <c r="J441" s="10" t="n"/>
    </row>
    <row r="442">
      <c r="A442" s="15" t="n"/>
      <c r="B442" s="10" t="n"/>
      <c r="C442" s="10" t="n"/>
      <c r="D442" s="22" t="n"/>
      <c r="E442" s="18" t="n"/>
      <c r="F442" s="18" t="n"/>
      <c r="G442" s="23">
        <f>IF($E442="","",$E442-N($F442))</f>
        <v/>
      </c>
      <c r="H442" s="24">
        <f>IFERROR($G442/$E442,"")</f>
        <v/>
      </c>
      <c r="I442" s="25">
        <f>IF($A442="","",YEAR($A442)&amp;"-"&amp;RIGHT("0"&amp;MONTH($A442),2))</f>
        <v/>
      </c>
      <c r="J442" s="10" t="n"/>
    </row>
    <row r="443">
      <c r="A443" s="15" t="n"/>
      <c r="B443" s="10" t="n"/>
      <c r="C443" s="10" t="n"/>
      <c r="D443" s="22" t="n"/>
      <c r="E443" s="18" t="n"/>
      <c r="F443" s="18" t="n"/>
      <c r="G443" s="23">
        <f>IF($E443="","",$E443-N($F443))</f>
        <v/>
      </c>
      <c r="H443" s="24">
        <f>IFERROR($G443/$E443,"")</f>
        <v/>
      </c>
      <c r="I443" s="25">
        <f>IF($A443="","",YEAR($A443)&amp;"-"&amp;RIGHT("0"&amp;MONTH($A443),2))</f>
        <v/>
      </c>
      <c r="J443" s="10" t="n"/>
    </row>
    <row r="444">
      <c r="A444" s="15" t="n"/>
      <c r="B444" s="10" t="n"/>
      <c r="C444" s="10" t="n"/>
      <c r="D444" s="22" t="n"/>
      <c r="E444" s="18" t="n"/>
      <c r="F444" s="18" t="n"/>
      <c r="G444" s="23">
        <f>IF($E444="","",$E444-N($F444))</f>
        <v/>
      </c>
      <c r="H444" s="24">
        <f>IFERROR($G444/$E444,"")</f>
        <v/>
      </c>
      <c r="I444" s="25">
        <f>IF($A444="","",YEAR($A444)&amp;"-"&amp;RIGHT("0"&amp;MONTH($A444),2))</f>
        <v/>
      </c>
      <c r="J444" s="10" t="n"/>
    </row>
    <row r="445">
      <c r="A445" s="15" t="n"/>
      <c r="B445" s="10" t="n"/>
      <c r="C445" s="10" t="n"/>
      <c r="D445" s="22" t="n"/>
      <c r="E445" s="18" t="n"/>
      <c r="F445" s="18" t="n"/>
      <c r="G445" s="23">
        <f>IF($E445="","",$E445-N($F445))</f>
        <v/>
      </c>
      <c r="H445" s="24">
        <f>IFERROR($G445/$E445,"")</f>
        <v/>
      </c>
      <c r="I445" s="25">
        <f>IF($A445="","",YEAR($A445)&amp;"-"&amp;RIGHT("0"&amp;MONTH($A445),2))</f>
        <v/>
      </c>
      <c r="J445" s="10" t="n"/>
    </row>
    <row r="446">
      <c r="A446" s="15" t="n"/>
      <c r="B446" s="10" t="n"/>
      <c r="C446" s="10" t="n"/>
      <c r="D446" s="22" t="n"/>
      <c r="E446" s="18" t="n"/>
      <c r="F446" s="18" t="n"/>
      <c r="G446" s="23">
        <f>IF($E446="","",$E446-N($F446))</f>
        <v/>
      </c>
      <c r="H446" s="24">
        <f>IFERROR($G446/$E446,"")</f>
        <v/>
      </c>
      <c r="I446" s="25">
        <f>IF($A446="","",YEAR($A446)&amp;"-"&amp;RIGHT("0"&amp;MONTH($A446),2))</f>
        <v/>
      </c>
      <c r="J446" s="10" t="n"/>
    </row>
    <row r="447">
      <c r="A447" s="15" t="n"/>
      <c r="B447" s="10" t="n"/>
      <c r="C447" s="10" t="n"/>
      <c r="D447" s="22" t="n"/>
      <c r="E447" s="18" t="n"/>
      <c r="F447" s="18" t="n"/>
      <c r="G447" s="23">
        <f>IF($E447="","",$E447-N($F447))</f>
        <v/>
      </c>
      <c r="H447" s="24">
        <f>IFERROR($G447/$E447,"")</f>
        <v/>
      </c>
      <c r="I447" s="25">
        <f>IF($A447="","",YEAR($A447)&amp;"-"&amp;RIGHT("0"&amp;MONTH($A447),2))</f>
        <v/>
      </c>
      <c r="J447" s="10" t="n"/>
    </row>
    <row r="448">
      <c r="A448" s="15" t="n"/>
      <c r="B448" s="10" t="n"/>
      <c r="C448" s="10" t="n"/>
      <c r="D448" s="22" t="n"/>
      <c r="E448" s="18" t="n"/>
      <c r="F448" s="18" t="n"/>
      <c r="G448" s="23">
        <f>IF($E448="","",$E448-N($F448))</f>
        <v/>
      </c>
      <c r="H448" s="24">
        <f>IFERROR($G448/$E448,"")</f>
        <v/>
      </c>
      <c r="I448" s="25">
        <f>IF($A448="","",YEAR($A448)&amp;"-"&amp;RIGHT("0"&amp;MONTH($A448),2))</f>
        <v/>
      </c>
      <c r="J448" s="10" t="n"/>
    </row>
    <row r="449">
      <c r="A449" s="15" t="n"/>
      <c r="B449" s="10" t="n"/>
      <c r="C449" s="10" t="n"/>
      <c r="D449" s="22" t="n"/>
      <c r="E449" s="18" t="n"/>
      <c r="F449" s="18" t="n"/>
      <c r="G449" s="23">
        <f>IF($E449="","",$E449-N($F449))</f>
        <v/>
      </c>
      <c r="H449" s="24">
        <f>IFERROR($G449/$E449,"")</f>
        <v/>
      </c>
      <c r="I449" s="25">
        <f>IF($A449="","",YEAR($A449)&amp;"-"&amp;RIGHT("0"&amp;MONTH($A449),2))</f>
        <v/>
      </c>
      <c r="J449" s="10" t="n"/>
    </row>
    <row r="450">
      <c r="A450" s="15" t="n"/>
      <c r="B450" s="10" t="n"/>
      <c r="C450" s="10" t="n"/>
      <c r="D450" s="22" t="n"/>
      <c r="E450" s="18" t="n"/>
      <c r="F450" s="18" t="n"/>
      <c r="G450" s="23">
        <f>IF($E450="","",$E450-N($F450))</f>
        <v/>
      </c>
      <c r="H450" s="24">
        <f>IFERROR($G450/$E450,"")</f>
        <v/>
      </c>
      <c r="I450" s="25">
        <f>IF($A450="","",YEAR($A450)&amp;"-"&amp;RIGHT("0"&amp;MONTH($A450),2))</f>
        <v/>
      </c>
      <c r="J450" s="10" t="n"/>
    </row>
    <row r="451">
      <c r="A451" s="15" t="n"/>
      <c r="B451" s="10" t="n"/>
      <c r="C451" s="10" t="n"/>
      <c r="D451" s="22" t="n"/>
      <c r="E451" s="18" t="n"/>
      <c r="F451" s="18" t="n"/>
      <c r="G451" s="23">
        <f>IF($E451="","",$E451-N($F451))</f>
        <v/>
      </c>
      <c r="H451" s="24">
        <f>IFERROR($G451/$E451,"")</f>
        <v/>
      </c>
      <c r="I451" s="25">
        <f>IF($A451="","",YEAR($A451)&amp;"-"&amp;RIGHT("0"&amp;MONTH($A451),2))</f>
        <v/>
      </c>
      <c r="J451" s="10" t="n"/>
    </row>
    <row r="452">
      <c r="A452" s="15" t="n"/>
      <c r="B452" s="10" t="n"/>
      <c r="C452" s="10" t="n"/>
      <c r="D452" s="22" t="n"/>
      <c r="E452" s="18" t="n"/>
      <c r="F452" s="18" t="n"/>
      <c r="G452" s="23">
        <f>IF($E452="","",$E452-N($F452))</f>
        <v/>
      </c>
      <c r="H452" s="24">
        <f>IFERROR($G452/$E452,"")</f>
        <v/>
      </c>
      <c r="I452" s="25">
        <f>IF($A452="","",YEAR($A452)&amp;"-"&amp;RIGHT("0"&amp;MONTH($A452),2))</f>
        <v/>
      </c>
      <c r="J452" s="10" t="n"/>
    </row>
    <row r="453">
      <c r="A453" s="15" t="n"/>
      <c r="B453" s="10" t="n"/>
      <c r="C453" s="10" t="n"/>
      <c r="D453" s="22" t="n"/>
      <c r="E453" s="18" t="n"/>
      <c r="F453" s="18" t="n"/>
      <c r="G453" s="23">
        <f>IF($E453="","",$E453-N($F453))</f>
        <v/>
      </c>
      <c r="H453" s="24">
        <f>IFERROR($G453/$E453,"")</f>
        <v/>
      </c>
      <c r="I453" s="25">
        <f>IF($A453="","",YEAR($A453)&amp;"-"&amp;RIGHT("0"&amp;MONTH($A453),2))</f>
        <v/>
      </c>
      <c r="J453" s="10" t="n"/>
    </row>
    <row r="454">
      <c r="A454" s="15" t="n"/>
      <c r="B454" s="10" t="n"/>
      <c r="C454" s="10" t="n"/>
      <c r="D454" s="22" t="n"/>
      <c r="E454" s="18" t="n"/>
      <c r="F454" s="18" t="n"/>
      <c r="G454" s="23">
        <f>IF($E454="","",$E454-N($F454))</f>
        <v/>
      </c>
      <c r="H454" s="24">
        <f>IFERROR($G454/$E454,"")</f>
        <v/>
      </c>
      <c r="I454" s="25">
        <f>IF($A454="","",YEAR($A454)&amp;"-"&amp;RIGHT("0"&amp;MONTH($A454),2))</f>
        <v/>
      </c>
      <c r="J454" s="10" t="n"/>
    </row>
    <row r="455">
      <c r="A455" s="15" t="n"/>
      <c r="B455" s="10" t="n"/>
      <c r="C455" s="10" t="n"/>
      <c r="D455" s="22" t="n"/>
      <c r="E455" s="18" t="n"/>
      <c r="F455" s="18" t="n"/>
      <c r="G455" s="23">
        <f>IF($E455="","",$E455-N($F455))</f>
        <v/>
      </c>
      <c r="H455" s="24">
        <f>IFERROR($G455/$E455,"")</f>
        <v/>
      </c>
      <c r="I455" s="25">
        <f>IF($A455="","",YEAR($A455)&amp;"-"&amp;RIGHT("0"&amp;MONTH($A455),2))</f>
        <v/>
      </c>
      <c r="J455" s="10" t="n"/>
    </row>
    <row r="456">
      <c r="A456" s="15" t="n"/>
      <c r="B456" s="10" t="n"/>
      <c r="C456" s="10" t="n"/>
      <c r="D456" s="22" t="n"/>
      <c r="E456" s="18" t="n"/>
      <c r="F456" s="18" t="n"/>
      <c r="G456" s="23">
        <f>IF($E456="","",$E456-N($F456))</f>
        <v/>
      </c>
      <c r="H456" s="24">
        <f>IFERROR($G456/$E456,"")</f>
        <v/>
      </c>
      <c r="I456" s="25">
        <f>IF($A456="","",YEAR($A456)&amp;"-"&amp;RIGHT("0"&amp;MONTH($A456),2))</f>
        <v/>
      </c>
      <c r="J456" s="10" t="n"/>
    </row>
    <row r="457">
      <c r="A457" s="15" t="n"/>
      <c r="B457" s="10" t="n"/>
      <c r="C457" s="10" t="n"/>
      <c r="D457" s="22" t="n"/>
      <c r="E457" s="18" t="n"/>
      <c r="F457" s="18" t="n"/>
      <c r="G457" s="23">
        <f>IF($E457="","",$E457-N($F457))</f>
        <v/>
      </c>
      <c r="H457" s="24">
        <f>IFERROR($G457/$E457,"")</f>
        <v/>
      </c>
      <c r="I457" s="25">
        <f>IF($A457="","",YEAR($A457)&amp;"-"&amp;RIGHT("0"&amp;MONTH($A457),2))</f>
        <v/>
      </c>
      <c r="J457" s="10" t="n"/>
    </row>
    <row r="458">
      <c r="A458" s="15" t="n"/>
      <c r="B458" s="10" t="n"/>
      <c r="C458" s="10" t="n"/>
      <c r="D458" s="22" t="n"/>
      <c r="E458" s="18" t="n"/>
      <c r="F458" s="18" t="n"/>
      <c r="G458" s="23">
        <f>IF($E458="","",$E458-N($F458))</f>
        <v/>
      </c>
      <c r="H458" s="24">
        <f>IFERROR($G458/$E458,"")</f>
        <v/>
      </c>
      <c r="I458" s="25">
        <f>IF($A458="","",YEAR($A458)&amp;"-"&amp;RIGHT("0"&amp;MONTH($A458),2))</f>
        <v/>
      </c>
      <c r="J458" s="10" t="n"/>
    </row>
    <row r="459">
      <c r="A459" s="15" t="n"/>
      <c r="B459" s="10" t="n"/>
      <c r="C459" s="10" t="n"/>
      <c r="D459" s="22" t="n"/>
      <c r="E459" s="18" t="n"/>
      <c r="F459" s="18" t="n"/>
      <c r="G459" s="23">
        <f>IF($E459="","",$E459-N($F459))</f>
        <v/>
      </c>
      <c r="H459" s="24">
        <f>IFERROR($G459/$E459,"")</f>
        <v/>
      </c>
      <c r="I459" s="25">
        <f>IF($A459="","",YEAR($A459)&amp;"-"&amp;RIGHT("0"&amp;MONTH($A459),2))</f>
        <v/>
      </c>
      <c r="J459" s="10" t="n"/>
    </row>
    <row r="460">
      <c r="A460" s="15" t="n"/>
      <c r="B460" s="10" t="n"/>
      <c r="C460" s="10" t="n"/>
      <c r="D460" s="22" t="n"/>
      <c r="E460" s="18" t="n"/>
      <c r="F460" s="18" t="n"/>
      <c r="G460" s="23">
        <f>IF($E460="","",$E460-N($F460))</f>
        <v/>
      </c>
      <c r="H460" s="24">
        <f>IFERROR($G460/$E460,"")</f>
        <v/>
      </c>
      <c r="I460" s="25">
        <f>IF($A460="","",YEAR($A460)&amp;"-"&amp;RIGHT("0"&amp;MONTH($A460),2))</f>
        <v/>
      </c>
      <c r="J460" s="10" t="n"/>
    </row>
    <row r="461">
      <c r="A461" s="15" t="n"/>
      <c r="B461" s="10" t="n"/>
      <c r="C461" s="10" t="n"/>
      <c r="D461" s="22" t="n"/>
      <c r="E461" s="18" t="n"/>
      <c r="F461" s="18" t="n"/>
      <c r="G461" s="23">
        <f>IF($E461="","",$E461-N($F461))</f>
        <v/>
      </c>
      <c r="H461" s="24">
        <f>IFERROR($G461/$E461,"")</f>
        <v/>
      </c>
      <c r="I461" s="25">
        <f>IF($A461="","",YEAR($A461)&amp;"-"&amp;RIGHT("0"&amp;MONTH($A461),2))</f>
        <v/>
      </c>
      <c r="J461" s="10" t="n"/>
    </row>
    <row r="462">
      <c r="A462" s="15" t="n"/>
      <c r="B462" s="10" t="n"/>
      <c r="C462" s="10" t="n"/>
      <c r="D462" s="22" t="n"/>
      <c r="E462" s="18" t="n"/>
      <c r="F462" s="18" t="n"/>
      <c r="G462" s="23">
        <f>IF($E462="","",$E462-N($F462))</f>
        <v/>
      </c>
      <c r="H462" s="24">
        <f>IFERROR($G462/$E462,"")</f>
        <v/>
      </c>
      <c r="I462" s="25">
        <f>IF($A462="","",YEAR($A462)&amp;"-"&amp;RIGHT("0"&amp;MONTH($A462),2))</f>
        <v/>
      </c>
      <c r="J462" s="10" t="n"/>
    </row>
    <row r="463">
      <c r="A463" s="15" t="n"/>
      <c r="B463" s="10" t="n"/>
      <c r="C463" s="10" t="n"/>
      <c r="D463" s="22" t="n"/>
      <c r="E463" s="18" t="n"/>
      <c r="F463" s="18" t="n"/>
      <c r="G463" s="23">
        <f>IF($E463="","",$E463-N($F463))</f>
        <v/>
      </c>
      <c r="H463" s="24">
        <f>IFERROR($G463/$E463,"")</f>
        <v/>
      </c>
      <c r="I463" s="25">
        <f>IF($A463="","",YEAR($A463)&amp;"-"&amp;RIGHT("0"&amp;MONTH($A463),2))</f>
        <v/>
      </c>
      <c r="J463" s="10" t="n"/>
    </row>
    <row r="464">
      <c r="A464" s="15" t="n"/>
      <c r="B464" s="10" t="n"/>
      <c r="C464" s="10" t="n"/>
      <c r="D464" s="22" t="n"/>
      <c r="E464" s="18" t="n"/>
      <c r="F464" s="18" t="n"/>
      <c r="G464" s="23">
        <f>IF($E464="","",$E464-N($F464))</f>
        <v/>
      </c>
      <c r="H464" s="24">
        <f>IFERROR($G464/$E464,"")</f>
        <v/>
      </c>
      <c r="I464" s="25">
        <f>IF($A464="","",YEAR($A464)&amp;"-"&amp;RIGHT("0"&amp;MONTH($A464),2))</f>
        <v/>
      </c>
      <c r="J464" s="10" t="n"/>
    </row>
    <row r="465">
      <c r="A465" s="15" t="n"/>
      <c r="B465" s="10" t="n"/>
      <c r="C465" s="10" t="n"/>
      <c r="D465" s="22" t="n"/>
      <c r="E465" s="18" t="n"/>
      <c r="F465" s="18" t="n"/>
      <c r="G465" s="23">
        <f>IF($E465="","",$E465-N($F465))</f>
        <v/>
      </c>
      <c r="H465" s="24">
        <f>IFERROR($G465/$E465,"")</f>
        <v/>
      </c>
      <c r="I465" s="25">
        <f>IF($A465="","",YEAR($A465)&amp;"-"&amp;RIGHT("0"&amp;MONTH($A465),2))</f>
        <v/>
      </c>
      <c r="J465" s="10" t="n"/>
    </row>
    <row r="466">
      <c r="A466" s="15" t="n"/>
      <c r="B466" s="10" t="n"/>
      <c r="C466" s="10" t="n"/>
      <c r="D466" s="22" t="n"/>
      <c r="E466" s="18" t="n"/>
      <c r="F466" s="18" t="n"/>
      <c r="G466" s="23">
        <f>IF($E466="","",$E466-N($F466))</f>
        <v/>
      </c>
      <c r="H466" s="24">
        <f>IFERROR($G466/$E466,"")</f>
        <v/>
      </c>
      <c r="I466" s="25">
        <f>IF($A466="","",YEAR($A466)&amp;"-"&amp;RIGHT("0"&amp;MONTH($A466),2))</f>
        <v/>
      </c>
      <c r="J466" s="10" t="n"/>
    </row>
    <row r="467">
      <c r="A467" s="15" t="n"/>
      <c r="B467" s="10" t="n"/>
      <c r="C467" s="10" t="n"/>
      <c r="D467" s="22" t="n"/>
      <c r="E467" s="18" t="n"/>
      <c r="F467" s="18" t="n"/>
      <c r="G467" s="23">
        <f>IF($E467="","",$E467-N($F467))</f>
        <v/>
      </c>
      <c r="H467" s="24">
        <f>IFERROR($G467/$E467,"")</f>
        <v/>
      </c>
      <c r="I467" s="25">
        <f>IF($A467="","",YEAR($A467)&amp;"-"&amp;RIGHT("0"&amp;MONTH($A467),2))</f>
        <v/>
      </c>
      <c r="J467" s="10" t="n"/>
    </row>
    <row r="468">
      <c r="A468" s="15" t="n"/>
      <c r="B468" s="10" t="n"/>
      <c r="C468" s="10" t="n"/>
      <c r="D468" s="22" t="n"/>
      <c r="E468" s="18" t="n"/>
      <c r="F468" s="18" t="n"/>
      <c r="G468" s="23">
        <f>IF($E468="","",$E468-N($F468))</f>
        <v/>
      </c>
      <c r="H468" s="24">
        <f>IFERROR($G468/$E468,"")</f>
        <v/>
      </c>
      <c r="I468" s="25">
        <f>IF($A468="","",YEAR($A468)&amp;"-"&amp;RIGHT("0"&amp;MONTH($A468),2))</f>
        <v/>
      </c>
      <c r="J468" s="10" t="n"/>
    </row>
    <row r="469">
      <c r="A469" s="15" t="n"/>
      <c r="B469" s="10" t="n"/>
      <c r="C469" s="10" t="n"/>
      <c r="D469" s="22" t="n"/>
      <c r="E469" s="18" t="n"/>
      <c r="F469" s="18" t="n"/>
      <c r="G469" s="23">
        <f>IF($E469="","",$E469-N($F469))</f>
        <v/>
      </c>
      <c r="H469" s="24">
        <f>IFERROR($G469/$E469,"")</f>
        <v/>
      </c>
      <c r="I469" s="25">
        <f>IF($A469="","",YEAR($A469)&amp;"-"&amp;RIGHT("0"&amp;MONTH($A469),2))</f>
        <v/>
      </c>
      <c r="J469" s="10" t="n"/>
    </row>
    <row r="470">
      <c r="A470" s="15" t="n"/>
      <c r="B470" s="10" t="n"/>
      <c r="C470" s="10" t="n"/>
      <c r="D470" s="22" t="n"/>
      <c r="E470" s="18" t="n"/>
      <c r="F470" s="18" t="n"/>
      <c r="G470" s="23">
        <f>IF($E470="","",$E470-N($F470))</f>
        <v/>
      </c>
      <c r="H470" s="24">
        <f>IFERROR($G470/$E470,"")</f>
        <v/>
      </c>
      <c r="I470" s="25">
        <f>IF($A470="","",YEAR($A470)&amp;"-"&amp;RIGHT("0"&amp;MONTH($A470),2))</f>
        <v/>
      </c>
      <c r="J470" s="10" t="n"/>
    </row>
    <row r="471">
      <c r="A471" s="15" t="n"/>
      <c r="B471" s="10" t="n"/>
      <c r="C471" s="10" t="n"/>
      <c r="D471" s="22" t="n"/>
      <c r="E471" s="18" t="n"/>
      <c r="F471" s="18" t="n"/>
      <c r="G471" s="23">
        <f>IF($E471="","",$E471-N($F471))</f>
        <v/>
      </c>
      <c r="H471" s="24">
        <f>IFERROR($G471/$E471,"")</f>
        <v/>
      </c>
      <c r="I471" s="25">
        <f>IF($A471="","",YEAR($A471)&amp;"-"&amp;RIGHT("0"&amp;MONTH($A471),2))</f>
        <v/>
      </c>
      <c r="J471" s="10" t="n"/>
    </row>
    <row r="472">
      <c r="A472" s="15" t="n"/>
      <c r="B472" s="10" t="n"/>
      <c r="C472" s="10" t="n"/>
      <c r="D472" s="22" t="n"/>
      <c r="E472" s="18" t="n"/>
      <c r="F472" s="18" t="n"/>
      <c r="G472" s="23">
        <f>IF($E472="","",$E472-N($F472))</f>
        <v/>
      </c>
      <c r="H472" s="24">
        <f>IFERROR($G472/$E472,"")</f>
        <v/>
      </c>
      <c r="I472" s="25">
        <f>IF($A472="","",YEAR($A472)&amp;"-"&amp;RIGHT("0"&amp;MONTH($A472),2))</f>
        <v/>
      </c>
      <c r="J472" s="10" t="n"/>
    </row>
    <row r="473">
      <c r="A473" s="15" t="n"/>
      <c r="B473" s="10" t="n"/>
      <c r="C473" s="10" t="n"/>
      <c r="D473" s="22" t="n"/>
      <c r="E473" s="18" t="n"/>
      <c r="F473" s="18" t="n"/>
      <c r="G473" s="23">
        <f>IF($E473="","",$E473-N($F473))</f>
        <v/>
      </c>
      <c r="H473" s="24">
        <f>IFERROR($G473/$E473,"")</f>
        <v/>
      </c>
      <c r="I473" s="25">
        <f>IF($A473="","",YEAR($A473)&amp;"-"&amp;RIGHT("0"&amp;MONTH($A473),2))</f>
        <v/>
      </c>
      <c r="J473" s="10" t="n"/>
    </row>
    <row r="474">
      <c r="A474" s="15" t="n"/>
      <c r="B474" s="10" t="n"/>
      <c r="C474" s="10" t="n"/>
      <c r="D474" s="22" t="n"/>
      <c r="E474" s="18" t="n"/>
      <c r="F474" s="18" t="n"/>
      <c r="G474" s="23">
        <f>IF($E474="","",$E474-N($F474))</f>
        <v/>
      </c>
      <c r="H474" s="24">
        <f>IFERROR($G474/$E474,"")</f>
        <v/>
      </c>
      <c r="I474" s="25">
        <f>IF($A474="","",YEAR($A474)&amp;"-"&amp;RIGHT("0"&amp;MONTH($A474),2))</f>
        <v/>
      </c>
      <c r="J474" s="10" t="n"/>
    </row>
    <row r="475">
      <c r="A475" s="15" t="n"/>
      <c r="B475" s="10" t="n"/>
      <c r="C475" s="10" t="n"/>
      <c r="D475" s="22" t="n"/>
      <c r="E475" s="18" t="n"/>
      <c r="F475" s="18" t="n"/>
      <c r="G475" s="23">
        <f>IF($E475="","",$E475-N($F475))</f>
        <v/>
      </c>
      <c r="H475" s="24">
        <f>IFERROR($G475/$E475,"")</f>
        <v/>
      </c>
      <c r="I475" s="25">
        <f>IF($A475="","",YEAR($A475)&amp;"-"&amp;RIGHT("0"&amp;MONTH($A475),2))</f>
        <v/>
      </c>
      <c r="J475" s="10" t="n"/>
    </row>
    <row r="476">
      <c r="A476" s="15" t="n"/>
      <c r="B476" s="10" t="n"/>
      <c r="C476" s="10" t="n"/>
      <c r="D476" s="22" t="n"/>
      <c r="E476" s="18" t="n"/>
      <c r="F476" s="18" t="n"/>
      <c r="G476" s="23">
        <f>IF($E476="","",$E476-N($F476))</f>
        <v/>
      </c>
      <c r="H476" s="24">
        <f>IFERROR($G476/$E476,"")</f>
        <v/>
      </c>
      <c r="I476" s="25">
        <f>IF($A476="","",YEAR($A476)&amp;"-"&amp;RIGHT("0"&amp;MONTH($A476),2))</f>
        <v/>
      </c>
      <c r="J476" s="10" t="n"/>
    </row>
    <row r="477">
      <c r="A477" s="15" t="n"/>
      <c r="B477" s="10" t="n"/>
      <c r="C477" s="10" t="n"/>
      <c r="D477" s="22" t="n"/>
      <c r="E477" s="18" t="n"/>
      <c r="F477" s="18" t="n"/>
      <c r="G477" s="23">
        <f>IF($E477="","",$E477-N($F477))</f>
        <v/>
      </c>
      <c r="H477" s="24">
        <f>IFERROR($G477/$E477,"")</f>
        <v/>
      </c>
      <c r="I477" s="25">
        <f>IF($A477="","",YEAR($A477)&amp;"-"&amp;RIGHT("0"&amp;MONTH($A477),2))</f>
        <v/>
      </c>
      <c r="J477" s="10" t="n"/>
    </row>
    <row r="478">
      <c r="A478" s="15" t="n"/>
      <c r="B478" s="10" t="n"/>
      <c r="C478" s="10" t="n"/>
      <c r="D478" s="22" t="n"/>
      <c r="E478" s="18" t="n"/>
      <c r="F478" s="18" t="n"/>
      <c r="G478" s="23">
        <f>IF($E478="","",$E478-N($F478))</f>
        <v/>
      </c>
      <c r="H478" s="24">
        <f>IFERROR($G478/$E478,"")</f>
        <v/>
      </c>
      <c r="I478" s="25">
        <f>IF($A478="","",YEAR($A478)&amp;"-"&amp;RIGHT("0"&amp;MONTH($A478),2))</f>
        <v/>
      </c>
      <c r="J478" s="10" t="n"/>
    </row>
    <row r="479">
      <c r="A479" s="15" t="n"/>
      <c r="B479" s="10" t="n"/>
      <c r="C479" s="10" t="n"/>
      <c r="D479" s="22" t="n"/>
      <c r="E479" s="18" t="n"/>
      <c r="F479" s="18" t="n"/>
      <c r="G479" s="23">
        <f>IF($E479="","",$E479-N($F479))</f>
        <v/>
      </c>
      <c r="H479" s="24">
        <f>IFERROR($G479/$E479,"")</f>
        <v/>
      </c>
      <c r="I479" s="25">
        <f>IF($A479="","",YEAR($A479)&amp;"-"&amp;RIGHT("0"&amp;MONTH($A479),2))</f>
        <v/>
      </c>
      <c r="J479" s="10" t="n"/>
    </row>
    <row r="480">
      <c r="A480" s="15" t="n"/>
      <c r="B480" s="10" t="n"/>
      <c r="C480" s="10" t="n"/>
      <c r="D480" s="22" t="n"/>
      <c r="E480" s="18" t="n"/>
      <c r="F480" s="18" t="n"/>
      <c r="G480" s="23">
        <f>IF($E480="","",$E480-N($F480))</f>
        <v/>
      </c>
      <c r="H480" s="24">
        <f>IFERROR($G480/$E480,"")</f>
        <v/>
      </c>
      <c r="I480" s="25">
        <f>IF($A480="","",YEAR($A480)&amp;"-"&amp;RIGHT("0"&amp;MONTH($A480),2))</f>
        <v/>
      </c>
      <c r="J480" s="10" t="n"/>
    </row>
    <row r="481">
      <c r="A481" s="15" t="n"/>
      <c r="B481" s="10" t="n"/>
      <c r="C481" s="10" t="n"/>
      <c r="D481" s="22" t="n"/>
      <c r="E481" s="18" t="n"/>
      <c r="F481" s="18" t="n"/>
      <c r="G481" s="23">
        <f>IF($E481="","",$E481-N($F481))</f>
        <v/>
      </c>
      <c r="H481" s="24">
        <f>IFERROR($G481/$E481,"")</f>
        <v/>
      </c>
      <c r="I481" s="25">
        <f>IF($A481="","",YEAR($A481)&amp;"-"&amp;RIGHT("0"&amp;MONTH($A481),2))</f>
        <v/>
      </c>
      <c r="J481" s="10" t="n"/>
    </row>
    <row r="482">
      <c r="A482" s="15" t="n"/>
      <c r="B482" s="10" t="n"/>
      <c r="C482" s="10" t="n"/>
      <c r="D482" s="22" t="n"/>
      <c r="E482" s="18" t="n"/>
      <c r="F482" s="18" t="n"/>
      <c r="G482" s="23">
        <f>IF($E482="","",$E482-N($F482))</f>
        <v/>
      </c>
      <c r="H482" s="24">
        <f>IFERROR($G482/$E482,"")</f>
        <v/>
      </c>
      <c r="I482" s="25">
        <f>IF($A482="","",YEAR($A482)&amp;"-"&amp;RIGHT("0"&amp;MONTH($A482),2))</f>
        <v/>
      </c>
      <c r="J482" s="10" t="n"/>
    </row>
    <row r="483">
      <c r="A483" s="15" t="n"/>
      <c r="B483" s="10" t="n"/>
      <c r="C483" s="10" t="n"/>
      <c r="D483" s="22" t="n"/>
      <c r="E483" s="18" t="n"/>
      <c r="F483" s="18" t="n"/>
      <c r="G483" s="23">
        <f>IF($E483="","",$E483-N($F483))</f>
        <v/>
      </c>
      <c r="H483" s="24">
        <f>IFERROR($G483/$E483,"")</f>
        <v/>
      </c>
      <c r="I483" s="25">
        <f>IF($A483="","",YEAR($A483)&amp;"-"&amp;RIGHT("0"&amp;MONTH($A483),2))</f>
        <v/>
      </c>
      <c r="J483" s="10" t="n"/>
    </row>
    <row r="484">
      <c r="A484" s="15" t="n"/>
      <c r="B484" s="10" t="n"/>
      <c r="C484" s="10" t="n"/>
      <c r="D484" s="22" t="n"/>
      <c r="E484" s="18" t="n"/>
      <c r="F484" s="18" t="n"/>
      <c r="G484" s="23">
        <f>IF($E484="","",$E484-N($F484))</f>
        <v/>
      </c>
      <c r="H484" s="24">
        <f>IFERROR($G484/$E484,"")</f>
        <v/>
      </c>
      <c r="I484" s="25">
        <f>IF($A484="","",YEAR($A484)&amp;"-"&amp;RIGHT("0"&amp;MONTH($A484),2))</f>
        <v/>
      </c>
      <c r="J484" s="10" t="n"/>
    </row>
    <row r="485">
      <c r="A485" s="15" t="n"/>
      <c r="B485" s="10" t="n"/>
      <c r="C485" s="10" t="n"/>
      <c r="D485" s="22" t="n"/>
      <c r="E485" s="18" t="n"/>
      <c r="F485" s="18" t="n"/>
      <c r="G485" s="23">
        <f>IF($E485="","",$E485-N($F485))</f>
        <v/>
      </c>
      <c r="H485" s="24">
        <f>IFERROR($G485/$E485,"")</f>
        <v/>
      </c>
      <c r="I485" s="25">
        <f>IF($A485="","",YEAR($A485)&amp;"-"&amp;RIGHT("0"&amp;MONTH($A485),2))</f>
        <v/>
      </c>
      <c r="J485" s="10" t="n"/>
    </row>
    <row r="486">
      <c r="A486" s="15" t="n"/>
      <c r="B486" s="10" t="n"/>
      <c r="C486" s="10" t="n"/>
      <c r="D486" s="22" t="n"/>
      <c r="E486" s="18" t="n"/>
      <c r="F486" s="18" t="n"/>
      <c r="G486" s="23">
        <f>IF($E486="","",$E486-N($F486))</f>
        <v/>
      </c>
      <c r="H486" s="24">
        <f>IFERROR($G486/$E486,"")</f>
        <v/>
      </c>
      <c r="I486" s="25">
        <f>IF($A486="","",YEAR($A486)&amp;"-"&amp;RIGHT("0"&amp;MONTH($A486),2))</f>
        <v/>
      </c>
      <c r="J486" s="10" t="n"/>
    </row>
    <row r="487">
      <c r="A487" s="15" t="n"/>
      <c r="B487" s="10" t="n"/>
      <c r="C487" s="10" t="n"/>
      <c r="D487" s="22" t="n"/>
      <c r="E487" s="18" t="n"/>
      <c r="F487" s="18" t="n"/>
      <c r="G487" s="23">
        <f>IF($E487="","",$E487-N($F487))</f>
        <v/>
      </c>
      <c r="H487" s="24">
        <f>IFERROR($G487/$E487,"")</f>
        <v/>
      </c>
      <c r="I487" s="25">
        <f>IF($A487="","",YEAR($A487)&amp;"-"&amp;RIGHT("0"&amp;MONTH($A487),2))</f>
        <v/>
      </c>
      <c r="J487" s="10" t="n"/>
    </row>
    <row r="488">
      <c r="A488" s="15" t="n"/>
      <c r="B488" s="10" t="n"/>
      <c r="C488" s="10" t="n"/>
      <c r="D488" s="22" t="n"/>
      <c r="E488" s="18" t="n"/>
      <c r="F488" s="18" t="n"/>
      <c r="G488" s="23">
        <f>IF($E488="","",$E488-N($F488))</f>
        <v/>
      </c>
      <c r="H488" s="24">
        <f>IFERROR($G488/$E488,"")</f>
        <v/>
      </c>
      <c r="I488" s="25">
        <f>IF($A488="","",YEAR($A488)&amp;"-"&amp;RIGHT("0"&amp;MONTH($A488),2))</f>
        <v/>
      </c>
      <c r="J488" s="10" t="n"/>
    </row>
    <row r="489">
      <c r="A489" s="15" t="n"/>
      <c r="B489" s="10" t="n"/>
      <c r="C489" s="10" t="n"/>
      <c r="D489" s="22" t="n"/>
      <c r="E489" s="18" t="n"/>
      <c r="F489" s="18" t="n"/>
      <c r="G489" s="23">
        <f>IF($E489="","",$E489-N($F489))</f>
        <v/>
      </c>
      <c r="H489" s="24">
        <f>IFERROR($G489/$E489,"")</f>
        <v/>
      </c>
      <c r="I489" s="25">
        <f>IF($A489="","",YEAR($A489)&amp;"-"&amp;RIGHT("0"&amp;MONTH($A489),2))</f>
        <v/>
      </c>
      <c r="J489" s="10" t="n"/>
    </row>
    <row r="490">
      <c r="A490" s="15" t="n"/>
      <c r="B490" s="10" t="n"/>
      <c r="C490" s="10" t="n"/>
      <c r="D490" s="22" t="n"/>
      <c r="E490" s="18" t="n"/>
      <c r="F490" s="18" t="n"/>
      <c r="G490" s="23">
        <f>IF($E490="","",$E490-N($F490))</f>
        <v/>
      </c>
      <c r="H490" s="24">
        <f>IFERROR($G490/$E490,"")</f>
        <v/>
      </c>
      <c r="I490" s="25">
        <f>IF($A490="","",YEAR($A490)&amp;"-"&amp;RIGHT("0"&amp;MONTH($A490),2))</f>
        <v/>
      </c>
      <c r="J490" s="10" t="n"/>
    </row>
    <row r="491">
      <c r="A491" s="15" t="n"/>
      <c r="B491" s="10" t="n"/>
      <c r="C491" s="10" t="n"/>
      <c r="D491" s="22" t="n"/>
      <c r="E491" s="18" t="n"/>
      <c r="F491" s="18" t="n"/>
      <c r="G491" s="23">
        <f>IF($E491="","",$E491-N($F491))</f>
        <v/>
      </c>
      <c r="H491" s="24">
        <f>IFERROR($G491/$E491,"")</f>
        <v/>
      </c>
      <c r="I491" s="25">
        <f>IF($A491="","",YEAR($A491)&amp;"-"&amp;RIGHT("0"&amp;MONTH($A491),2))</f>
        <v/>
      </c>
      <c r="J491" s="10" t="n"/>
    </row>
    <row r="492">
      <c r="A492" s="15" t="n"/>
      <c r="B492" s="10" t="n"/>
      <c r="C492" s="10" t="n"/>
      <c r="D492" s="22" t="n"/>
      <c r="E492" s="18" t="n"/>
      <c r="F492" s="18" t="n"/>
      <c r="G492" s="23">
        <f>IF($E492="","",$E492-N($F492))</f>
        <v/>
      </c>
      <c r="H492" s="24">
        <f>IFERROR($G492/$E492,"")</f>
        <v/>
      </c>
      <c r="I492" s="25">
        <f>IF($A492="","",YEAR($A492)&amp;"-"&amp;RIGHT("0"&amp;MONTH($A492),2))</f>
        <v/>
      </c>
      <c r="J492" s="10" t="n"/>
    </row>
    <row r="493">
      <c r="A493" s="15" t="n"/>
      <c r="B493" s="10" t="n"/>
      <c r="C493" s="10" t="n"/>
      <c r="D493" s="22" t="n"/>
      <c r="E493" s="18" t="n"/>
      <c r="F493" s="18" t="n"/>
      <c r="G493" s="23">
        <f>IF($E493="","",$E493-N($F493))</f>
        <v/>
      </c>
      <c r="H493" s="24">
        <f>IFERROR($G493/$E493,"")</f>
        <v/>
      </c>
      <c r="I493" s="25">
        <f>IF($A493="","",YEAR($A493)&amp;"-"&amp;RIGHT("0"&amp;MONTH($A493),2))</f>
        <v/>
      </c>
      <c r="J493" s="10" t="n"/>
    </row>
    <row r="494">
      <c r="A494" s="15" t="n"/>
      <c r="B494" s="10" t="n"/>
      <c r="C494" s="10" t="n"/>
      <c r="D494" s="22" t="n"/>
      <c r="E494" s="18" t="n"/>
      <c r="F494" s="18" t="n"/>
      <c r="G494" s="23">
        <f>IF($E494="","",$E494-N($F494))</f>
        <v/>
      </c>
      <c r="H494" s="24">
        <f>IFERROR($G494/$E494,"")</f>
        <v/>
      </c>
      <c r="I494" s="25">
        <f>IF($A494="","",YEAR($A494)&amp;"-"&amp;RIGHT("0"&amp;MONTH($A494),2))</f>
        <v/>
      </c>
      <c r="J494" s="10" t="n"/>
    </row>
    <row r="495">
      <c r="A495" s="15" t="n"/>
      <c r="B495" s="10" t="n"/>
      <c r="C495" s="10" t="n"/>
      <c r="D495" s="22" t="n"/>
      <c r="E495" s="18" t="n"/>
      <c r="F495" s="18" t="n"/>
      <c r="G495" s="23">
        <f>IF($E495="","",$E495-N($F495))</f>
        <v/>
      </c>
      <c r="H495" s="24">
        <f>IFERROR($G495/$E495,"")</f>
        <v/>
      </c>
      <c r="I495" s="25">
        <f>IF($A495="","",YEAR($A495)&amp;"-"&amp;RIGHT("0"&amp;MONTH($A495),2))</f>
        <v/>
      </c>
      <c r="J495" s="10" t="n"/>
    </row>
    <row r="496">
      <c r="A496" s="15" t="n"/>
      <c r="B496" s="10" t="n"/>
      <c r="C496" s="10" t="n"/>
      <c r="D496" s="22" t="n"/>
      <c r="E496" s="18" t="n"/>
      <c r="F496" s="18" t="n"/>
      <c r="G496" s="23">
        <f>IF($E496="","",$E496-N($F496))</f>
        <v/>
      </c>
      <c r="H496" s="24">
        <f>IFERROR($G496/$E496,"")</f>
        <v/>
      </c>
      <c r="I496" s="25">
        <f>IF($A496="","",YEAR($A496)&amp;"-"&amp;RIGHT("0"&amp;MONTH($A496),2))</f>
        <v/>
      </c>
      <c r="J496" s="10" t="n"/>
    </row>
    <row r="497">
      <c r="A497" s="15" t="n"/>
      <c r="B497" s="10" t="n"/>
      <c r="C497" s="10" t="n"/>
      <c r="D497" s="22" t="n"/>
      <c r="E497" s="18" t="n"/>
      <c r="F497" s="18" t="n"/>
      <c r="G497" s="23">
        <f>IF($E497="","",$E497-N($F497))</f>
        <v/>
      </c>
      <c r="H497" s="24">
        <f>IFERROR($G497/$E497,"")</f>
        <v/>
      </c>
      <c r="I497" s="25">
        <f>IF($A497="","",YEAR($A497)&amp;"-"&amp;RIGHT("0"&amp;MONTH($A497),2))</f>
        <v/>
      </c>
      <c r="J497" s="10" t="n"/>
    </row>
    <row r="498">
      <c r="A498" s="15" t="n"/>
      <c r="B498" s="10" t="n"/>
      <c r="C498" s="10" t="n"/>
      <c r="D498" s="22" t="n"/>
      <c r="E498" s="18" t="n"/>
      <c r="F498" s="18" t="n"/>
      <c r="G498" s="23">
        <f>IF($E498="","",$E498-N($F498))</f>
        <v/>
      </c>
      <c r="H498" s="24">
        <f>IFERROR($G498/$E498,"")</f>
        <v/>
      </c>
      <c r="I498" s="25">
        <f>IF($A498="","",YEAR($A498)&amp;"-"&amp;RIGHT("0"&amp;MONTH($A498),2))</f>
        <v/>
      </c>
      <c r="J498" s="10" t="n"/>
    </row>
    <row r="499">
      <c r="A499" s="15" t="n"/>
      <c r="B499" s="10" t="n"/>
      <c r="C499" s="10" t="n"/>
      <c r="D499" s="22" t="n"/>
      <c r="E499" s="18" t="n"/>
      <c r="F499" s="18" t="n"/>
      <c r="G499" s="23">
        <f>IF($E499="","",$E499-N($F499))</f>
        <v/>
      </c>
      <c r="H499" s="24">
        <f>IFERROR($G499/$E499,"")</f>
        <v/>
      </c>
      <c r="I499" s="25">
        <f>IF($A499="","",YEAR($A499)&amp;"-"&amp;RIGHT("0"&amp;MONTH($A499),2))</f>
        <v/>
      </c>
      <c r="J499" s="10" t="n"/>
    </row>
    <row r="500">
      <c r="A500" s="15" t="n"/>
      <c r="B500" s="10" t="n"/>
      <c r="C500" s="10" t="n"/>
      <c r="D500" s="22" t="n"/>
      <c r="E500" s="18" t="n"/>
      <c r="F500" s="18" t="n"/>
      <c r="G500" s="23">
        <f>IF($E500="","",$E500-N($F500))</f>
        <v/>
      </c>
      <c r="H500" s="24">
        <f>IFERROR($G500/$E500,"")</f>
        <v/>
      </c>
      <c r="I500" s="25">
        <f>IF($A500="","",YEAR($A500)&amp;"-"&amp;RIGHT("0"&amp;MONTH($A500),2))</f>
        <v/>
      </c>
      <c r="J500" s="10" t="n"/>
    </row>
    <row r="501">
      <c r="A501" s="15" t="n"/>
      <c r="B501" s="10" t="n"/>
      <c r="C501" s="10" t="n"/>
      <c r="D501" s="22" t="n"/>
      <c r="E501" s="18" t="n"/>
      <c r="F501" s="18" t="n"/>
      <c r="G501" s="23">
        <f>IF($E501="","",$E501-N($F501))</f>
        <v/>
      </c>
      <c r="H501" s="24">
        <f>IFERROR($G501/$E501,"")</f>
        <v/>
      </c>
      <c r="I501" s="25">
        <f>IF($A501="","",YEAR($A501)&amp;"-"&amp;RIGHT("0"&amp;MONTH($A501),2))</f>
        <v/>
      </c>
      <c r="J501" s="10" t="n"/>
    </row>
    <row r="502">
      <c r="A502" s="15" t="n"/>
      <c r="B502" s="10" t="n"/>
      <c r="C502" s="10" t="n"/>
      <c r="D502" s="22" t="n"/>
      <c r="E502" s="18" t="n"/>
      <c r="F502" s="18" t="n"/>
      <c r="G502" s="23">
        <f>IF($E502="","",$E502-N($F502))</f>
        <v/>
      </c>
      <c r="H502" s="24">
        <f>IFERROR($G502/$E502,"")</f>
        <v/>
      </c>
      <c r="I502" s="25">
        <f>IF($A502="","",YEAR($A502)&amp;"-"&amp;RIGHT("0"&amp;MONTH($A502),2))</f>
        <v/>
      </c>
      <c r="J502" s="10" t="n"/>
    </row>
    <row r="503">
      <c r="A503" s="15" t="n"/>
      <c r="B503" s="10" t="n"/>
      <c r="C503" s="10" t="n"/>
      <c r="D503" s="22" t="n"/>
      <c r="E503" s="18" t="n"/>
      <c r="F503" s="18" t="n"/>
      <c r="G503" s="23">
        <f>IF($E503="","",$E503-N($F503))</f>
        <v/>
      </c>
      <c r="H503" s="24">
        <f>IFERROR($G503/$E503,"")</f>
        <v/>
      </c>
      <c r="I503" s="25">
        <f>IF($A503="","",YEAR($A503)&amp;"-"&amp;RIGHT("0"&amp;MONTH($A503),2))</f>
        <v/>
      </c>
      <c r="J503" s="10" t="n"/>
    </row>
    <row r="504">
      <c r="A504" s="15" t="n"/>
      <c r="B504" s="10" t="n"/>
      <c r="C504" s="10" t="n"/>
      <c r="D504" s="22" t="n"/>
      <c r="E504" s="18" t="n"/>
      <c r="F504" s="18" t="n"/>
      <c r="G504" s="23">
        <f>IF($E504="","",$E504-N($F504))</f>
        <v/>
      </c>
      <c r="H504" s="24">
        <f>IFERROR($G504/$E504,"")</f>
        <v/>
      </c>
      <c r="I504" s="25">
        <f>IF($A504="","",YEAR($A504)&amp;"-"&amp;RIGHT("0"&amp;MONTH($A504),2))</f>
        <v/>
      </c>
      <c r="J504" s="10" t="n"/>
    </row>
    <row r="505">
      <c r="A505" s="15" t="n"/>
      <c r="B505" s="10" t="n"/>
      <c r="C505" s="10" t="n"/>
      <c r="D505" s="22" t="n"/>
      <c r="E505" s="18" t="n"/>
      <c r="F505" s="18" t="n"/>
      <c r="G505" s="23">
        <f>IF($E505="","",$E505-N($F505))</f>
        <v/>
      </c>
      <c r="H505" s="24">
        <f>IFERROR($G505/$E505,"")</f>
        <v/>
      </c>
      <c r="I505" s="25">
        <f>IF($A505="","",YEAR($A505)&amp;"-"&amp;RIGHT("0"&amp;MONTH($A505),2))</f>
        <v/>
      </c>
      <c r="J505" s="10" t="n"/>
    </row>
    <row r="506">
      <c r="A506" s="15" t="n"/>
      <c r="B506" s="10" t="n"/>
      <c r="C506" s="10" t="n"/>
      <c r="D506" s="22" t="n"/>
      <c r="E506" s="18" t="n"/>
      <c r="F506" s="18" t="n"/>
      <c r="G506" s="23">
        <f>IF($E506="","",$E506-N($F506))</f>
        <v/>
      </c>
      <c r="H506" s="24">
        <f>IFERROR($G506/$E506,"")</f>
        <v/>
      </c>
      <c r="I506" s="25">
        <f>IF($A506="","",YEAR($A506)&amp;"-"&amp;RIGHT("0"&amp;MONTH($A506),2))</f>
        <v/>
      </c>
      <c r="J506" s="10" t="n"/>
    </row>
    <row r="507">
      <c r="A507" s="15" t="n"/>
      <c r="B507" s="10" t="n"/>
      <c r="C507" s="10" t="n"/>
      <c r="D507" s="22" t="n"/>
      <c r="E507" s="18" t="n"/>
      <c r="F507" s="18" t="n"/>
      <c r="G507" s="23">
        <f>IF($E507="","",$E507-N($F507))</f>
        <v/>
      </c>
      <c r="H507" s="24">
        <f>IFERROR($G507/$E507,"")</f>
        <v/>
      </c>
      <c r="I507" s="25">
        <f>IF($A507="","",YEAR($A507)&amp;"-"&amp;RIGHT("0"&amp;MONTH($A507),2))</f>
        <v/>
      </c>
      <c r="J507" s="10" t="n"/>
    </row>
    <row r="508">
      <c r="A508" s="15" t="n"/>
      <c r="B508" s="10" t="n"/>
      <c r="C508" s="10" t="n"/>
      <c r="D508" s="22" t="n"/>
      <c r="E508" s="18" t="n"/>
      <c r="F508" s="18" t="n"/>
      <c r="G508" s="23">
        <f>IF($E508="","",$E508-N($F508))</f>
        <v/>
      </c>
      <c r="H508" s="24">
        <f>IFERROR($G508/$E508,"")</f>
        <v/>
      </c>
      <c r="I508" s="25">
        <f>IF($A508="","",YEAR($A508)&amp;"-"&amp;RIGHT("0"&amp;MONTH($A508),2))</f>
        <v/>
      </c>
      <c r="J508" s="10" t="n"/>
    </row>
    <row r="509">
      <c r="A509" s="15" t="n"/>
      <c r="B509" s="10" t="n"/>
      <c r="C509" s="10" t="n"/>
      <c r="D509" s="22" t="n"/>
      <c r="E509" s="18" t="n"/>
      <c r="F509" s="18" t="n"/>
      <c r="G509" s="23">
        <f>IF($E509="","",$E509-N($F509))</f>
        <v/>
      </c>
      <c r="H509" s="24">
        <f>IFERROR($G509/$E509,"")</f>
        <v/>
      </c>
      <c r="I509" s="25">
        <f>IF($A509="","",YEAR($A509)&amp;"-"&amp;RIGHT("0"&amp;MONTH($A509),2))</f>
        <v/>
      </c>
      <c r="J509" s="10" t="n"/>
    </row>
    <row r="510">
      <c r="A510" s="15" t="n"/>
      <c r="B510" s="10" t="n"/>
      <c r="C510" s="10" t="n"/>
      <c r="D510" s="22" t="n"/>
      <c r="E510" s="18" t="n"/>
      <c r="F510" s="18" t="n"/>
      <c r="G510" s="23">
        <f>IF($E510="","",$E510-N($F510))</f>
        <v/>
      </c>
      <c r="H510" s="24">
        <f>IFERROR($G510/$E510,"")</f>
        <v/>
      </c>
      <c r="I510" s="25">
        <f>IF($A510="","",YEAR($A510)&amp;"-"&amp;RIGHT("0"&amp;MONTH($A510),2))</f>
        <v/>
      </c>
      <c r="J510" s="10" t="n"/>
    </row>
    <row r="511">
      <c r="A511" s="15" t="n"/>
      <c r="B511" s="10" t="n"/>
      <c r="C511" s="10" t="n"/>
      <c r="D511" s="22" t="n"/>
      <c r="E511" s="18" t="n"/>
      <c r="F511" s="18" t="n"/>
      <c r="G511" s="23">
        <f>IF($E511="","",$E511-N($F511))</f>
        <v/>
      </c>
      <c r="H511" s="24">
        <f>IFERROR($G511/$E511,"")</f>
        <v/>
      </c>
      <c r="I511" s="25">
        <f>IF($A511="","",YEAR($A511)&amp;"-"&amp;RIGHT("0"&amp;MONTH($A511),2))</f>
        <v/>
      </c>
      <c r="J511" s="10" t="n"/>
    </row>
    <row r="512">
      <c r="A512" s="15" t="n"/>
      <c r="B512" s="10" t="n"/>
      <c r="C512" s="10" t="n"/>
      <c r="D512" s="22" t="n"/>
      <c r="E512" s="18" t="n"/>
      <c r="F512" s="18" t="n"/>
      <c r="G512" s="23">
        <f>IF($E512="","",$E512-N($F512))</f>
        <v/>
      </c>
      <c r="H512" s="24">
        <f>IFERROR($G512/$E512,"")</f>
        <v/>
      </c>
      <c r="I512" s="25">
        <f>IF($A512="","",YEAR($A512)&amp;"-"&amp;RIGHT("0"&amp;MONTH($A512),2))</f>
        <v/>
      </c>
      <c r="J512" s="10" t="n"/>
    </row>
    <row r="513">
      <c r="A513" s="15" t="n"/>
      <c r="B513" s="10" t="n"/>
      <c r="C513" s="10" t="n"/>
      <c r="D513" s="22" t="n"/>
      <c r="E513" s="18" t="n"/>
      <c r="F513" s="18" t="n"/>
      <c r="G513" s="23">
        <f>IF($E513="","",$E513-N($F513))</f>
        <v/>
      </c>
      <c r="H513" s="24">
        <f>IFERROR($G513/$E513,"")</f>
        <v/>
      </c>
      <c r="I513" s="25">
        <f>IF($A513="","",YEAR($A513)&amp;"-"&amp;RIGHT("0"&amp;MONTH($A513),2))</f>
        <v/>
      </c>
      <c r="J513" s="10" t="n"/>
    </row>
    <row r="514">
      <c r="A514" s="15" t="n"/>
      <c r="B514" s="10" t="n"/>
      <c r="C514" s="10" t="n"/>
      <c r="D514" s="22" t="n"/>
      <c r="E514" s="18" t="n"/>
      <c r="F514" s="18" t="n"/>
      <c r="G514" s="23">
        <f>IF($E514="","",$E514-N($F514))</f>
        <v/>
      </c>
      <c r="H514" s="24">
        <f>IFERROR($G514/$E514,"")</f>
        <v/>
      </c>
      <c r="I514" s="25">
        <f>IF($A514="","",YEAR($A514)&amp;"-"&amp;RIGHT("0"&amp;MONTH($A514),2))</f>
        <v/>
      </c>
      <c r="J514" s="10" t="n"/>
    </row>
    <row r="515">
      <c r="A515" s="15" t="n"/>
      <c r="B515" s="10" t="n"/>
      <c r="C515" s="10" t="n"/>
      <c r="D515" s="22" t="n"/>
      <c r="E515" s="18" t="n"/>
      <c r="F515" s="18" t="n"/>
      <c r="G515" s="23">
        <f>IF($E515="","",$E515-N($F515))</f>
        <v/>
      </c>
      <c r="H515" s="24">
        <f>IFERROR($G515/$E515,"")</f>
        <v/>
      </c>
      <c r="I515" s="25">
        <f>IF($A515="","",YEAR($A515)&amp;"-"&amp;RIGHT("0"&amp;MONTH($A515),2))</f>
        <v/>
      </c>
      <c r="J515" s="10" t="n"/>
    </row>
    <row r="516">
      <c r="A516" s="15" t="n"/>
      <c r="B516" s="10" t="n"/>
      <c r="C516" s="10" t="n"/>
      <c r="D516" s="22" t="n"/>
      <c r="E516" s="18" t="n"/>
      <c r="F516" s="18" t="n"/>
      <c r="G516" s="23">
        <f>IF($E516="","",$E516-N($F516))</f>
        <v/>
      </c>
      <c r="H516" s="24">
        <f>IFERROR($G516/$E516,"")</f>
        <v/>
      </c>
      <c r="I516" s="25">
        <f>IF($A516="","",YEAR($A516)&amp;"-"&amp;RIGHT("0"&amp;MONTH($A516),2))</f>
        <v/>
      </c>
      <c r="J516" s="10" t="n"/>
    </row>
    <row r="517">
      <c r="A517" s="15" t="n"/>
      <c r="B517" s="10" t="n"/>
      <c r="C517" s="10" t="n"/>
      <c r="D517" s="22" t="n"/>
      <c r="E517" s="18" t="n"/>
      <c r="F517" s="18" t="n"/>
      <c r="G517" s="23">
        <f>IF($E517="","",$E517-N($F517))</f>
        <v/>
      </c>
      <c r="H517" s="24">
        <f>IFERROR($G517/$E517,"")</f>
        <v/>
      </c>
      <c r="I517" s="25">
        <f>IF($A517="","",YEAR($A517)&amp;"-"&amp;RIGHT("0"&amp;MONTH($A517),2))</f>
        <v/>
      </c>
      <c r="J517" s="10" t="n"/>
    </row>
    <row r="518">
      <c r="A518" s="15" t="n"/>
      <c r="B518" s="10" t="n"/>
      <c r="C518" s="10" t="n"/>
      <c r="D518" s="22" t="n"/>
      <c r="E518" s="18" t="n"/>
      <c r="F518" s="18" t="n"/>
      <c r="G518" s="23">
        <f>IF($E518="","",$E518-N($F518))</f>
        <v/>
      </c>
      <c r="H518" s="24">
        <f>IFERROR($G518/$E518,"")</f>
        <v/>
      </c>
      <c r="I518" s="25">
        <f>IF($A518="","",YEAR($A518)&amp;"-"&amp;RIGHT("0"&amp;MONTH($A518),2))</f>
        <v/>
      </c>
      <c r="J518" s="10" t="n"/>
    </row>
    <row r="519">
      <c r="A519" s="15" t="n"/>
      <c r="B519" s="10" t="n"/>
      <c r="C519" s="10" t="n"/>
      <c r="D519" s="22" t="n"/>
      <c r="E519" s="18" t="n"/>
      <c r="F519" s="18" t="n"/>
      <c r="G519" s="23">
        <f>IF($E519="","",$E519-N($F519))</f>
        <v/>
      </c>
      <c r="H519" s="24">
        <f>IFERROR($G519/$E519,"")</f>
        <v/>
      </c>
      <c r="I519" s="25">
        <f>IF($A519="","",YEAR($A519)&amp;"-"&amp;RIGHT("0"&amp;MONTH($A519),2))</f>
        <v/>
      </c>
      <c r="J519" s="10" t="n"/>
    </row>
    <row r="520">
      <c r="A520" s="15" t="n"/>
      <c r="B520" s="10" t="n"/>
      <c r="C520" s="10" t="n"/>
      <c r="D520" s="22" t="n"/>
      <c r="E520" s="18" t="n"/>
      <c r="F520" s="18" t="n"/>
      <c r="G520" s="23">
        <f>IF($E520="","",$E520-N($F520))</f>
        <v/>
      </c>
      <c r="H520" s="24">
        <f>IFERROR($G520/$E520,"")</f>
        <v/>
      </c>
      <c r="I520" s="25">
        <f>IF($A520="","",YEAR($A520)&amp;"-"&amp;RIGHT("0"&amp;MONTH($A520),2))</f>
        <v/>
      </c>
      <c r="J520" s="10" t="n"/>
    </row>
    <row r="521">
      <c r="A521" s="15" t="n"/>
      <c r="B521" s="10" t="n"/>
      <c r="C521" s="10" t="n"/>
      <c r="D521" s="22" t="n"/>
      <c r="E521" s="18" t="n"/>
      <c r="F521" s="18" t="n"/>
      <c r="G521" s="23">
        <f>IF($E521="","",$E521-N($F521))</f>
        <v/>
      </c>
      <c r="H521" s="24">
        <f>IFERROR($G521/$E521,"")</f>
        <v/>
      </c>
      <c r="I521" s="25">
        <f>IF($A521="","",YEAR($A521)&amp;"-"&amp;RIGHT("0"&amp;MONTH($A521),2))</f>
        <v/>
      </c>
      <c r="J521" s="10" t="n"/>
    </row>
    <row r="522">
      <c r="A522" s="15" t="n"/>
      <c r="B522" s="10" t="n"/>
      <c r="C522" s="10" t="n"/>
      <c r="D522" s="22" t="n"/>
      <c r="E522" s="18" t="n"/>
      <c r="F522" s="18" t="n"/>
      <c r="G522" s="23">
        <f>IF($E522="","",$E522-N($F522))</f>
        <v/>
      </c>
      <c r="H522" s="24">
        <f>IFERROR($G522/$E522,"")</f>
        <v/>
      </c>
      <c r="I522" s="25">
        <f>IF($A522="","",YEAR($A522)&amp;"-"&amp;RIGHT("0"&amp;MONTH($A522),2))</f>
        <v/>
      </c>
      <c r="J522" s="10" t="n"/>
    </row>
    <row r="523">
      <c r="A523" s="15" t="n"/>
      <c r="B523" s="10" t="n"/>
      <c r="C523" s="10" t="n"/>
      <c r="D523" s="22" t="n"/>
      <c r="E523" s="18" t="n"/>
      <c r="F523" s="18" t="n"/>
      <c r="G523" s="23">
        <f>IF($E523="","",$E523-N($F523))</f>
        <v/>
      </c>
      <c r="H523" s="24">
        <f>IFERROR($G523/$E523,"")</f>
        <v/>
      </c>
      <c r="I523" s="25">
        <f>IF($A523="","",YEAR($A523)&amp;"-"&amp;RIGHT("0"&amp;MONTH($A523),2))</f>
        <v/>
      </c>
      <c r="J523" s="10" t="n"/>
    </row>
    <row r="524">
      <c r="A524" s="15" t="n"/>
      <c r="B524" s="10" t="n"/>
      <c r="C524" s="10" t="n"/>
      <c r="D524" s="22" t="n"/>
      <c r="E524" s="18" t="n"/>
      <c r="F524" s="18" t="n"/>
      <c r="G524" s="23">
        <f>IF($E524="","",$E524-N($F524))</f>
        <v/>
      </c>
      <c r="H524" s="24">
        <f>IFERROR($G524/$E524,"")</f>
        <v/>
      </c>
      <c r="I524" s="25">
        <f>IF($A524="","",YEAR($A524)&amp;"-"&amp;RIGHT("0"&amp;MONTH($A524),2))</f>
        <v/>
      </c>
      <c r="J524" s="10" t="n"/>
    </row>
    <row r="525">
      <c r="A525" s="15" t="n"/>
      <c r="B525" s="10" t="n"/>
      <c r="C525" s="10" t="n"/>
      <c r="D525" s="22" t="n"/>
      <c r="E525" s="18" t="n"/>
      <c r="F525" s="18" t="n"/>
      <c r="G525" s="23">
        <f>IF($E525="","",$E525-N($F525))</f>
        <v/>
      </c>
      <c r="H525" s="24">
        <f>IFERROR($G525/$E525,"")</f>
        <v/>
      </c>
      <c r="I525" s="25">
        <f>IF($A525="","",YEAR($A525)&amp;"-"&amp;RIGHT("0"&amp;MONTH($A525),2))</f>
        <v/>
      </c>
      <c r="J525" s="10" t="n"/>
    </row>
    <row r="526">
      <c r="A526" s="15" t="n"/>
      <c r="B526" s="10" t="n"/>
      <c r="C526" s="10" t="n"/>
      <c r="D526" s="22" t="n"/>
      <c r="E526" s="18" t="n"/>
      <c r="F526" s="18" t="n"/>
      <c r="G526" s="23">
        <f>IF($E526="","",$E526-N($F526))</f>
        <v/>
      </c>
      <c r="H526" s="24">
        <f>IFERROR($G526/$E526,"")</f>
        <v/>
      </c>
      <c r="I526" s="25">
        <f>IF($A526="","",YEAR($A526)&amp;"-"&amp;RIGHT("0"&amp;MONTH($A526),2))</f>
        <v/>
      </c>
      <c r="J526" s="10" t="n"/>
    </row>
    <row r="527">
      <c r="A527" s="15" t="n"/>
      <c r="B527" s="10" t="n"/>
      <c r="C527" s="10" t="n"/>
      <c r="D527" s="22" t="n"/>
      <c r="E527" s="18" t="n"/>
      <c r="F527" s="18" t="n"/>
      <c r="G527" s="23">
        <f>IF($E527="","",$E527-N($F527))</f>
        <v/>
      </c>
      <c r="H527" s="24">
        <f>IFERROR($G527/$E527,"")</f>
        <v/>
      </c>
      <c r="I527" s="25">
        <f>IF($A527="","",YEAR($A527)&amp;"-"&amp;RIGHT("0"&amp;MONTH($A527),2))</f>
        <v/>
      </c>
      <c r="J527" s="10" t="n"/>
    </row>
    <row r="528">
      <c r="A528" s="15" t="n"/>
      <c r="B528" s="10" t="n"/>
      <c r="C528" s="10" t="n"/>
      <c r="D528" s="22" t="n"/>
      <c r="E528" s="18" t="n"/>
      <c r="F528" s="18" t="n"/>
      <c r="G528" s="23">
        <f>IF($E528="","",$E528-N($F528))</f>
        <v/>
      </c>
      <c r="H528" s="24">
        <f>IFERROR($G528/$E528,"")</f>
        <v/>
      </c>
      <c r="I528" s="25">
        <f>IF($A528="","",YEAR($A528)&amp;"-"&amp;RIGHT("0"&amp;MONTH($A528),2))</f>
        <v/>
      </c>
      <c r="J528" s="10" t="n"/>
    </row>
    <row r="529">
      <c r="A529" s="15" t="n"/>
      <c r="B529" s="10" t="n"/>
      <c r="C529" s="10" t="n"/>
      <c r="D529" s="22" t="n"/>
      <c r="E529" s="18" t="n"/>
      <c r="F529" s="18" t="n"/>
      <c r="G529" s="23">
        <f>IF($E529="","",$E529-N($F529))</f>
        <v/>
      </c>
      <c r="H529" s="24">
        <f>IFERROR($G529/$E529,"")</f>
        <v/>
      </c>
      <c r="I529" s="25">
        <f>IF($A529="","",YEAR($A529)&amp;"-"&amp;RIGHT("0"&amp;MONTH($A529),2))</f>
        <v/>
      </c>
      <c r="J529" s="10" t="n"/>
    </row>
    <row r="530">
      <c r="A530" s="15" t="n"/>
      <c r="B530" s="10" t="n"/>
      <c r="C530" s="10" t="n"/>
      <c r="D530" s="22" t="n"/>
      <c r="E530" s="18" t="n"/>
      <c r="F530" s="18" t="n"/>
      <c r="G530" s="23">
        <f>IF($E530="","",$E530-N($F530))</f>
        <v/>
      </c>
      <c r="H530" s="24">
        <f>IFERROR($G530/$E530,"")</f>
        <v/>
      </c>
      <c r="I530" s="25">
        <f>IF($A530="","",YEAR($A530)&amp;"-"&amp;RIGHT("0"&amp;MONTH($A530),2))</f>
        <v/>
      </c>
      <c r="J530" s="10" t="n"/>
    </row>
    <row r="531">
      <c r="A531" s="15" t="n"/>
      <c r="B531" s="10" t="n"/>
      <c r="C531" s="10" t="n"/>
      <c r="D531" s="22" t="n"/>
      <c r="E531" s="18" t="n"/>
      <c r="F531" s="18" t="n"/>
      <c r="G531" s="23">
        <f>IF($E531="","",$E531-N($F531))</f>
        <v/>
      </c>
      <c r="H531" s="24">
        <f>IFERROR($G531/$E531,"")</f>
        <v/>
      </c>
      <c r="I531" s="25">
        <f>IF($A531="","",YEAR($A531)&amp;"-"&amp;RIGHT("0"&amp;MONTH($A531),2))</f>
        <v/>
      </c>
      <c r="J531" s="10" t="n"/>
    </row>
    <row r="532">
      <c r="A532" s="15" t="n"/>
      <c r="B532" s="10" t="n"/>
      <c r="C532" s="10" t="n"/>
      <c r="D532" s="22" t="n"/>
      <c r="E532" s="18" t="n"/>
      <c r="F532" s="18" t="n"/>
      <c r="G532" s="23">
        <f>IF($E532="","",$E532-N($F532))</f>
        <v/>
      </c>
      <c r="H532" s="24">
        <f>IFERROR($G532/$E532,"")</f>
        <v/>
      </c>
      <c r="I532" s="25">
        <f>IF($A532="","",YEAR($A532)&amp;"-"&amp;RIGHT("0"&amp;MONTH($A532),2))</f>
        <v/>
      </c>
      <c r="J532" s="10" t="n"/>
    </row>
    <row r="533">
      <c r="A533" s="15" t="n"/>
      <c r="B533" s="10" t="n"/>
      <c r="C533" s="10" t="n"/>
      <c r="D533" s="22" t="n"/>
      <c r="E533" s="18" t="n"/>
      <c r="F533" s="18" t="n"/>
      <c r="G533" s="23">
        <f>IF($E533="","",$E533-N($F533))</f>
        <v/>
      </c>
      <c r="H533" s="24">
        <f>IFERROR($G533/$E533,"")</f>
        <v/>
      </c>
      <c r="I533" s="25">
        <f>IF($A533="","",YEAR($A533)&amp;"-"&amp;RIGHT("0"&amp;MONTH($A533),2))</f>
        <v/>
      </c>
      <c r="J533" s="10" t="n"/>
    </row>
    <row r="534">
      <c r="A534" s="15" t="n"/>
      <c r="B534" s="10" t="n"/>
      <c r="C534" s="10" t="n"/>
      <c r="D534" s="22" t="n"/>
      <c r="E534" s="18" t="n"/>
      <c r="F534" s="18" t="n"/>
      <c r="G534" s="23">
        <f>IF($E534="","",$E534-N($F534))</f>
        <v/>
      </c>
      <c r="H534" s="24">
        <f>IFERROR($G534/$E534,"")</f>
        <v/>
      </c>
      <c r="I534" s="25">
        <f>IF($A534="","",YEAR($A534)&amp;"-"&amp;RIGHT("0"&amp;MONTH($A534),2))</f>
        <v/>
      </c>
      <c r="J534" s="10" t="n"/>
    </row>
    <row r="535">
      <c r="A535" s="15" t="n"/>
      <c r="B535" s="10" t="n"/>
      <c r="C535" s="10" t="n"/>
      <c r="D535" s="22" t="n"/>
      <c r="E535" s="18" t="n"/>
      <c r="F535" s="18" t="n"/>
      <c r="G535" s="23">
        <f>IF($E535="","",$E535-N($F535))</f>
        <v/>
      </c>
      <c r="H535" s="24">
        <f>IFERROR($G535/$E535,"")</f>
        <v/>
      </c>
      <c r="I535" s="25">
        <f>IF($A535="","",YEAR($A535)&amp;"-"&amp;RIGHT("0"&amp;MONTH($A535),2))</f>
        <v/>
      </c>
      <c r="J535" s="10" t="n"/>
    </row>
    <row r="536">
      <c r="A536" s="15" t="n"/>
      <c r="B536" s="10" t="n"/>
      <c r="C536" s="10" t="n"/>
      <c r="D536" s="22" t="n"/>
      <c r="E536" s="18" t="n"/>
      <c r="F536" s="18" t="n"/>
      <c r="G536" s="23">
        <f>IF($E536="","",$E536-N($F536))</f>
        <v/>
      </c>
      <c r="H536" s="24">
        <f>IFERROR($G536/$E536,"")</f>
        <v/>
      </c>
      <c r="I536" s="25">
        <f>IF($A536="","",YEAR($A536)&amp;"-"&amp;RIGHT("0"&amp;MONTH($A536),2))</f>
        <v/>
      </c>
      <c r="J536" s="10" t="n"/>
    </row>
    <row r="537">
      <c r="A537" s="15" t="n"/>
      <c r="B537" s="10" t="n"/>
      <c r="C537" s="10" t="n"/>
      <c r="D537" s="22" t="n"/>
      <c r="E537" s="18" t="n"/>
      <c r="F537" s="18" t="n"/>
      <c r="G537" s="23">
        <f>IF($E537="","",$E537-N($F537))</f>
        <v/>
      </c>
      <c r="H537" s="24">
        <f>IFERROR($G537/$E537,"")</f>
        <v/>
      </c>
      <c r="I537" s="25">
        <f>IF($A537="","",YEAR($A537)&amp;"-"&amp;RIGHT("0"&amp;MONTH($A537),2))</f>
        <v/>
      </c>
      <c r="J537" s="10" t="n"/>
    </row>
    <row r="538">
      <c r="A538" s="15" t="n"/>
      <c r="B538" s="10" t="n"/>
      <c r="C538" s="10" t="n"/>
      <c r="D538" s="22" t="n"/>
      <c r="E538" s="18" t="n"/>
      <c r="F538" s="18" t="n"/>
      <c r="G538" s="23">
        <f>IF($E538="","",$E538-N($F538))</f>
        <v/>
      </c>
      <c r="H538" s="24">
        <f>IFERROR($G538/$E538,"")</f>
        <v/>
      </c>
      <c r="I538" s="25">
        <f>IF($A538="","",YEAR($A538)&amp;"-"&amp;RIGHT("0"&amp;MONTH($A538),2))</f>
        <v/>
      </c>
      <c r="J538" s="10" t="n"/>
    </row>
    <row r="539">
      <c r="A539" s="15" t="n"/>
      <c r="B539" s="10" t="n"/>
      <c r="C539" s="10" t="n"/>
      <c r="D539" s="22" t="n"/>
      <c r="E539" s="18" t="n"/>
      <c r="F539" s="18" t="n"/>
      <c r="G539" s="23">
        <f>IF($E539="","",$E539-N($F539))</f>
        <v/>
      </c>
      <c r="H539" s="24">
        <f>IFERROR($G539/$E539,"")</f>
        <v/>
      </c>
      <c r="I539" s="25">
        <f>IF($A539="","",YEAR($A539)&amp;"-"&amp;RIGHT("0"&amp;MONTH($A539),2))</f>
        <v/>
      </c>
      <c r="J539" s="10" t="n"/>
    </row>
    <row r="540">
      <c r="A540" s="15" t="n"/>
      <c r="B540" s="10" t="n"/>
      <c r="C540" s="10" t="n"/>
      <c r="D540" s="22" t="n"/>
      <c r="E540" s="18" t="n"/>
      <c r="F540" s="18" t="n"/>
      <c r="G540" s="23">
        <f>IF($E540="","",$E540-N($F540))</f>
        <v/>
      </c>
      <c r="H540" s="24">
        <f>IFERROR($G540/$E540,"")</f>
        <v/>
      </c>
      <c r="I540" s="25">
        <f>IF($A540="","",YEAR($A540)&amp;"-"&amp;RIGHT("0"&amp;MONTH($A540),2))</f>
        <v/>
      </c>
      <c r="J540" s="10" t="n"/>
    </row>
    <row r="541">
      <c r="A541" s="15" t="n"/>
      <c r="B541" s="10" t="n"/>
      <c r="C541" s="10" t="n"/>
      <c r="D541" s="22" t="n"/>
      <c r="E541" s="18" t="n"/>
      <c r="F541" s="18" t="n"/>
      <c r="G541" s="23">
        <f>IF($E541="","",$E541-N($F541))</f>
        <v/>
      </c>
      <c r="H541" s="24">
        <f>IFERROR($G541/$E541,"")</f>
        <v/>
      </c>
      <c r="I541" s="25">
        <f>IF($A541="","",YEAR($A541)&amp;"-"&amp;RIGHT("0"&amp;MONTH($A541),2))</f>
        <v/>
      </c>
      <c r="J541" s="10" t="n"/>
    </row>
    <row r="542">
      <c r="A542" s="15" t="n"/>
      <c r="B542" s="10" t="n"/>
      <c r="C542" s="10" t="n"/>
      <c r="D542" s="22" t="n"/>
      <c r="E542" s="18" t="n"/>
      <c r="F542" s="18" t="n"/>
      <c r="G542" s="23">
        <f>IF($E542="","",$E542-N($F542))</f>
        <v/>
      </c>
      <c r="H542" s="24">
        <f>IFERROR($G542/$E542,"")</f>
        <v/>
      </c>
      <c r="I542" s="25">
        <f>IF($A542="","",YEAR($A542)&amp;"-"&amp;RIGHT("0"&amp;MONTH($A542),2))</f>
        <v/>
      </c>
      <c r="J542" s="10" t="n"/>
    </row>
    <row r="543">
      <c r="A543" s="15" t="n"/>
      <c r="B543" s="10" t="n"/>
      <c r="C543" s="10" t="n"/>
      <c r="D543" s="22" t="n"/>
      <c r="E543" s="18" t="n"/>
      <c r="F543" s="18" t="n"/>
      <c r="G543" s="23">
        <f>IF($E543="","",$E543-N($F543))</f>
        <v/>
      </c>
      <c r="H543" s="24">
        <f>IFERROR($G543/$E543,"")</f>
        <v/>
      </c>
      <c r="I543" s="25">
        <f>IF($A543="","",YEAR($A543)&amp;"-"&amp;RIGHT("0"&amp;MONTH($A543),2))</f>
        <v/>
      </c>
      <c r="J543" s="10" t="n"/>
    </row>
    <row r="544">
      <c r="A544" s="15" t="n"/>
      <c r="B544" s="10" t="n"/>
      <c r="C544" s="10" t="n"/>
      <c r="D544" s="22" t="n"/>
      <c r="E544" s="18" t="n"/>
      <c r="F544" s="18" t="n"/>
      <c r="G544" s="23">
        <f>IF($E544="","",$E544-N($F544))</f>
        <v/>
      </c>
      <c r="H544" s="24">
        <f>IFERROR($G544/$E544,"")</f>
        <v/>
      </c>
      <c r="I544" s="25">
        <f>IF($A544="","",YEAR($A544)&amp;"-"&amp;RIGHT("0"&amp;MONTH($A544),2))</f>
        <v/>
      </c>
      <c r="J544" s="10" t="n"/>
    </row>
    <row r="545">
      <c r="A545" s="15" t="n"/>
      <c r="B545" s="10" t="n"/>
      <c r="C545" s="10" t="n"/>
      <c r="D545" s="22" t="n"/>
      <c r="E545" s="18" t="n"/>
      <c r="F545" s="18" t="n"/>
      <c r="G545" s="23">
        <f>IF($E545="","",$E545-N($F545))</f>
        <v/>
      </c>
      <c r="H545" s="24">
        <f>IFERROR($G545/$E545,"")</f>
        <v/>
      </c>
      <c r="I545" s="25">
        <f>IF($A545="","",YEAR($A545)&amp;"-"&amp;RIGHT("0"&amp;MONTH($A545),2))</f>
        <v/>
      </c>
      <c r="J545" s="10" t="n"/>
    </row>
    <row r="546">
      <c r="A546" s="15" t="n"/>
      <c r="B546" s="10" t="n"/>
      <c r="C546" s="10" t="n"/>
      <c r="D546" s="22" t="n"/>
      <c r="E546" s="18" t="n"/>
      <c r="F546" s="18" t="n"/>
      <c r="G546" s="23">
        <f>IF($E546="","",$E546-N($F546))</f>
        <v/>
      </c>
      <c r="H546" s="24">
        <f>IFERROR($G546/$E546,"")</f>
        <v/>
      </c>
      <c r="I546" s="25">
        <f>IF($A546="","",YEAR($A546)&amp;"-"&amp;RIGHT("0"&amp;MONTH($A546),2))</f>
        <v/>
      </c>
      <c r="J546" s="10" t="n"/>
    </row>
    <row r="547">
      <c r="A547" s="15" t="n"/>
      <c r="B547" s="10" t="n"/>
      <c r="C547" s="10" t="n"/>
      <c r="D547" s="22" t="n"/>
      <c r="E547" s="18" t="n"/>
      <c r="F547" s="18" t="n"/>
      <c r="G547" s="23">
        <f>IF($E547="","",$E547-N($F547))</f>
        <v/>
      </c>
      <c r="H547" s="24">
        <f>IFERROR($G547/$E547,"")</f>
        <v/>
      </c>
      <c r="I547" s="25">
        <f>IF($A547="","",YEAR($A547)&amp;"-"&amp;RIGHT("0"&amp;MONTH($A547),2))</f>
        <v/>
      </c>
      <c r="J547" s="10" t="n"/>
    </row>
    <row r="548">
      <c r="A548" s="15" t="n"/>
      <c r="B548" s="10" t="n"/>
      <c r="C548" s="10" t="n"/>
      <c r="D548" s="22" t="n"/>
      <c r="E548" s="18" t="n"/>
      <c r="F548" s="18" t="n"/>
      <c r="G548" s="23">
        <f>IF($E548="","",$E548-N($F548))</f>
        <v/>
      </c>
      <c r="H548" s="24">
        <f>IFERROR($G548/$E548,"")</f>
        <v/>
      </c>
      <c r="I548" s="25">
        <f>IF($A548="","",YEAR($A548)&amp;"-"&amp;RIGHT("0"&amp;MONTH($A548),2))</f>
        <v/>
      </c>
      <c r="J548" s="10" t="n"/>
    </row>
    <row r="549">
      <c r="A549" s="15" t="n"/>
      <c r="B549" s="10" t="n"/>
      <c r="C549" s="10" t="n"/>
      <c r="D549" s="22" t="n"/>
      <c r="E549" s="18" t="n"/>
      <c r="F549" s="18" t="n"/>
      <c r="G549" s="23">
        <f>IF($E549="","",$E549-N($F549))</f>
        <v/>
      </c>
      <c r="H549" s="24">
        <f>IFERROR($G549/$E549,"")</f>
        <v/>
      </c>
      <c r="I549" s="25">
        <f>IF($A549="","",YEAR($A549)&amp;"-"&amp;RIGHT("0"&amp;MONTH($A549),2))</f>
        <v/>
      </c>
      <c r="J549" s="10" t="n"/>
    </row>
    <row r="550">
      <c r="A550" s="15" t="n"/>
      <c r="B550" s="10" t="n"/>
      <c r="C550" s="10" t="n"/>
      <c r="D550" s="22" t="n"/>
      <c r="E550" s="18" t="n"/>
      <c r="F550" s="18" t="n"/>
      <c r="G550" s="23">
        <f>IF($E550="","",$E550-N($F550))</f>
        <v/>
      </c>
      <c r="H550" s="24">
        <f>IFERROR($G550/$E550,"")</f>
        <v/>
      </c>
      <c r="I550" s="25">
        <f>IF($A550="","",YEAR($A550)&amp;"-"&amp;RIGHT("0"&amp;MONTH($A550),2))</f>
        <v/>
      </c>
      <c r="J550" s="10" t="n"/>
    </row>
    <row r="551">
      <c r="A551" s="15" t="n"/>
      <c r="B551" s="10" t="n"/>
      <c r="C551" s="10" t="n"/>
      <c r="D551" s="22" t="n"/>
      <c r="E551" s="18" t="n"/>
      <c r="F551" s="18" t="n"/>
      <c r="G551" s="23">
        <f>IF($E551="","",$E551-N($F551))</f>
        <v/>
      </c>
      <c r="H551" s="24">
        <f>IFERROR($G551/$E551,"")</f>
        <v/>
      </c>
      <c r="I551" s="25">
        <f>IF($A551="","",YEAR($A551)&amp;"-"&amp;RIGHT("0"&amp;MONTH($A551),2))</f>
        <v/>
      </c>
      <c r="J551" s="10" t="n"/>
    </row>
    <row r="552">
      <c r="A552" s="15" t="n"/>
      <c r="B552" s="10" t="n"/>
      <c r="C552" s="10" t="n"/>
      <c r="D552" s="22" t="n"/>
      <c r="E552" s="18" t="n"/>
      <c r="F552" s="18" t="n"/>
      <c r="G552" s="23">
        <f>IF($E552="","",$E552-N($F552))</f>
        <v/>
      </c>
      <c r="H552" s="24">
        <f>IFERROR($G552/$E552,"")</f>
        <v/>
      </c>
      <c r="I552" s="25">
        <f>IF($A552="","",YEAR($A552)&amp;"-"&amp;RIGHT("0"&amp;MONTH($A552),2))</f>
        <v/>
      </c>
      <c r="J552" s="10" t="n"/>
    </row>
    <row r="553">
      <c r="A553" s="15" t="n"/>
      <c r="B553" s="10" t="n"/>
      <c r="C553" s="10" t="n"/>
      <c r="D553" s="22" t="n"/>
      <c r="E553" s="18" t="n"/>
      <c r="F553" s="18" t="n"/>
      <c r="G553" s="23">
        <f>IF($E553="","",$E553-N($F553))</f>
        <v/>
      </c>
      <c r="H553" s="24">
        <f>IFERROR($G553/$E553,"")</f>
        <v/>
      </c>
      <c r="I553" s="25">
        <f>IF($A553="","",YEAR($A553)&amp;"-"&amp;RIGHT("0"&amp;MONTH($A553),2))</f>
        <v/>
      </c>
      <c r="J553" s="10" t="n"/>
    </row>
    <row r="554">
      <c r="A554" s="15" t="n"/>
      <c r="B554" s="10" t="n"/>
      <c r="C554" s="10" t="n"/>
      <c r="D554" s="22" t="n"/>
      <c r="E554" s="18" t="n"/>
      <c r="F554" s="18" t="n"/>
      <c r="G554" s="23">
        <f>IF($E554="","",$E554-N($F554))</f>
        <v/>
      </c>
      <c r="H554" s="24">
        <f>IFERROR($G554/$E554,"")</f>
        <v/>
      </c>
      <c r="I554" s="25">
        <f>IF($A554="","",YEAR($A554)&amp;"-"&amp;RIGHT("0"&amp;MONTH($A554),2))</f>
        <v/>
      </c>
      <c r="J554" s="10" t="n"/>
    </row>
    <row r="555">
      <c r="A555" s="15" t="n"/>
      <c r="B555" s="10" t="n"/>
      <c r="C555" s="10" t="n"/>
      <c r="D555" s="22" t="n"/>
      <c r="E555" s="18" t="n"/>
      <c r="F555" s="18" t="n"/>
      <c r="G555" s="23">
        <f>IF($E555="","",$E555-N($F555))</f>
        <v/>
      </c>
      <c r="H555" s="24">
        <f>IFERROR($G555/$E555,"")</f>
        <v/>
      </c>
      <c r="I555" s="25">
        <f>IF($A555="","",YEAR($A555)&amp;"-"&amp;RIGHT("0"&amp;MONTH($A555),2))</f>
        <v/>
      </c>
      <c r="J555" s="10" t="n"/>
    </row>
    <row r="556">
      <c r="A556" s="15" t="n"/>
      <c r="B556" s="10" t="n"/>
      <c r="C556" s="10" t="n"/>
      <c r="D556" s="22" t="n"/>
      <c r="E556" s="18" t="n"/>
      <c r="F556" s="18" t="n"/>
      <c r="G556" s="23">
        <f>IF($E556="","",$E556-N($F556))</f>
        <v/>
      </c>
      <c r="H556" s="24">
        <f>IFERROR($G556/$E556,"")</f>
        <v/>
      </c>
      <c r="I556" s="25">
        <f>IF($A556="","",YEAR($A556)&amp;"-"&amp;RIGHT("0"&amp;MONTH($A556),2))</f>
        <v/>
      </c>
      <c r="J556" s="10" t="n"/>
    </row>
    <row r="557">
      <c r="A557" s="15" t="n"/>
      <c r="B557" s="10" t="n"/>
      <c r="C557" s="10" t="n"/>
      <c r="D557" s="22" t="n"/>
      <c r="E557" s="18" t="n"/>
      <c r="F557" s="18" t="n"/>
      <c r="G557" s="23">
        <f>IF($E557="","",$E557-N($F557))</f>
        <v/>
      </c>
      <c r="H557" s="24">
        <f>IFERROR($G557/$E557,"")</f>
        <v/>
      </c>
      <c r="I557" s="25">
        <f>IF($A557="","",YEAR($A557)&amp;"-"&amp;RIGHT("0"&amp;MONTH($A557),2))</f>
        <v/>
      </c>
      <c r="J557" s="10" t="n"/>
    </row>
    <row r="558">
      <c r="A558" s="15" t="n"/>
      <c r="B558" s="10" t="n"/>
      <c r="C558" s="10" t="n"/>
      <c r="D558" s="22" t="n"/>
      <c r="E558" s="18" t="n"/>
      <c r="F558" s="18" t="n"/>
      <c r="G558" s="23">
        <f>IF($E558="","",$E558-N($F558))</f>
        <v/>
      </c>
      <c r="H558" s="24">
        <f>IFERROR($G558/$E558,"")</f>
        <v/>
      </c>
      <c r="I558" s="25">
        <f>IF($A558="","",YEAR($A558)&amp;"-"&amp;RIGHT("0"&amp;MONTH($A558),2))</f>
        <v/>
      </c>
      <c r="J558" s="10" t="n"/>
    </row>
    <row r="559">
      <c r="A559" s="15" t="n"/>
      <c r="B559" s="10" t="n"/>
      <c r="C559" s="10" t="n"/>
      <c r="D559" s="22" t="n"/>
      <c r="E559" s="18" t="n"/>
      <c r="F559" s="18" t="n"/>
      <c r="G559" s="23">
        <f>IF($E559="","",$E559-N($F559))</f>
        <v/>
      </c>
      <c r="H559" s="24">
        <f>IFERROR($G559/$E559,"")</f>
        <v/>
      </c>
      <c r="I559" s="25">
        <f>IF($A559="","",YEAR($A559)&amp;"-"&amp;RIGHT("0"&amp;MONTH($A559),2))</f>
        <v/>
      </c>
      <c r="J559" s="10" t="n"/>
    </row>
    <row r="560">
      <c r="A560" s="15" t="n"/>
      <c r="B560" s="10" t="n"/>
      <c r="C560" s="10" t="n"/>
      <c r="D560" s="22" t="n"/>
      <c r="E560" s="18" t="n"/>
      <c r="F560" s="18" t="n"/>
      <c r="G560" s="23">
        <f>IF($E560="","",$E560-N($F560))</f>
        <v/>
      </c>
      <c r="H560" s="24">
        <f>IFERROR($G560/$E560,"")</f>
        <v/>
      </c>
      <c r="I560" s="25">
        <f>IF($A560="","",YEAR($A560)&amp;"-"&amp;RIGHT("0"&amp;MONTH($A560),2))</f>
        <v/>
      </c>
      <c r="J560" s="10" t="n"/>
    </row>
    <row r="561">
      <c r="A561" s="15" t="n"/>
      <c r="B561" s="10" t="n"/>
      <c r="C561" s="10" t="n"/>
      <c r="D561" s="22" t="n"/>
      <c r="E561" s="18" t="n"/>
      <c r="F561" s="18" t="n"/>
      <c r="G561" s="23">
        <f>IF($E561="","",$E561-N($F561))</f>
        <v/>
      </c>
      <c r="H561" s="24">
        <f>IFERROR($G561/$E561,"")</f>
        <v/>
      </c>
      <c r="I561" s="25">
        <f>IF($A561="","",YEAR($A561)&amp;"-"&amp;RIGHT("0"&amp;MONTH($A561),2))</f>
        <v/>
      </c>
      <c r="J561" s="10" t="n"/>
    </row>
    <row r="562">
      <c r="A562" s="15" t="n"/>
      <c r="B562" s="10" t="n"/>
      <c r="C562" s="10" t="n"/>
      <c r="D562" s="22" t="n"/>
      <c r="E562" s="18" t="n"/>
      <c r="F562" s="18" t="n"/>
      <c r="G562" s="23">
        <f>IF($E562="","",$E562-N($F562))</f>
        <v/>
      </c>
      <c r="H562" s="24">
        <f>IFERROR($G562/$E562,"")</f>
        <v/>
      </c>
      <c r="I562" s="25">
        <f>IF($A562="","",YEAR($A562)&amp;"-"&amp;RIGHT("0"&amp;MONTH($A562),2))</f>
        <v/>
      </c>
      <c r="J562" s="10" t="n"/>
    </row>
    <row r="563">
      <c r="A563" s="15" t="n"/>
      <c r="B563" s="10" t="n"/>
      <c r="C563" s="10" t="n"/>
      <c r="D563" s="22" t="n"/>
      <c r="E563" s="18" t="n"/>
      <c r="F563" s="18" t="n"/>
      <c r="G563" s="23">
        <f>IF($E563="","",$E563-N($F563))</f>
        <v/>
      </c>
      <c r="H563" s="24">
        <f>IFERROR($G563/$E563,"")</f>
        <v/>
      </c>
      <c r="I563" s="25">
        <f>IF($A563="","",YEAR($A563)&amp;"-"&amp;RIGHT("0"&amp;MONTH($A563),2))</f>
        <v/>
      </c>
      <c r="J563" s="10" t="n"/>
    </row>
    <row r="564">
      <c r="A564" s="15" t="n"/>
      <c r="B564" s="10" t="n"/>
      <c r="C564" s="10" t="n"/>
      <c r="D564" s="22" t="n"/>
      <c r="E564" s="18" t="n"/>
      <c r="F564" s="18" t="n"/>
      <c r="G564" s="23">
        <f>IF($E564="","",$E564-N($F564))</f>
        <v/>
      </c>
      <c r="H564" s="24">
        <f>IFERROR($G564/$E564,"")</f>
        <v/>
      </c>
      <c r="I564" s="25">
        <f>IF($A564="","",YEAR($A564)&amp;"-"&amp;RIGHT("0"&amp;MONTH($A564),2))</f>
        <v/>
      </c>
      <c r="J564" s="10" t="n"/>
    </row>
    <row r="565">
      <c r="A565" s="15" t="n"/>
      <c r="B565" s="10" t="n"/>
      <c r="C565" s="10" t="n"/>
      <c r="D565" s="22" t="n"/>
      <c r="E565" s="18" t="n"/>
      <c r="F565" s="18" t="n"/>
      <c r="G565" s="23">
        <f>IF($E565="","",$E565-N($F565))</f>
        <v/>
      </c>
      <c r="H565" s="24">
        <f>IFERROR($G565/$E565,"")</f>
        <v/>
      </c>
      <c r="I565" s="25">
        <f>IF($A565="","",YEAR($A565)&amp;"-"&amp;RIGHT("0"&amp;MONTH($A565),2))</f>
        <v/>
      </c>
      <c r="J565" s="10" t="n"/>
    </row>
    <row r="566">
      <c r="A566" s="15" t="n"/>
      <c r="B566" s="10" t="n"/>
      <c r="C566" s="10" t="n"/>
      <c r="D566" s="22" t="n"/>
      <c r="E566" s="18" t="n"/>
      <c r="F566" s="18" t="n"/>
      <c r="G566" s="23">
        <f>IF($E566="","",$E566-N($F566))</f>
        <v/>
      </c>
      <c r="H566" s="24">
        <f>IFERROR($G566/$E566,"")</f>
        <v/>
      </c>
      <c r="I566" s="25">
        <f>IF($A566="","",YEAR($A566)&amp;"-"&amp;RIGHT("0"&amp;MONTH($A566),2))</f>
        <v/>
      </c>
      <c r="J566" s="10" t="n"/>
    </row>
    <row r="567">
      <c r="A567" s="15" t="n"/>
      <c r="B567" s="10" t="n"/>
      <c r="C567" s="10" t="n"/>
      <c r="D567" s="22" t="n"/>
      <c r="E567" s="18" t="n"/>
      <c r="F567" s="18" t="n"/>
      <c r="G567" s="23">
        <f>IF($E567="","",$E567-N($F567))</f>
        <v/>
      </c>
      <c r="H567" s="24">
        <f>IFERROR($G567/$E567,"")</f>
        <v/>
      </c>
      <c r="I567" s="25">
        <f>IF($A567="","",YEAR($A567)&amp;"-"&amp;RIGHT("0"&amp;MONTH($A567),2))</f>
        <v/>
      </c>
      <c r="J567" s="10" t="n"/>
    </row>
    <row r="568">
      <c r="A568" s="15" t="n"/>
      <c r="B568" s="10" t="n"/>
      <c r="C568" s="10" t="n"/>
      <c r="D568" s="22" t="n"/>
      <c r="E568" s="18" t="n"/>
      <c r="F568" s="18" t="n"/>
      <c r="G568" s="23">
        <f>IF($E568="","",$E568-N($F568))</f>
        <v/>
      </c>
      <c r="H568" s="24">
        <f>IFERROR($G568/$E568,"")</f>
        <v/>
      </c>
      <c r="I568" s="25">
        <f>IF($A568="","",YEAR($A568)&amp;"-"&amp;RIGHT("0"&amp;MONTH($A568),2))</f>
        <v/>
      </c>
      <c r="J568" s="10" t="n"/>
    </row>
    <row r="569">
      <c r="A569" s="15" t="n"/>
      <c r="B569" s="10" t="n"/>
      <c r="C569" s="10" t="n"/>
      <c r="D569" s="22" t="n"/>
      <c r="E569" s="18" t="n"/>
      <c r="F569" s="18" t="n"/>
      <c r="G569" s="23">
        <f>IF($E569="","",$E569-N($F569))</f>
        <v/>
      </c>
      <c r="H569" s="24">
        <f>IFERROR($G569/$E569,"")</f>
        <v/>
      </c>
      <c r="I569" s="25">
        <f>IF($A569="","",YEAR($A569)&amp;"-"&amp;RIGHT("0"&amp;MONTH($A569),2))</f>
        <v/>
      </c>
      <c r="J569" s="10" t="n"/>
    </row>
    <row r="570">
      <c r="A570" s="15" t="n"/>
      <c r="B570" s="10" t="n"/>
      <c r="C570" s="10" t="n"/>
      <c r="D570" s="22" t="n"/>
      <c r="E570" s="18" t="n"/>
      <c r="F570" s="18" t="n"/>
      <c r="G570" s="23">
        <f>IF($E570="","",$E570-N($F570))</f>
        <v/>
      </c>
      <c r="H570" s="24">
        <f>IFERROR($G570/$E570,"")</f>
        <v/>
      </c>
      <c r="I570" s="25">
        <f>IF($A570="","",YEAR($A570)&amp;"-"&amp;RIGHT("0"&amp;MONTH($A570),2))</f>
        <v/>
      </c>
      <c r="J570" s="10" t="n"/>
    </row>
    <row r="571">
      <c r="A571" s="15" t="n"/>
      <c r="B571" s="10" t="n"/>
      <c r="C571" s="10" t="n"/>
      <c r="D571" s="22" t="n"/>
      <c r="E571" s="18" t="n"/>
      <c r="F571" s="18" t="n"/>
      <c r="G571" s="23">
        <f>IF($E571="","",$E571-N($F571))</f>
        <v/>
      </c>
      <c r="H571" s="24">
        <f>IFERROR($G571/$E571,"")</f>
        <v/>
      </c>
      <c r="I571" s="25">
        <f>IF($A571="","",YEAR($A571)&amp;"-"&amp;RIGHT("0"&amp;MONTH($A571),2))</f>
        <v/>
      </c>
      <c r="J571" s="10" t="n"/>
    </row>
    <row r="572">
      <c r="A572" s="15" t="n"/>
      <c r="B572" s="10" t="n"/>
      <c r="C572" s="10" t="n"/>
      <c r="D572" s="22" t="n"/>
      <c r="E572" s="18" t="n"/>
      <c r="F572" s="18" t="n"/>
      <c r="G572" s="23">
        <f>IF($E572="","",$E572-N($F572))</f>
        <v/>
      </c>
      <c r="H572" s="24">
        <f>IFERROR($G572/$E572,"")</f>
        <v/>
      </c>
      <c r="I572" s="25">
        <f>IF($A572="","",YEAR($A572)&amp;"-"&amp;RIGHT("0"&amp;MONTH($A572),2))</f>
        <v/>
      </c>
      <c r="J572" s="10" t="n"/>
    </row>
    <row r="573">
      <c r="A573" s="15" t="n"/>
      <c r="B573" s="10" t="n"/>
      <c r="C573" s="10" t="n"/>
      <c r="D573" s="22" t="n"/>
      <c r="E573" s="18" t="n"/>
      <c r="F573" s="18" t="n"/>
      <c r="G573" s="23">
        <f>IF($E573="","",$E573-N($F573))</f>
        <v/>
      </c>
      <c r="H573" s="24">
        <f>IFERROR($G573/$E573,"")</f>
        <v/>
      </c>
      <c r="I573" s="25">
        <f>IF($A573="","",YEAR($A573)&amp;"-"&amp;RIGHT("0"&amp;MONTH($A573),2))</f>
        <v/>
      </c>
      <c r="J573" s="10" t="n"/>
    </row>
    <row r="574">
      <c r="A574" s="15" t="n"/>
      <c r="B574" s="10" t="n"/>
      <c r="C574" s="10" t="n"/>
      <c r="D574" s="22" t="n"/>
      <c r="E574" s="18" t="n"/>
      <c r="F574" s="18" t="n"/>
      <c r="G574" s="23">
        <f>IF($E574="","",$E574-N($F574))</f>
        <v/>
      </c>
      <c r="H574" s="24">
        <f>IFERROR($G574/$E574,"")</f>
        <v/>
      </c>
      <c r="I574" s="25">
        <f>IF($A574="","",YEAR($A574)&amp;"-"&amp;RIGHT("0"&amp;MONTH($A574),2))</f>
        <v/>
      </c>
      <c r="J574" s="10" t="n"/>
    </row>
    <row r="575">
      <c r="A575" s="15" t="n"/>
      <c r="B575" s="10" t="n"/>
      <c r="C575" s="10" t="n"/>
      <c r="D575" s="22" t="n"/>
      <c r="E575" s="18" t="n"/>
      <c r="F575" s="18" t="n"/>
      <c r="G575" s="23">
        <f>IF($E575="","",$E575-N($F575))</f>
        <v/>
      </c>
      <c r="H575" s="24">
        <f>IFERROR($G575/$E575,"")</f>
        <v/>
      </c>
      <c r="I575" s="25">
        <f>IF($A575="","",YEAR($A575)&amp;"-"&amp;RIGHT("0"&amp;MONTH($A575),2))</f>
        <v/>
      </c>
      <c r="J575" s="10" t="n"/>
    </row>
    <row r="576">
      <c r="A576" s="15" t="n"/>
      <c r="B576" s="10" t="n"/>
      <c r="C576" s="10" t="n"/>
      <c r="D576" s="22" t="n"/>
      <c r="E576" s="18" t="n"/>
      <c r="F576" s="18" t="n"/>
      <c r="G576" s="23">
        <f>IF($E576="","",$E576-N($F576))</f>
        <v/>
      </c>
      <c r="H576" s="24">
        <f>IFERROR($G576/$E576,"")</f>
        <v/>
      </c>
      <c r="I576" s="25">
        <f>IF($A576="","",YEAR($A576)&amp;"-"&amp;RIGHT("0"&amp;MONTH($A576),2))</f>
        <v/>
      </c>
      <c r="J576" s="10" t="n"/>
    </row>
    <row r="577">
      <c r="A577" s="15" t="n"/>
      <c r="B577" s="10" t="n"/>
      <c r="C577" s="10" t="n"/>
      <c r="D577" s="22" t="n"/>
      <c r="E577" s="18" t="n"/>
      <c r="F577" s="18" t="n"/>
      <c r="G577" s="23">
        <f>IF($E577="","",$E577-N($F577))</f>
        <v/>
      </c>
      <c r="H577" s="24">
        <f>IFERROR($G577/$E577,"")</f>
        <v/>
      </c>
      <c r="I577" s="25">
        <f>IF($A577="","",YEAR($A577)&amp;"-"&amp;RIGHT("0"&amp;MONTH($A577),2))</f>
        <v/>
      </c>
      <c r="J577" s="10" t="n"/>
    </row>
    <row r="578">
      <c r="A578" s="15" t="n"/>
      <c r="B578" s="10" t="n"/>
      <c r="C578" s="10" t="n"/>
      <c r="D578" s="22" t="n"/>
      <c r="E578" s="18" t="n"/>
      <c r="F578" s="18" t="n"/>
      <c r="G578" s="23">
        <f>IF($E578="","",$E578-N($F578))</f>
        <v/>
      </c>
      <c r="H578" s="24">
        <f>IFERROR($G578/$E578,"")</f>
        <v/>
      </c>
      <c r="I578" s="25">
        <f>IF($A578="","",YEAR($A578)&amp;"-"&amp;RIGHT("0"&amp;MONTH($A578),2))</f>
        <v/>
      </c>
      <c r="J578" s="10" t="n"/>
    </row>
    <row r="579">
      <c r="A579" s="15" t="n"/>
      <c r="B579" s="10" t="n"/>
      <c r="C579" s="10" t="n"/>
      <c r="D579" s="22" t="n"/>
      <c r="E579" s="18" t="n"/>
      <c r="F579" s="18" t="n"/>
      <c r="G579" s="23">
        <f>IF($E579="","",$E579-N($F579))</f>
        <v/>
      </c>
      <c r="H579" s="24">
        <f>IFERROR($G579/$E579,"")</f>
        <v/>
      </c>
      <c r="I579" s="25">
        <f>IF($A579="","",YEAR($A579)&amp;"-"&amp;RIGHT("0"&amp;MONTH($A579),2))</f>
        <v/>
      </c>
      <c r="J579" s="10" t="n"/>
    </row>
    <row r="580">
      <c r="A580" s="15" t="n"/>
      <c r="B580" s="10" t="n"/>
      <c r="C580" s="10" t="n"/>
      <c r="D580" s="22" t="n"/>
      <c r="E580" s="18" t="n"/>
      <c r="F580" s="18" t="n"/>
      <c r="G580" s="23">
        <f>IF($E580="","",$E580-N($F580))</f>
        <v/>
      </c>
      <c r="H580" s="24">
        <f>IFERROR($G580/$E580,"")</f>
        <v/>
      </c>
      <c r="I580" s="25">
        <f>IF($A580="","",YEAR($A580)&amp;"-"&amp;RIGHT("0"&amp;MONTH($A580),2))</f>
        <v/>
      </c>
      <c r="J580" s="10" t="n"/>
    </row>
    <row r="581">
      <c r="A581" s="15" t="n"/>
      <c r="B581" s="10" t="n"/>
      <c r="C581" s="10" t="n"/>
      <c r="D581" s="22" t="n"/>
      <c r="E581" s="18" t="n"/>
      <c r="F581" s="18" t="n"/>
      <c r="G581" s="23">
        <f>IF($E581="","",$E581-N($F581))</f>
        <v/>
      </c>
      <c r="H581" s="24">
        <f>IFERROR($G581/$E581,"")</f>
        <v/>
      </c>
      <c r="I581" s="25">
        <f>IF($A581="","",YEAR($A581)&amp;"-"&amp;RIGHT("0"&amp;MONTH($A581),2))</f>
        <v/>
      </c>
      <c r="J581" s="10" t="n"/>
    </row>
    <row r="582">
      <c r="A582" s="15" t="n"/>
      <c r="B582" s="10" t="n"/>
      <c r="C582" s="10" t="n"/>
      <c r="D582" s="22" t="n"/>
      <c r="E582" s="18" t="n"/>
      <c r="F582" s="18" t="n"/>
      <c r="G582" s="23">
        <f>IF($E582="","",$E582-N($F582))</f>
        <v/>
      </c>
      <c r="H582" s="24">
        <f>IFERROR($G582/$E582,"")</f>
        <v/>
      </c>
      <c r="I582" s="25">
        <f>IF($A582="","",YEAR($A582)&amp;"-"&amp;RIGHT("0"&amp;MONTH($A582),2))</f>
        <v/>
      </c>
      <c r="J582" s="10" t="n"/>
    </row>
    <row r="583">
      <c r="A583" s="15" t="n"/>
      <c r="B583" s="10" t="n"/>
      <c r="C583" s="10" t="n"/>
      <c r="D583" s="22" t="n"/>
      <c r="E583" s="18" t="n"/>
      <c r="F583" s="18" t="n"/>
      <c r="G583" s="23">
        <f>IF($E583="","",$E583-N($F583))</f>
        <v/>
      </c>
      <c r="H583" s="24">
        <f>IFERROR($G583/$E583,"")</f>
        <v/>
      </c>
      <c r="I583" s="25">
        <f>IF($A583="","",YEAR($A583)&amp;"-"&amp;RIGHT("0"&amp;MONTH($A583),2))</f>
        <v/>
      </c>
      <c r="J583" s="10" t="n"/>
    </row>
    <row r="584">
      <c r="A584" s="15" t="n"/>
      <c r="B584" s="10" t="n"/>
      <c r="C584" s="10" t="n"/>
      <c r="D584" s="22" t="n"/>
      <c r="E584" s="18" t="n"/>
      <c r="F584" s="18" t="n"/>
      <c r="G584" s="23">
        <f>IF($E584="","",$E584-N($F584))</f>
        <v/>
      </c>
      <c r="H584" s="24">
        <f>IFERROR($G584/$E584,"")</f>
        <v/>
      </c>
      <c r="I584" s="25">
        <f>IF($A584="","",YEAR($A584)&amp;"-"&amp;RIGHT("0"&amp;MONTH($A584),2))</f>
        <v/>
      </c>
      <c r="J584" s="10" t="n"/>
    </row>
    <row r="585">
      <c r="A585" s="15" t="n"/>
      <c r="B585" s="10" t="n"/>
      <c r="C585" s="10" t="n"/>
      <c r="D585" s="22" t="n"/>
      <c r="E585" s="18" t="n"/>
      <c r="F585" s="18" t="n"/>
      <c r="G585" s="23">
        <f>IF($E585="","",$E585-N($F585))</f>
        <v/>
      </c>
      <c r="H585" s="24">
        <f>IFERROR($G585/$E585,"")</f>
        <v/>
      </c>
      <c r="I585" s="25">
        <f>IF($A585="","",YEAR($A585)&amp;"-"&amp;RIGHT("0"&amp;MONTH($A585),2))</f>
        <v/>
      </c>
      <c r="J585" s="10" t="n"/>
    </row>
    <row r="586">
      <c r="A586" s="15" t="n"/>
      <c r="B586" s="10" t="n"/>
      <c r="C586" s="10" t="n"/>
      <c r="D586" s="22" t="n"/>
      <c r="E586" s="18" t="n"/>
      <c r="F586" s="18" t="n"/>
      <c r="G586" s="23">
        <f>IF($E586="","",$E586-N($F586))</f>
        <v/>
      </c>
      <c r="H586" s="24">
        <f>IFERROR($G586/$E586,"")</f>
        <v/>
      </c>
      <c r="I586" s="25">
        <f>IF($A586="","",YEAR($A586)&amp;"-"&amp;RIGHT("0"&amp;MONTH($A586),2))</f>
        <v/>
      </c>
      <c r="J586" s="10" t="n"/>
    </row>
    <row r="587">
      <c r="A587" s="15" t="n"/>
      <c r="B587" s="10" t="n"/>
      <c r="C587" s="10" t="n"/>
      <c r="D587" s="22" t="n"/>
      <c r="E587" s="18" t="n"/>
      <c r="F587" s="18" t="n"/>
      <c r="G587" s="23">
        <f>IF($E587="","",$E587-N($F587))</f>
        <v/>
      </c>
      <c r="H587" s="24">
        <f>IFERROR($G587/$E587,"")</f>
        <v/>
      </c>
      <c r="I587" s="25">
        <f>IF($A587="","",YEAR($A587)&amp;"-"&amp;RIGHT("0"&amp;MONTH($A587),2))</f>
        <v/>
      </c>
      <c r="J587" s="10" t="n"/>
    </row>
    <row r="588">
      <c r="A588" s="15" t="n"/>
      <c r="B588" s="10" t="n"/>
      <c r="C588" s="10" t="n"/>
      <c r="D588" s="22" t="n"/>
      <c r="E588" s="18" t="n"/>
      <c r="F588" s="18" t="n"/>
      <c r="G588" s="23">
        <f>IF($E588="","",$E588-N($F588))</f>
        <v/>
      </c>
      <c r="H588" s="24">
        <f>IFERROR($G588/$E588,"")</f>
        <v/>
      </c>
      <c r="I588" s="25">
        <f>IF($A588="","",YEAR($A588)&amp;"-"&amp;RIGHT("0"&amp;MONTH($A588),2))</f>
        <v/>
      </c>
      <c r="J588" s="10" t="n"/>
    </row>
    <row r="589">
      <c r="A589" s="15" t="n"/>
      <c r="B589" s="10" t="n"/>
      <c r="C589" s="10" t="n"/>
      <c r="D589" s="22" t="n"/>
      <c r="E589" s="18" t="n"/>
      <c r="F589" s="18" t="n"/>
      <c r="G589" s="23">
        <f>IF($E589="","",$E589-N($F589))</f>
        <v/>
      </c>
      <c r="H589" s="24">
        <f>IFERROR($G589/$E589,"")</f>
        <v/>
      </c>
      <c r="I589" s="25">
        <f>IF($A589="","",YEAR($A589)&amp;"-"&amp;RIGHT("0"&amp;MONTH($A589),2))</f>
        <v/>
      </c>
      <c r="J589" s="10" t="n"/>
    </row>
    <row r="590">
      <c r="A590" s="15" t="n"/>
      <c r="B590" s="10" t="n"/>
      <c r="C590" s="10" t="n"/>
      <c r="D590" s="22" t="n"/>
      <c r="E590" s="18" t="n"/>
      <c r="F590" s="18" t="n"/>
      <c r="G590" s="23">
        <f>IF($E590="","",$E590-N($F590))</f>
        <v/>
      </c>
      <c r="H590" s="24">
        <f>IFERROR($G590/$E590,"")</f>
        <v/>
      </c>
      <c r="I590" s="25">
        <f>IF($A590="","",YEAR($A590)&amp;"-"&amp;RIGHT("0"&amp;MONTH($A590),2))</f>
        <v/>
      </c>
      <c r="J590" s="10" t="n"/>
    </row>
    <row r="591">
      <c r="A591" s="15" t="n"/>
      <c r="B591" s="10" t="n"/>
      <c r="C591" s="10" t="n"/>
      <c r="D591" s="22" t="n"/>
      <c r="E591" s="18" t="n"/>
      <c r="F591" s="18" t="n"/>
      <c r="G591" s="23">
        <f>IF($E591="","",$E591-N($F591))</f>
        <v/>
      </c>
      <c r="H591" s="24">
        <f>IFERROR($G591/$E591,"")</f>
        <v/>
      </c>
      <c r="I591" s="25">
        <f>IF($A591="","",YEAR($A591)&amp;"-"&amp;RIGHT("0"&amp;MONTH($A591),2))</f>
        <v/>
      </c>
      <c r="J591" s="10" t="n"/>
    </row>
    <row r="592">
      <c r="A592" s="15" t="n"/>
      <c r="B592" s="10" t="n"/>
      <c r="C592" s="10" t="n"/>
      <c r="D592" s="22" t="n"/>
      <c r="E592" s="18" t="n"/>
      <c r="F592" s="18" t="n"/>
      <c r="G592" s="23">
        <f>IF($E592="","",$E592-N($F592))</f>
        <v/>
      </c>
      <c r="H592" s="24">
        <f>IFERROR($G592/$E592,"")</f>
        <v/>
      </c>
      <c r="I592" s="25">
        <f>IF($A592="","",YEAR($A592)&amp;"-"&amp;RIGHT("0"&amp;MONTH($A592),2))</f>
        <v/>
      </c>
      <c r="J592" s="10" t="n"/>
    </row>
    <row r="593">
      <c r="A593" s="15" t="n"/>
      <c r="B593" s="10" t="n"/>
      <c r="C593" s="10" t="n"/>
      <c r="D593" s="22" t="n"/>
      <c r="E593" s="18" t="n"/>
      <c r="F593" s="18" t="n"/>
      <c r="G593" s="23">
        <f>IF($E593="","",$E593-N($F593))</f>
        <v/>
      </c>
      <c r="H593" s="24">
        <f>IFERROR($G593/$E593,"")</f>
        <v/>
      </c>
      <c r="I593" s="25">
        <f>IF($A593="","",YEAR($A593)&amp;"-"&amp;RIGHT("0"&amp;MONTH($A593),2))</f>
        <v/>
      </c>
      <c r="J593" s="10" t="n"/>
    </row>
    <row r="594">
      <c r="A594" s="15" t="n"/>
      <c r="B594" s="10" t="n"/>
      <c r="C594" s="10" t="n"/>
      <c r="D594" s="22" t="n"/>
      <c r="E594" s="18" t="n"/>
      <c r="F594" s="18" t="n"/>
      <c r="G594" s="23">
        <f>IF($E594="","",$E594-N($F594))</f>
        <v/>
      </c>
      <c r="H594" s="24">
        <f>IFERROR($G594/$E594,"")</f>
        <v/>
      </c>
      <c r="I594" s="25">
        <f>IF($A594="","",YEAR($A594)&amp;"-"&amp;RIGHT("0"&amp;MONTH($A594),2))</f>
        <v/>
      </c>
      <c r="J594" s="10" t="n"/>
    </row>
    <row r="595">
      <c r="A595" s="15" t="n"/>
      <c r="B595" s="10" t="n"/>
      <c r="C595" s="10" t="n"/>
      <c r="D595" s="22" t="n"/>
      <c r="E595" s="18" t="n"/>
      <c r="F595" s="18" t="n"/>
      <c r="G595" s="23">
        <f>IF($E595="","",$E595-N($F595))</f>
        <v/>
      </c>
      <c r="H595" s="24">
        <f>IFERROR($G595/$E595,"")</f>
        <v/>
      </c>
      <c r="I595" s="25">
        <f>IF($A595="","",YEAR($A595)&amp;"-"&amp;RIGHT("0"&amp;MONTH($A595),2))</f>
        <v/>
      </c>
      <c r="J595" s="10" t="n"/>
    </row>
    <row r="596">
      <c r="A596" s="15" t="n"/>
      <c r="B596" s="10" t="n"/>
      <c r="C596" s="10" t="n"/>
      <c r="D596" s="22" t="n"/>
      <c r="E596" s="18" t="n"/>
      <c r="F596" s="18" t="n"/>
      <c r="G596" s="23">
        <f>IF($E596="","",$E596-N($F596))</f>
        <v/>
      </c>
      <c r="H596" s="24">
        <f>IFERROR($G596/$E596,"")</f>
        <v/>
      </c>
      <c r="I596" s="25">
        <f>IF($A596="","",YEAR($A596)&amp;"-"&amp;RIGHT("0"&amp;MONTH($A596),2))</f>
        <v/>
      </c>
      <c r="J596" s="10" t="n"/>
    </row>
    <row r="597">
      <c r="A597" s="15" t="n"/>
      <c r="B597" s="10" t="n"/>
      <c r="C597" s="10" t="n"/>
      <c r="D597" s="22" t="n"/>
      <c r="E597" s="18" t="n"/>
      <c r="F597" s="18" t="n"/>
      <c r="G597" s="23">
        <f>IF($E597="","",$E597-N($F597))</f>
        <v/>
      </c>
      <c r="H597" s="24">
        <f>IFERROR($G597/$E597,"")</f>
        <v/>
      </c>
      <c r="I597" s="25">
        <f>IF($A597="","",YEAR($A597)&amp;"-"&amp;RIGHT("0"&amp;MONTH($A597),2))</f>
        <v/>
      </c>
      <c r="J597" s="10" t="n"/>
    </row>
    <row r="598">
      <c r="A598" s="15" t="n"/>
      <c r="B598" s="10" t="n"/>
      <c r="C598" s="10" t="n"/>
      <c r="D598" s="22" t="n"/>
      <c r="E598" s="18" t="n"/>
      <c r="F598" s="18" t="n"/>
      <c r="G598" s="23">
        <f>IF($E598="","",$E598-N($F598))</f>
        <v/>
      </c>
      <c r="H598" s="24">
        <f>IFERROR($G598/$E598,"")</f>
        <v/>
      </c>
      <c r="I598" s="25">
        <f>IF($A598="","",YEAR($A598)&amp;"-"&amp;RIGHT("0"&amp;MONTH($A598),2))</f>
        <v/>
      </c>
      <c r="J598" s="10" t="n"/>
    </row>
    <row r="599">
      <c r="A599" s="15" t="n"/>
      <c r="B599" s="10" t="n"/>
      <c r="C599" s="10" t="n"/>
      <c r="D599" s="22" t="n"/>
      <c r="E599" s="18" t="n"/>
      <c r="F599" s="18" t="n"/>
      <c r="G599" s="23">
        <f>IF($E599="","",$E599-N($F599))</f>
        <v/>
      </c>
      <c r="H599" s="24">
        <f>IFERROR($G599/$E599,"")</f>
        <v/>
      </c>
      <c r="I599" s="25">
        <f>IF($A599="","",YEAR($A599)&amp;"-"&amp;RIGHT("0"&amp;MONTH($A599),2))</f>
        <v/>
      </c>
      <c r="J599" s="10" t="n"/>
    </row>
    <row r="600">
      <c r="A600" s="15" t="n"/>
      <c r="B600" s="10" t="n"/>
      <c r="C600" s="10" t="n"/>
      <c r="D600" s="22" t="n"/>
      <c r="E600" s="18" t="n"/>
      <c r="F600" s="18" t="n"/>
      <c r="G600" s="23">
        <f>IF($E600="","",$E600-N($F600))</f>
        <v/>
      </c>
      <c r="H600" s="24">
        <f>IFERROR($G600/$E600,"")</f>
        <v/>
      </c>
      <c r="I600" s="25">
        <f>IF($A600="","",YEAR($A600)&amp;"-"&amp;RIGHT("0"&amp;MONTH($A600),2))</f>
        <v/>
      </c>
      <c r="J600" s="10" t="n"/>
    </row>
    <row r="601">
      <c r="A601" s="15" t="n"/>
      <c r="B601" s="10" t="n"/>
      <c r="C601" s="10" t="n"/>
      <c r="D601" s="22" t="n"/>
      <c r="E601" s="18" t="n"/>
      <c r="F601" s="18" t="n"/>
      <c r="G601" s="23">
        <f>IF($E601="","",$E601-N($F601))</f>
        <v/>
      </c>
      <c r="H601" s="24">
        <f>IFERROR($G601/$E601,"")</f>
        <v/>
      </c>
      <c r="I601" s="25">
        <f>IF($A601="","",YEAR($A601)&amp;"-"&amp;RIGHT("0"&amp;MONTH($A601),2))</f>
        <v/>
      </c>
      <c r="J601" s="10" t="n"/>
    </row>
    <row r="602">
      <c r="A602" s="15" t="n"/>
      <c r="B602" s="10" t="n"/>
      <c r="C602" s="10" t="n"/>
      <c r="D602" s="22" t="n"/>
      <c r="E602" s="18" t="n"/>
      <c r="F602" s="18" t="n"/>
      <c r="G602" s="23">
        <f>IF($E602="","",$E602-N($F602))</f>
        <v/>
      </c>
      <c r="H602" s="24">
        <f>IFERROR($G602/$E602,"")</f>
        <v/>
      </c>
      <c r="I602" s="25">
        <f>IF($A602="","",YEAR($A602)&amp;"-"&amp;RIGHT("0"&amp;MONTH($A602),2))</f>
        <v/>
      </c>
      <c r="J602" s="10" t="n"/>
    </row>
    <row r="603">
      <c r="A603" s="15" t="n"/>
      <c r="B603" s="10" t="n"/>
      <c r="C603" s="10" t="n"/>
      <c r="D603" s="22" t="n"/>
      <c r="E603" s="18" t="n"/>
      <c r="F603" s="18" t="n"/>
      <c r="G603" s="23">
        <f>IF($E603="","",$E603-N($F603))</f>
        <v/>
      </c>
      <c r="H603" s="24">
        <f>IFERROR($G603/$E603,"")</f>
        <v/>
      </c>
      <c r="I603" s="25">
        <f>IF($A603="","",YEAR($A603)&amp;"-"&amp;RIGHT("0"&amp;MONTH($A603),2))</f>
        <v/>
      </c>
      <c r="J603" s="10" t="n"/>
    </row>
    <row r="604">
      <c r="A604" s="15" t="n"/>
      <c r="B604" s="10" t="n"/>
      <c r="C604" s="10" t="n"/>
      <c r="D604" s="22" t="n"/>
      <c r="E604" s="18" t="n"/>
      <c r="F604" s="18" t="n"/>
      <c r="G604" s="23">
        <f>IF($E604="","",$E604-N($F604))</f>
        <v/>
      </c>
      <c r="H604" s="24">
        <f>IFERROR($G604/$E604,"")</f>
        <v/>
      </c>
      <c r="I604" s="25">
        <f>IF($A604="","",YEAR($A604)&amp;"-"&amp;RIGHT("0"&amp;MONTH($A604),2))</f>
        <v/>
      </c>
      <c r="J604" s="10" t="n"/>
    </row>
  </sheetData>
  <autoFilter ref="A4:J604"/>
  <dataValidations count="1">
    <dataValidation sqref="B5:B604" showDropDown="0" showInputMessage="0" showErrorMessage="0" allowBlank="1" errorTitle="Valoare neacceptată" error="Valoare în afara listei permise. Alege din listă sau completează lista de valori." type="list">
      <formula1>'11_CLIENTI'!$A$5:$A$124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13" customWidth="1" min="3" max="3"/>
    <col width="11" customWidth="1" min="4" max="4"/>
    <col width="42" customWidth="1" min="5" max="5"/>
    <col width="14" customWidth="1" min="6" max="6"/>
    <col width="28" customWidth="1" min="7" max="7"/>
  </cols>
  <sheetData>
    <row r="1" ht="26" customHeight="1">
      <c r="A1" s="1" t="inlineStr">
        <is>
          <t>11 — CLIENȚII</t>
        </is>
      </c>
    </row>
    <row r="2" ht="16" customHeight="1">
      <c r="A2" s="2" t="inlineStr">
        <is>
          <t>Lista clienților. Se scrie o dată, la început. Nota din coloana D se ia sunându-i — pentru o firmă mică e realist să-i întrebi pe toți.</t>
        </is>
      </c>
    </row>
    <row r="3"/>
    <row r="4" ht="34" customHeight="1">
      <c r="A4" s="21" t="inlineStr">
        <is>
          <t>Client</t>
        </is>
      </c>
      <c r="B4" s="21" t="inlineStr">
        <is>
          <t>Segment</t>
        </is>
      </c>
      <c r="C4" s="21" t="inlineStr">
        <is>
          <t>Client din</t>
        </is>
      </c>
      <c r="D4" s="21" t="inlineStr">
        <is>
          <t>Notă 0-10</t>
        </is>
      </c>
      <c r="E4" s="21" t="inlineStr">
        <is>
          <t>Ce a spus</t>
        </is>
      </c>
      <c r="F4" s="21" t="inlineStr">
        <is>
          <t>Data întrebării</t>
        </is>
      </c>
      <c r="G4" s="21" t="inlineStr">
        <is>
          <t>Observații</t>
        </is>
      </c>
    </row>
    <row r="5">
      <c r="A5" s="10" t="inlineStr">
        <is>
          <t>Exemplu SRL</t>
        </is>
      </c>
      <c r="B5" s="10" t="inlineStr">
        <is>
          <t>Client mare</t>
        </is>
      </c>
      <c r="C5" s="15" t="n"/>
      <c r="D5" s="18" t="n"/>
      <c r="E5" s="10" t="inlineStr">
        <is>
          <t>Exemplu — șterge rândul înainte de utilizare</t>
        </is>
      </c>
      <c r="F5" s="15" t="n"/>
      <c r="G5" s="10" t="n"/>
    </row>
    <row r="6">
      <c r="A6" s="10" t="n"/>
      <c r="B6" s="10" t="n"/>
      <c r="C6" s="15" t="n"/>
      <c r="D6" s="18" t="n"/>
      <c r="E6" s="10" t="n"/>
      <c r="F6" s="15" t="n"/>
      <c r="G6" s="10" t="n"/>
    </row>
    <row r="7">
      <c r="A7" s="10" t="n"/>
      <c r="B7" s="10" t="n"/>
      <c r="C7" s="15" t="n"/>
      <c r="D7" s="18" t="n"/>
      <c r="E7" s="10" t="n"/>
      <c r="F7" s="15" t="n"/>
      <c r="G7" s="10" t="n"/>
    </row>
    <row r="8">
      <c r="A8" s="10" t="n"/>
      <c r="B8" s="10" t="n"/>
      <c r="C8" s="15" t="n"/>
      <c r="D8" s="18" t="n"/>
      <c r="E8" s="10" t="n"/>
      <c r="F8" s="15" t="n"/>
      <c r="G8" s="10" t="n"/>
    </row>
    <row r="9">
      <c r="A9" s="10" t="n"/>
      <c r="B9" s="10" t="n"/>
      <c r="C9" s="15" t="n"/>
      <c r="D9" s="18" t="n"/>
      <c r="E9" s="10" t="n"/>
      <c r="F9" s="15" t="n"/>
      <c r="G9" s="10" t="n"/>
    </row>
    <row r="10">
      <c r="A10" s="10" t="n"/>
      <c r="B10" s="10" t="n"/>
      <c r="C10" s="15" t="n"/>
      <c r="D10" s="18" t="n"/>
      <c r="E10" s="10" t="n"/>
      <c r="F10" s="15" t="n"/>
      <c r="G10" s="10" t="n"/>
    </row>
    <row r="11">
      <c r="A11" s="10" t="n"/>
      <c r="B11" s="10" t="n"/>
      <c r="C11" s="15" t="n"/>
      <c r="D11" s="18" t="n"/>
      <c r="E11" s="10" t="n"/>
      <c r="F11" s="15" t="n"/>
      <c r="G11" s="10" t="n"/>
    </row>
    <row r="12">
      <c r="A12" s="10" t="n"/>
      <c r="B12" s="10" t="n"/>
      <c r="C12" s="15" t="n"/>
      <c r="D12" s="18" t="n"/>
      <c r="E12" s="10" t="n"/>
      <c r="F12" s="15" t="n"/>
      <c r="G12" s="10" t="n"/>
    </row>
    <row r="13">
      <c r="A13" s="10" t="n"/>
      <c r="B13" s="10" t="n"/>
      <c r="C13" s="15" t="n"/>
      <c r="D13" s="18" t="n"/>
      <c r="E13" s="10" t="n"/>
      <c r="F13" s="15" t="n"/>
      <c r="G13" s="10" t="n"/>
    </row>
    <row r="14">
      <c r="A14" s="10" t="n"/>
      <c r="B14" s="10" t="n"/>
      <c r="C14" s="15" t="n"/>
      <c r="D14" s="18" t="n"/>
      <c r="E14" s="10" t="n"/>
      <c r="F14" s="15" t="n"/>
      <c r="G14" s="10" t="n"/>
    </row>
    <row r="15">
      <c r="A15" s="10" t="n"/>
      <c r="B15" s="10" t="n"/>
      <c r="C15" s="15" t="n"/>
      <c r="D15" s="18" t="n"/>
      <c r="E15" s="10" t="n"/>
      <c r="F15" s="15" t="n"/>
      <c r="G15" s="10" t="n"/>
    </row>
    <row r="16">
      <c r="A16" s="10" t="n"/>
      <c r="B16" s="10" t="n"/>
      <c r="C16" s="15" t="n"/>
      <c r="D16" s="18" t="n"/>
      <c r="E16" s="10" t="n"/>
      <c r="F16" s="15" t="n"/>
      <c r="G16" s="10" t="n"/>
    </row>
    <row r="17">
      <c r="A17" s="10" t="n"/>
      <c r="B17" s="10" t="n"/>
      <c r="C17" s="15" t="n"/>
      <c r="D17" s="18" t="n"/>
      <c r="E17" s="10" t="n"/>
      <c r="F17" s="15" t="n"/>
      <c r="G17" s="10" t="n"/>
    </row>
    <row r="18">
      <c r="A18" s="10" t="n"/>
      <c r="B18" s="10" t="n"/>
      <c r="C18" s="15" t="n"/>
      <c r="D18" s="18" t="n"/>
      <c r="E18" s="10" t="n"/>
      <c r="F18" s="15" t="n"/>
      <c r="G18" s="10" t="n"/>
    </row>
    <row r="19">
      <c r="A19" s="10" t="n"/>
      <c r="B19" s="10" t="n"/>
      <c r="C19" s="15" t="n"/>
      <c r="D19" s="18" t="n"/>
      <c r="E19" s="10" t="n"/>
      <c r="F19" s="15" t="n"/>
      <c r="G19" s="10" t="n"/>
    </row>
    <row r="20">
      <c r="A20" s="10" t="n"/>
      <c r="B20" s="10" t="n"/>
      <c r="C20" s="15" t="n"/>
      <c r="D20" s="18" t="n"/>
      <c r="E20" s="10" t="n"/>
      <c r="F20" s="15" t="n"/>
      <c r="G20" s="10" t="n"/>
    </row>
    <row r="21">
      <c r="A21" s="10" t="n"/>
      <c r="B21" s="10" t="n"/>
      <c r="C21" s="15" t="n"/>
      <c r="D21" s="18" t="n"/>
      <c r="E21" s="10" t="n"/>
      <c r="F21" s="15" t="n"/>
      <c r="G21" s="10" t="n"/>
    </row>
    <row r="22">
      <c r="A22" s="10" t="n"/>
      <c r="B22" s="10" t="n"/>
      <c r="C22" s="15" t="n"/>
      <c r="D22" s="18" t="n"/>
      <c r="E22" s="10" t="n"/>
      <c r="F22" s="15" t="n"/>
      <c r="G22" s="10" t="n"/>
    </row>
    <row r="23">
      <c r="A23" s="10" t="n"/>
      <c r="B23" s="10" t="n"/>
      <c r="C23" s="15" t="n"/>
      <c r="D23" s="18" t="n"/>
      <c r="E23" s="10" t="n"/>
      <c r="F23" s="15" t="n"/>
      <c r="G23" s="10" t="n"/>
    </row>
    <row r="24">
      <c r="A24" s="10" t="n"/>
      <c r="B24" s="10" t="n"/>
      <c r="C24" s="15" t="n"/>
      <c r="D24" s="18" t="n"/>
      <c r="E24" s="10" t="n"/>
      <c r="F24" s="15" t="n"/>
      <c r="G24" s="10" t="n"/>
    </row>
    <row r="25">
      <c r="A25" s="10" t="n"/>
      <c r="B25" s="10" t="n"/>
      <c r="C25" s="15" t="n"/>
      <c r="D25" s="18" t="n"/>
      <c r="E25" s="10" t="n"/>
      <c r="F25" s="15" t="n"/>
      <c r="G25" s="10" t="n"/>
    </row>
    <row r="26">
      <c r="A26" s="10" t="n"/>
      <c r="B26" s="10" t="n"/>
      <c r="C26" s="15" t="n"/>
      <c r="D26" s="18" t="n"/>
      <c r="E26" s="10" t="n"/>
      <c r="F26" s="15" t="n"/>
      <c r="G26" s="10" t="n"/>
    </row>
    <row r="27">
      <c r="A27" s="10" t="n"/>
      <c r="B27" s="10" t="n"/>
      <c r="C27" s="15" t="n"/>
      <c r="D27" s="18" t="n"/>
      <c r="E27" s="10" t="n"/>
      <c r="F27" s="15" t="n"/>
      <c r="G27" s="10" t="n"/>
    </row>
    <row r="28">
      <c r="A28" s="10" t="n"/>
      <c r="B28" s="10" t="n"/>
      <c r="C28" s="15" t="n"/>
      <c r="D28" s="18" t="n"/>
      <c r="E28" s="10" t="n"/>
      <c r="F28" s="15" t="n"/>
      <c r="G28" s="10" t="n"/>
    </row>
    <row r="29">
      <c r="A29" s="10" t="n"/>
      <c r="B29" s="10" t="n"/>
      <c r="C29" s="15" t="n"/>
      <c r="D29" s="18" t="n"/>
      <c r="E29" s="10" t="n"/>
      <c r="F29" s="15" t="n"/>
      <c r="G29" s="10" t="n"/>
    </row>
    <row r="30">
      <c r="A30" s="10" t="n"/>
      <c r="B30" s="10" t="n"/>
      <c r="C30" s="15" t="n"/>
      <c r="D30" s="18" t="n"/>
      <c r="E30" s="10" t="n"/>
      <c r="F30" s="15" t="n"/>
      <c r="G30" s="10" t="n"/>
    </row>
    <row r="31">
      <c r="A31" s="10" t="n"/>
      <c r="B31" s="10" t="n"/>
      <c r="C31" s="15" t="n"/>
      <c r="D31" s="18" t="n"/>
      <c r="E31" s="10" t="n"/>
      <c r="F31" s="15" t="n"/>
      <c r="G31" s="10" t="n"/>
    </row>
    <row r="32">
      <c r="A32" s="10" t="n"/>
      <c r="B32" s="10" t="n"/>
      <c r="C32" s="15" t="n"/>
      <c r="D32" s="18" t="n"/>
      <c r="E32" s="10" t="n"/>
      <c r="F32" s="15" t="n"/>
      <c r="G32" s="10" t="n"/>
    </row>
    <row r="33">
      <c r="A33" s="10" t="n"/>
      <c r="B33" s="10" t="n"/>
      <c r="C33" s="15" t="n"/>
      <c r="D33" s="18" t="n"/>
      <c r="E33" s="10" t="n"/>
      <c r="F33" s="15" t="n"/>
      <c r="G33" s="10" t="n"/>
    </row>
    <row r="34">
      <c r="A34" s="10" t="n"/>
      <c r="B34" s="10" t="n"/>
      <c r="C34" s="15" t="n"/>
      <c r="D34" s="18" t="n"/>
      <c r="E34" s="10" t="n"/>
      <c r="F34" s="15" t="n"/>
      <c r="G34" s="10" t="n"/>
    </row>
    <row r="35">
      <c r="A35" s="10" t="n"/>
      <c r="B35" s="10" t="n"/>
      <c r="C35" s="15" t="n"/>
      <c r="D35" s="18" t="n"/>
      <c r="E35" s="10" t="n"/>
      <c r="F35" s="15" t="n"/>
      <c r="G35" s="10" t="n"/>
    </row>
    <row r="36">
      <c r="A36" s="10" t="n"/>
      <c r="B36" s="10" t="n"/>
      <c r="C36" s="15" t="n"/>
      <c r="D36" s="18" t="n"/>
      <c r="E36" s="10" t="n"/>
      <c r="F36" s="15" t="n"/>
      <c r="G36" s="10" t="n"/>
    </row>
    <row r="37">
      <c r="A37" s="10" t="n"/>
      <c r="B37" s="10" t="n"/>
      <c r="C37" s="15" t="n"/>
      <c r="D37" s="18" t="n"/>
      <c r="E37" s="10" t="n"/>
      <c r="F37" s="15" t="n"/>
      <c r="G37" s="10" t="n"/>
    </row>
    <row r="38">
      <c r="A38" s="10" t="n"/>
      <c r="B38" s="10" t="n"/>
      <c r="C38" s="15" t="n"/>
      <c r="D38" s="18" t="n"/>
      <c r="E38" s="10" t="n"/>
      <c r="F38" s="15" t="n"/>
      <c r="G38" s="10" t="n"/>
    </row>
    <row r="39">
      <c r="A39" s="10" t="n"/>
      <c r="B39" s="10" t="n"/>
      <c r="C39" s="15" t="n"/>
      <c r="D39" s="18" t="n"/>
      <c r="E39" s="10" t="n"/>
      <c r="F39" s="15" t="n"/>
      <c r="G39" s="10" t="n"/>
    </row>
    <row r="40">
      <c r="A40" s="10" t="n"/>
      <c r="B40" s="10" t="n"/>
      <c r="C40" s="15" t="n"/>
      <c r="D40" s="18" t="n"/>
      <c r="E40" s="10" t="n"/>
      <c r="F40" s="15" t="n"/>
      <c r="G40" s="10" t="n"/>
    </row>
    <row r="41">
      <c r="A41" s="10" t="n"/>
      <c r="B41" s="10" t="n"/>
      <c r="C41" s="15" t="n"/>
      <c r="D41" s="18" t="n"/>
      <c r="E41" s="10" t="n"/>
      <c r="F41" s="15" t="n"/>
      <c r="G41" s="10" t="n"/>
    </row>
    <row r="42">
      <c r="A42" s="10" t="n"/>
      <c r="B42" s="10" t="n"/>
      <c r="C42" s="15" t="n"/>
      <c r="D42" s="18" t="n"/>
      <c r="E42" s="10" t="n"/>
      <c r="F42" s="15" t="n"/>
      <c r="G42" s="10" t="n"/>
    </row>
    <row r="43">
      <c r="A43" s="10" t="n"/>
      <c r="B43" s="10" t="n"/>
      <c r="C43" s="15" t="n"/>
      <c r="D43" s="18" t="n"/>
      <c r="E43" s="10" t="n"/>
      <c r="F43" s="15" t="n"/>
      <c r="G43" s="10" t="n"/>
    </row>
    <row r="44">
      <c r="A44" s="10" t="n"/>
      <c r="B44" s="10" t="n"/>
      <c r="C44" s="15" t="n"/>
      <c r="D44" s="18" t="n"/>
      <c r="E44" s="10" t="n"/>
      <c r="F44" s="15" t="n"/>
      <c r="G44" s="10" t="n"/>
    </row>
    <row r="45">
      <c r="A45" s="10" t="n"/>
      <c r="B45" s="10" t="n"/>
      <c r="C45" s="15" t="n"/>
      <c r="D45" s="18" t="n"/>
      <c r="E45" s="10" t="n"/>
      <c r="F45" s="15" t="n"/>
      <c r="G45" s="10" t="n"/>
    </row>
    <row r="46">
      <c r="A46" s="10" t="n"/>
      <c r="B46" s="10" t="n"/>
      <c r="C46" s="15" t="n"/>
      <c r="D46" s="18" t="n"/>
      <c r="E46" s="10" t="n"/>
      <c r="F46" s="15" t="n"/>
      <c r="G46" s="10" t="n"/>
    </row>
    <row r="47">
      <c r="A47" s="10" t="n"/>
      <c r="B47" s="10" t="n"/>
      <c r="C47" s="15" t="n"/>
      <c r="D47" s="18" t="n"/>
      <c r="E47" s="10" t="n"/>
      <c r="F47" s="15" t="n"/>
      <c r="G47" s="10" t="n"/>
    </row>
    <row r="48">
      <c r="A48" s="10" t="n"/>
      <c r="B48" s="10" t="n"/>
      <c r="C48" s="15" t="n"/>
      <c r="D48" s="18" t="n"/>
      <c r="E48" s="10" t="n"/>
      <c r="F48" s="15" t="n"/>
      <c r="G48" s="10" t="n"/>
    </row>
    <row r="49">
      <c r="A49" s="10" t="n"/>
      <c r="B49" s="10" t="n"/>
      <c r="C49" s="15" t="n"/>
      <c r="D49" s="18" t="n"/>
      <c r="E49" s="10" t="n"/>
      <c r="F49" s="15" t="n"/>
      <c r="G49" s="10" t="n"/>
    </row>
    <row r="50">
      <c r="A50" s="10" t="n"/>
      <c r="B50" s="10" t="n"/>
      <c r="C50" s="15" t="n"/>
      <c r="D50" s="18" t="n"/>
      <c r="E50" s="10" t="n"/>
      <c r="F50" s="15" t="n"/>
      <c r="G50" s="10" t="n"/>
    </row>
    <row r="51">
      <c r="A51" s="10" t="n"/>
      <c r="B51" s="10" t="n"/>
      <c r="C51" s="15" t="n"/>
      <c r="D51" s="18" t="n"/>
      <c r="E51" s="10" t="n"/>
      <c r="F51" s="15" t="n"/>
      <c r="G51" s="10" t="n"/>
    </row>
    <row r="52">
      <c r="A52" s="10" t="n"/>
      <c r="B52" s="10" t="n"/>
      <c r="C52" s="15" t="n"/>
      <c r="D52" s="18" t="n"/>
      <c r="E52" s="10" t="n"/>
      <c r="F52" s="15" t="n"/>
      <c r="G52" s="10" t="n"/>
    </row>
    <row r="53">
      <c r="A53" s="10" t="n"/>
      <c r="B53" s="10" t="n"/>
      <c r="C53" s="15" t="n"/>
      <c r="D53" s="18" t="n"/>
      <c r="E53" s="10" t="n"/>
      <c r="F53" s="15" t="n"/>
      <c r="G53" s="10" t="n"/>
    </row>
    <row r="54">
      <c r="A54" s="10" t="n"/>
      <c r="B54" s="10" t="n"/>
      <c r="C54" s="15" t="n"/>
      <c r="D54" s="18" t="n"/>
      <c r="E54" s="10" t="n"/>
      <c r="F54" s="15" t="n"/>
      <c r="G54" s="10" t="n"/>
    </row>
    <row r="55">
      <c r="A55" s="10" t="n"/>
      <c r="B55" s="10" t="n"/>
      <c r="C55" s="15" t="n"/>
      <c r="D55" s="18" t="n"/>
      <c r="E55" s="10" t="n"/>
      <c r="F55" s="15" t="n"/>
      <c r="G55" s="10" t="n"/>
    </row>
    <row r="56">
      <c r="A56" s="10" t="n"/>
      <c r="B56" s="10" t="n"/>
      <c r="C56" s="15" t="n"/>
      <c r="D56" s="18" t="n"/>
      <c r="E56" s="10" t="n"/>
      <c r="F56" s="15" t="n"/>
      <c r="G56" s="10" t="n"/>
    </row>
    <row r="57">
      <c r="A57" s="10" t="n"/>
      <c r="B57" s="10" t="n"/>
      <c r="C57" s="15" t="n"/>
      <c r="D57" s="18" t="n"/>
      <c r="E57" s="10" t="n"/>
      <c r="F57" s="15" t="n"/>
      <c r="G57" s="10" t="n"/>
    </row>
    <row r="58">
      <c r="A58" s="10" t="n"/>
      <c r="B58" s="10" t="n"/>
      <c r="C58" s="15" t="n"/>
      <c r="D58" s="18" t="n"/>
      <c r="E58" s="10" t="n"/>
      <c r="F58" s="15" t="n"/>
      <c r="G58" s="10" t="n"/>
    </row>
    <row r="59">
      <c r="A59" s="10" t="n"/>
      <c r="B59" s="10" t="n"/>
      <c r="C59" s="15" t="n"/>
      <c r="D59" s="18" t="n"/>
      <c r="E59" s="10" t="n"/>
      <c r="F59" s="15" t="n"/>
      <c r="G59" s="10" t="n"/>
    </row>
    <row r="60">
      <c r="A60" s="10" t="n"/>
      <c r="B60" s="10" t="n"/>
      <c r="C60" s="15" t="n"/>
      <c r="D60" s="18" t="n"/>
      <c r="E60" s="10" t="n"/>
      <c r="F60" s="15" t="n"/>
      <c r="G60" s="10" t="n"/>
    </row>
    <row r="61">
      <c r="A61" s="10" t="n"/>
      <c r="B61" s="10" t="n"/>
      <c r="C61" s="15" t="n"/>
      <c r="D61" s="18" t="n"/>
      <c r="E61" s="10" t="n"/>
      <c r="F61" s="15" t="n"/>
      <c r="G61" s="10" t="n"/>
    </row>
    <row r="62">
      <c r="A62" s="10" t="n"/>
      <c r="B62" s="10" t="n"/>
      <c r="C62" s="15" t="n"/>
      <c r="D62" s="18" t="n"/>
      <c r="E62" s="10" t="n"/>
      <c r="F62" s="15" t="n"/>
      <c r="G62" s="10" t="n"/>
    </row>
    <row r="63">
      <c r="A63" s="10" t="n"/>
      <c r="B63" s="10" t="n"/>
      <c r="C63" s="15" t="n"/>
      <c r="D63" s="18" t="n"/>
      <c r="E63" s="10" t="n"/>
      <c r="F63" s="15" t="n"/>
      <c r="G63" s="10" t="n"/>
    </row>
    <row r="64">
      <c r="A64" s="10" t="n"/>
      <c r="B64" s="10" t="n"/>
      <c r="C64" s="15" t="n"/>
      <c r="D64" s="18" t="n"/>
      <c r="E64" s="10" t="n"/>
      <c r="F64" s="15" t="n"/>
      <c r="G64" s="10" t="n"/>
    </row>
    <row r="65">
      <c r="A65" s="10" t="n"/>
      <c r="B65" s="10" t="n"/>
      <c r="C65" s="15" t="n"/>
      <c r="D65" s="18" t="n"/>
      <c r="E65" s="10" t="n"/>
      <c r="F65" s="15" t="n"/>
      <c r="G65" s="10" t="n"/>
    </row>
    <row r="66">
      <c r="A66" s="10" t="n"/>
      <c r="B66" s="10" t="n"/>
      <c r="C66" s="15" t="n"/>
      <c r="D66" s="18" t="n"/>
      <c r="E66" s="10" t="n"/>
      <c r="F66" s="15" t="n"/>
      <c r="G66" s="10" t="n"/>
    </row>
    <row r="67">
      <c r="A67" s="10" t="n"/>
      <c r="B67" s="10" t="n"/>
      <c r="C67" s="15" t="n"/>
      <c r="D67" s="18" t="n"/>
      <c r="E67" s="10" t="n"/>
      <c r="F67" s="15" t="n"/>
      <c r="G67" s="10" t="n"/>
    </row>
    <row r="68">
      <c r="A68" s="10" t="n"/>
      <c r="B68" s="10" t="n"/>
      <c r="C68" s="15" t="n"/>
      <c r="D68" s="18" t="n"/>
      <c r="E68" s="10" t="n"/>
      <c r="F68" s="15" t="n"/>
      <c r="G68" s="10" t="n"/>
    </row>
    <row r="69">
      <c r="A69" s="10" t="n"/>
      <c r="B69" s="10" t="n"/>
      <c r="C69" s="15" t="n"/>
      <c r="D69" s="18" t="n"/>
      <c r="E69" s="10" t="n"/>
      <c r="F69" s="15" t="n"/>
      <c r="G69" s="10" t="n"/>
    </row>
    <row r="70">
      <c r="A70" s="10" t="n"/>
      <c r="B70" s="10" t="n"/>
      <c r="C70" s="15" t="n"/>
      <c r="D70" s="18" t="n"/>
      <c r="E70" s="10" t="n"/>
      <c r="F70" s="15" t="n"/>
      <c r="G70" s="10" t="n"/>
    </row>
    <row r="71">
      <c r="A71" s="10" t="n"/>
      <c r="B71" s="10" t="n"/>
      <c r="C71" s="15" t="n"/>
      <c r="D71" s="18" t="n"/>
      <c r="E71" s="10" t="n"/>
      <c r="F71" s="15" t="n"/>
      <c r="G71" s="10" t="n"/>
    </row>
    <row r="72">
      <c r="A72" s="10" t="n"/>
      <c r="B72" s="10" t="n"/>
      <c r="C72" s="15" t="n"/>
      <c r="D72" s="18" t="n"/>
      <c r="E72" s="10" t="n"/>
      <c r="F72" s="15" t="n"/>
      <c r="G72" s="10" t="n"/>
    </row>
    <row r="73">
      <c r="A73" s="10" t="n"/>
      <c r="B73" s="10" t="n"/>
      <c r="C73" s="15" t="n"/>
      <c r="D73" s="18" t="n"/>
      <c r="E73" s="10" t="n"/>
      <c r="F73" s="15" t="n"/>
      <c r="G73" s="10" t="n"/>
    </row>
    <row r="74">
      <c r="A74" s="10" t="n"/>
      <c r="B74" s="10" t="n"/>
      <c r="C74" s="15" t="n"/>
      <c r="D74" s="18" t="n"/>
      <c r="E74" s="10" t="n"/>
      <c r="F74" s="15" t="n"/>
      <c r="G74" s="10" t="n"/>
    </row>
    <row r="75">
      <c r="A75" s="10" t="n"/>
      <c r="B75" s="10" t="n"/>
      <c r="C75" s="15" t="n"/>
      <c r="D75" s="18" t="n"/>
      <c r="E75" s="10" t="n"/>
      <c r="F75" s="15" t="n"/>
      <c r="G75" s="10" t="n"/>
    </row>
    <row r="76">
      <c r="A76" s="10" t="n"/>
      <c r="B76" s="10" t="n"/>
      <c r="C76" s="15" t="n"/>
      <c r="D76" s="18" t="n"/>
      <c r="E76" s="10" t="n"/>
      <c r="F76" s="15" t="n"/>
      <c r="G76" s="10" t="n"/>
    </row>
    <row r="77">
      <c r="A77" s="10" t="n"/>
      <c r="B77" s="10" t="n"/>
      <c r="C77" s="15" t="n"/>
      <c r="D77" s="18" t="n"/>
      <c r="E77" s="10" t="n"/>
      <c r="F77" s="15" t="n"/>
      <c r="G77" s="10" t="n"/>
    </row>
    <row r="78">
      <c r="A78" s="10" t="n"/>
      <c r="B78" s="10" t="n"/>
      <c r="C78" s="15" t="n"/>
      <c r="D78" s="18" t="n"/>
      <c r="E78" s="10" t="n"/>
      <c r="F78" s="15" t="n"/>
      <c r="G78" s="10" t="n"/>
    </row>
    <row r="79">
      <c r="A79" s="10" t="n"/>
      <c r="B79" s="10" t="n"/>
      <c r="C79" s="15" t="n"/>
      <c r="D79" s="18" t="n"/>
      <c r="E79" s="10" t="n"/>
      <c r="F79" s="15" t="n"/>
      <c r="G79" s="10" t="n"/>
    </row>
    <row r="80">
      <c r="A80" s="10" t="n"/>
      <c r="B80" s="10" t="n"/>
      <c r="C80" s="15" t="n"/>
      <c r="D80" s="18" t="n"/>
      <c r="E80" s="10" t="n"/>
      <c r="F80" s="15" t="n"/>
      <c r="G80" s="10" t="n"/>
    </row>
    <row r="81">
      <c r="A81" s="10" t="n"/>
      <c r="B81" s="10" t="n"/>
      <c r="C81" s="15" t="n"/>
      <c r="D81" s="18" t="n"/>
      <c r="E81" s="10" t="n"/>
      <c r="F81" s="15" t="n"/>
      <c r="G81" s="10" t="n"/>
    </row>
    <row r="82">
      <c r="A82" s="10" t="n"/>
      <c r="B82" s="10" t="n"/>
      <c r="C82" s="15" t="n"/>
      <c r="D82" s="18" t="n"/>
      <c r="E82" s="10" t="n"/>
      <c r="F82" s="15" t="n"/>
      <c r="G82" s="10" t="n"/>
    </row>
    <row r="83">
      <c r="A83" s="10" t="n"/>
      <c r="B83" s="10" t="n"/>
      <c r="C83" s="15" t="n"/>
      <c r="D83" s="18" t="n"/>
      <c r="E83" s="10" t="n"/>
      <c r="F83" s="15" t="n"/>
      <c r="G83" s="10" t="n"/>
    </row>
    <row r="84">
      <c r="A84" s="10" t="n"/>
      <c r="B84" s="10" t="n"/>
      <c r="C84" s="15" t="n"/>
      <c r="D84" s="18" t="n"/>
      <c r="E84" s="10" t="n"/>
      <c r="F84" s="15" t="n"/>
      <c r="G84" s="10" t="n"/>
    </row>
    <row r="85">
      <c r="A85" s="10" t="n"/>
      <c r="B85" s="10" t="n"/>
      <c r="C85" s="15" t="n"/>
      <c r="D85" s="18" t="n"/>
      <c r="E85" s="10" t="n"/>
      <c r="F85" s="15" t="n"/>
      <c r="G85" s="10" t="n"/>
    </row>
    <row r="86">
      <c r="A86" s="10" t="n"/>
      <c r="B86" s="10" t="n"/>
      <c r="C86" s="15" t="n"/>
      <c r="D86" s="18" t="n"/>
      <c r="E86" s="10" t="n"/>
      <c r="F86" s="15" t="n"/>
      <c r="G86" s="10" t="n"/>
    </row>
    <row r="87">
      <c r="A87" s="10" t="n"/>
      <c r="B87" s="10" t="n"/>
      <c r="C87" s="15" t="n"/>
      <c r="D87" s="18" t="n"/>
      <c r="E87" s="10" t="n"/>
      <c r="F87" s="15" t="n"/>
      <c r="G87" s="10" t="n"/>
    </row>
    <row r="88">
      <c r="A88" s="10" t="n"/>
      <c r="B88" s="10" t="n"/>
      <c r="C88" s="15" t="n"/>
      <c r="D88" s="18" t="n"/>
      <c r="E88" s="10" t="n"/>
      <c r="F88" s="15" t="n"/>
      <c r="G88" s="10" t="n"/>
    </row>
    <row r="89">
      <c r="A89" s="10" t="n"/>
      <c r="B89" s="10" t="n"/>
      <c r="C89" s="15" t="n"/>
      <c r="D89" s="18" t="n"/>
      <c r="E89" s="10" t="n"/>
      <c r="F89" s="15" t="n"/>
      <c r="G89" s="10" t="n"/>
    </row>
    <row r="90">
      <c r="A90" s="10" t="n"/>
      <c r="B90" s="10" t="n"/>
      <c r="C90" s="15" t="n"/>
      <c r="D90" s="18" t="n"/>
      <c r="E90" s="10" t="n"/>
      <c r="F90" s="15" t="n"/>
      <c r="G90" s="10" t="n"/>
    </row>
    <row r="91">
      <c r="A91" s="10" t="n"/>
      <c r="B91" s="10" t="n"/>
      <c r="C91" s="15" t="n"/>
      <c r="D91" s="18" t="n"/>
      <c r="E91" s="10" t="n"/>
      <c r="F91" s="15" t="n"/>
      <c r="G91" s="10" t="n"/>
    </row>
    <row r="92">
      <c r="A92" s="10" t="n"/>
      <c r="B92" s="10" t="n"/>
      <c r="C92" s="15" t="n"/>
      <c r="D92" s="18" t="n"/>
      <c r="E92" s="10" t="n"/>
      <c r="F92" s="15" t="n"/>
      <c r="G92" s="10" t="n"/>
    </row>
    <row r="93">
      <c r="A93" s="10" t="n"/>
      <c r="B93" s="10" t="n"/>
      <c r="C93" s="15" t="n"/>
      <c r="D93" s="18" t="n"/>
      <c r="E93" s="10" t="n"/>
      <c r="F93" s="15" t="n"/>
      <c r="G93" s="10" t="n"/>
    </row>
    <row r="94">
      <c r="A94" s="10" t="n"/>
      <c r="B94" s="10" t="n"/>
      <c r="C94" s="15" t="n"/>
      <c r="D94" s="18" t="n"/>
      <c r="E94" s="10" t="n"/>
      <c r="F94" s="15" t="n"/>
      <c r="G94" s="10" t="n"/>
    </row>
    <row r="95">
      <c r="A95" s="10" t="n"/>
      <c r="B95" s="10" t="n"/>
      <c r="C95" s="15" t="n"/>
      <c r="D95" s="18" t="n"/>
      <c r="E95" s="10" t="n"/>
      <c r="F95" s="15" t="n"/>
      <c r="G95" s="10" t="n"/>
    </row>
    <row r="96">
      <c r="A96" s="10" t="n"/>
      <c r="B96" s="10" t="n"/>
      <c r="C96" s="15" t="n"/>
      <c r="D96" s="18" t="n"/>
      <c r="E96" s="10" t="n"/>
      <c r="F96" s="15" t="n"/>
      <c r="G96" s="10" t="n"/>
    </row>
    <row r="97">
      <c r="A97" s="10" t="n"/>
      <c r="B97" s="10" t="n"/>
      <c r="C97" s="15" t="n"/>
      <c r="D97" s="18" t="n"/>
      <c r="E97" s="10" t="n"/>
      <c r="F97" s="15" t="n"/>
      <c r="G97" s="10" t="n"/>
    </row>
    <row r="98">
      <c r="A98" s="10" t="n"/>
      <c r="B98" s="10" t="n"/>
      <c r="C98" s="15" t="n"/>
      <c r="D98" s="18" t="n"/>
      <c r="E98" s="10" t="n"/>
      <c r="F98" s="15" t="n"/>
      <c r="G98" s="10" t="n"/>
    </row>
    <row r="99">
      <c r="A99" s="10" t="n"/>
      <c r="B99" s="10" t="n"/>
      <c r="C99" s="15" t="n"/>
      <c r="D99" s="18" t="n"/>
      <c r="E99" s="10" t="n"/>
      <c r="F99" s="15" t="n"/>
      <c r="G99" s="10" t="n"/>
    </row>
    <row r="100">
      <c r="A100" s="10" t="n"/>
      <c r="B100" s="10" t="n"/>
      <c r="C100" s="15" t="n"/>
      <c r="D100" s="18" t="n"/>
      <c r="E100" s="10" t="n"/>
      <c r="F100" s="15" t="n"/>
      <c r="G100" s="10" t="n"/>
    </row>
    <row r="101">
      <c r="A101" s="10" t="n"/>
      <c r="B101" s="10" t="n"/>
      <c r="C101" s="15" t="n"/>
      <c r="D101" s="18" t="n"/>
      <c r="E101" s="10" t="n"/>
      <c r="F101" s="15" t="n"/>
      <c r="G101" s="10" t="n"/>
    </row>
    <row r="102">
      <c r="A102" s="10" t="n"/>
      <c r="B102" s="10" t="n"/>
      <c r="C102" s="15" t="n"/>
      <c r="D102" s="18" t="n"/>
      <c r="E102" s="10" t="n"/>
      <c r="F102" s="15" t="n"/>
      <c r="G102" s="10" t="n"/>
    </row>
    <row r="103">
      <c r="A103" s="10" t="n"/>
      <c r="B103" s="10" t="n"/>
      <c r="C103" s="15" t="n"/>
      <c r="D103" s="18" t="n"/>
      <c r="E103" s="10" t="n"/>
      <c r="F103" s="15" t="n"/>
      <c r="G103" s="10" t="n"/>
    </row>
    <row r="104">
      <c r="A104" s="10" t="n"/>
      <c r="B104" s="10" t="n"/>
      <c r="C104" s="15" t="n"/>
      <c r="D104" s="18" t="n"/>
      <c r="E104" s="10" t="n"/>
      <c r="F104" s="15" t="n"/>
      <c r="G104" s="10" t="n"/>
    </row>
    <row r="105">
      <c r="A105" s="10" t="n"/>
      <c r="B105" s="10" t="n"/>
      <c r="C105" s="15" t="n"/>
      <c r="D105" s="18" t="n"/>
      <c r="E105" s="10" t="n"/>
      <c r="F105" s="15" t="n"/>
      <c r="G105" s="10" t="n"/>
    </row>
    <row r="106">
      <c r="A106" s="10" t="n"/>
      <c r="B106" s="10" t="n"/>
      <c r="C106" s="15" t="n"/>
      <c r="D106" s="18" t="n"/>
      <c r="E106" s="10" t="n"/>
      <c r="F106" s="15" t="n"/>
      <c r="G106" s="10" t="n"/>
    </row>
    <row r="107">
      <c r="A107" s="10" t="n"/>
      <c r="B107" s="10" t="n"/>
      <c r="C107" s="15" t="n"/>
      <c r="D107" s="18" t="n"/>
      <c r="E107" s="10" t="n"/>
      <c r="F107" s="15" t="n"/>
      <c r="G107" s="10" t="n"/>
    </row>
    <row r="108">
      <c r="A108" s="10" t="n"/>
      <c r="B108" s="10" t="n"/>
      <c r="C108" s="15" t="n"/>
      <c r="D108" s="18" t="n"/>
      <c r="E108" s="10" t="n"/>
      <c r="F108" s="15" t="n"/>
      <c r="G108" s="10" t="n"/>
    </row>
    <row r="109">
      <c r="A109" s="10" t="n"/>
      <c r="B109" s="10" t="n"/>
      <c r="C109" s="15" t="n"/>
      <c r="D109" s="18" t="n"/>
      <c r="E109" s="10" t="n"/>
      <c r="F109" s="15" t="n"/>
      <c r="G109" s="10" t="n"/>
    </row>
    <row r="110">
      <c r="A110" s="10" t="n"/>
      <c r="B110" s="10" t="n"/>
      <c r="C110" s="15" t="n"/>
      <c r="D110" s="18" t="n"/>
      <c r="E110" s="10" t="n"/>
      <c r="F110" s="15" t="n"/>
      <c r="G110" s="10" t="n"/>
    </row>
    <row r="111">
      <c r="A111" s="10" t="n"/>
      <c r="B111" s="10" t="n"/>
      <c r="C111" s="15" t="n"/>
      <c r="D111" s="18" t="n"/>
      <c r="E111" s="10" t="n"/>
      <c r="F111" s="15" t="n"/>
      <c r="G111" s="10" t="n"/>
    </row>
    <row r="112">
      <c r="A112" s="10" t="n"/>
      <c r="B112" s="10" t="n"/>
      <c r="C112" s="15" t="n"/>
      <c r="D112" s="18" t="n"/>
      <c r="E112" s="10" t="n"/>
      <c r="F112" s="15" t="n"/>
      <c r="G112" s="10" t="n"/>
    </row>
    <row r="113">
      <c r="A113" s="10" t="n"/>
      <c r="B113" s="10" t="n"/>
      <c r="C113" s="15" t="n"/>
      <c r="D113" s="18" t="n"/>
      <c r="E113" s="10" t="n"/>
      <c r="F113" s="15" t="n"/>
      <c r="G113" s="10" t="n"/>
    </row>
    <row r="114">
      <c r="A114" s="10" t="n"/>
      <c r="B114" s="10" t="n"/>
      <c r="C114" s="15" t="n"/>
      <c r="D114" s="18" t="n"/>
      <c r="E114" s="10" t="n"/>
      <c r="F114" s="15" t="n"/>
      <c r="G114" s="10" t="n"/>
    </row>
    <row r="115">
      <c r="A115" s="10" t="n"/>
      <c r="B115" s="10" t="n"/>
      <c r="C115" s="15" t="n"/>
      <c r="D115" s="18" t="n"/>
      <c r="E115" s="10" t="n"/>
      <c r="F115" s="15" t="n"/>
      <c r="G115" s="10" t="n"/>
    </row>
    <row r="116">
      <c r="A116" s="10" t="n"/>
      <c r="B116" s="10" t="n"/>
      <c r="C116" s="15" t="n"/>
      <c r="D116" s="18" t="n"/>
      <c r="E116" s="10" t="n"/>
      <c r="F116" s="15" t="n"/>
      <c r="G116" s="10" t="n"/>
    </row>
    <row r="117">
      <c r="A117" s="10" t="n"/>
      <c r="B117" s="10" t="n"/>
      <c r="C117" s="15" t="n"/>
      <c r="D117" s="18" t="n"/>
      <c r="E117" s="10" t="n"/>
      <c r="F117" s="15" t="n"/>
      <c r="G117" s="10" t="n"/>
    </row>
    <row r="118">
      <c r="A118" s="10" t="n"/>
      <c r="B118" s="10" t="n"/>
      <c r="C118" s="15" t="n"/>
      <c r="D118" s="18" t="n"/>
      <c r="E118" s="10" t="n"/>
      <c r="F118" s="15" t="n"/>
      <c r="G118" s="10" t="n"/>
    </row>
    <row r="119">
      <c r="A119" s="10" t="n"/>
      <c r="B119" s="10" t="n"/>
      <c r="C119" s="15" t="n"/>
      <c r="D119" s="18" t="n"/>
      <c r="E119" s="10" t="n"/>
      <c r="F119" s="15" t="n"/>
      <c r="G119" s="10" t="n"/>
    </row>
    <row r="120">
      <c r="A120" s="10" t="n"/>
      <c r="B120" s="10" t="n"/>
      <c r="C120" s="15" t="n"/>
      <c r="D120" s="18" t="n"/>
      <c r="E120" s="10" t="n"/>
      <c r="F120" s="15" t="n"/>
      <c r="G120" s="10" t="n"/>
    </row>
    <row r="121">
      <c r="A121" s="10" t="n"/>
      <c r="B121" s="10" t="n"/>
      <c r="C121" s="15" t="n"/>
      <c r="D121" s="18" t="n"/>
      <c r="E121" s="10" t="n"/>
      <c r="F121" s="15" t="n"/>
      <c r="G121" s="10" t="n"/>
    </row>
    <row r="122">
      <c r="A122" s="10" t="n"/>
      <c r="B122" s="10" t="n"/>
      <c r="C122" s="15" t="n"/>
      <c r="D122" s="18" t="n"/>
      <c r="E122" s="10" t="n"/>
      <c r="F122" s="15" t="n"/>
      <c r="G122" s="10" t="n"/>
    </row>
    <row r="123">
      <c r="A123" s="10" t="n"/>
      <c r="B123" s="10" t="n"/>
      <c r="C123" s="15" t="n"/>
      <c r="D123" s="18" t="n"/>
      <c r="E123" s="10" t="n"/>
      <c r="F123" s="15" t="n"/>
      <c r="G123" s="10" t="n"/>
    </row>
    <row r="124">
      <c r="A124" s="10" t="n"/>
      <c r="B124" s="10" t="n"/>
      <c r="C124" s="15" t="n"/>
      <c r="D124" s="18" t="n"/>
      <c r="E124" s="10" t="n"/>
      <c r="F124" s="15" t="n"/>
      <c r="G124" s="10" t="n"/>
    </row>
  </sheetData>
  <autoFilter ref="A4:G124"/>
  <dataValidations count="1">
    <dataValidation sqref="B5:B124" showDropDown="0" showInputMessage="0" showErrorMessage="0" allowBlank="1" errorTitle="Valoare neacceptată" error="Valoare în afara listei permise. Alege din listă sau completează lista de valori." type="list">
      <formula1>'02_SETARI'!$E$6:$E$9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0" customWidth="1" min="3" max="3"/>
    <col width="15" customWidth="1" min="4" max="4"/>
    <col width="17" customWidth="1" min="5" max="5"/>
    <col width="12" customWidth="1" min="6" max="6"/>
    <col width="11" customWidth="1" min="7" max="7"/>
    <col width="13" customWidth="1" min="8" max="8"/>
    <col width="14" customWidth="1" min="9" max="9"/>
    <col width="30" customWidth="1" min="10" max="10"/>
    <col width="30" customWidth="1" min="11" max="11"/>
    <col width="11" customWidth="1" min="12" max="12"/>
    <col width="26" customWidth="1" min="13" max="13"/>
    <col width="30" customWidth="1" min="15" max="15"/>
    <col width="14" customWidth="1" min="16" max="16"/>
    <col width="44" customWidth="1" min="17" max="17"/>
    <col hidden="1" width="13" customWidth="1" min="25" max="25"/>
    <col hidden="1" width="13" customWidth="1" min="26" max="26"/>
  </cols>
  <sheetData>
    <row r="1" ht="26" customHeight="1">
      <c r="A1" s="1" t="inlineStr">
        <is>
          <t>12 — CONCURENȚA</t>
        </is>
      </c>
      <c r="Y1" s="26" t="inlineStr">
        <is>
          <t>surse_cifra</t>
        </is>
      </c>
      <c r="Z1" s="26" t="inlineStr">
        <is>
          <t>pret</t>
        </is>
      </c>
    </row>
    <row r="2" ht="16" customHeight="1">
      <c r="A2" s="2" t="inlineStr">
        <is>
          <t>Primul rând ești tu (firma analizată). Sub el, concurenții. Cifrele publice și notele se adună de pe internet într-o oră, fără să întrebi pe nimeni.</t>
        </is>
      </c>
      <c r="Y2" s="27" t="inlineStr">
        <is>
          <t>Date publice / bilanț</t>
        </is>
      </c>
      <c r="Z2" s="27" t="inlineStr">
        <is>
          <t>Mult mai ieftin</t>
        </is>
      </c>
    </row>
    <row r="3">
      <c r="Y3" s="27" t="inlineStr">
        <is>
          <t>Estimare proprie</t>
        </is>
      </c>
      <c r="Z3" s="27" t="inlineStr">
        <is>
          <t>Mai ieftin</t>
        </is>
      </c>
    </row>
    <row r="4" ht="36" customHeight="1">
      <c r="A4" s="21" t="inlineStr">
        <is>
          <t>Cine</t>
        </is>
      </c>
      <c r="B4" s="21" t="inlineStr">
        <is>
          <t>Site</t>
        </is>
      </c>
      <c r="C4" s="21" t="inlineStr">
        <is>
          <t>Angajați</t>
        </is>
      </c>
      <c r="D4" s="21" t="inlineStr">
        <is>
          <t>Cifră de afaceri</t>
        </is>
      </c>
      <c r="E4" s="21" t="inlineStr">
        <is>
          <t>De unde e cifra</t>
        </is>
      </c>
      <c r="F4" s="21" t="inlineStr">
        <is>
          <t>Notă publică (1-5)</t>
        </is>
      </c>
      <c r="G4" s="21" t="inlineStr">
        <is>
          <t>Câte recenzii</t>
        </is>
      </c>
      <c r="H4" s="21" t="inlineStr">
        <is>
          <t>Verificat la data</t>
        </is>
      </c>
      <c r="I4" s="21" t="inlineStr">
        <is>
          <t>Preț față de noi</t>
        </is>
      </c>
      <c r="J4" s="21" t="inlineStr">
        <is>
          <t>Cu ce câștigă</t>
        </is>
      </c>
      <c r="K4" s="21" t="inlineStr">
        <is>
          <t>Unde pierde</t>
        </is>
      </c>
      <c r="L4" s="21" t="inlineStr">
        <is>
          <t>Cotă în grup</t>
        </is>
      </c>
      <c r="M4" s="21" t="inlineStr">
        <is>
          <t>Cum stăm față de el</t>
        </is>
      </c>
      <c r="O4" s="28" t="inlineStr">
        <is>
          <t>CUM ARATĂ PIAȚA</t>
        </is>
      </c>
      <c r="P4" s="29" t="n"/>
      <c r="Y4" s="27" t="inlineStr">
        <is>
          <t>Spus de client</t>
        </is>
      </c>
      <c r="Z4" s="27" t="inlineStr">
        <is>
          <t>La fel</t>
        </is>
      </c>
    </row>
    <row r="5">
      <c r="A5" s="30" t="inlineStr">
        <is>
          <t>NOI (firma analizată)</t>
        </is>
      </c>
      <c r="B5" s="31" t="n"/>
      <c r="C5" s="32" t="n"/>
      <c r="D5" s="32" t="n"/>
      <c r="E5" s="31" t="n"/>
      <c r="F5" s="33" t="n"/>
      <c r="G5" s="32" t="n"/>
      <c r="H5" s="34" t="n"/>
      <c r="I5" s="31" t="n"/>
      <c r="J5" s="31" t="n"/>
      <c r="K5" s="31" t="n"/>
      <c r="L5" s="35">
        <f>IF($A5="","",IFERROR($D5/SUM('12_CONCURENTA'!$D$5:$D$14),""))</f>
        <v/>
      </c>
      <c r="M5" s="36">
        <f>IF($A5="","",IF(ROW()=5,"— reper —",IF(AND($F5&lt;&gt;"",'12_CONCURENTA'!$F$5&lt;&gt;""),IF($F5&gt;'12_CONCURENTA'!$F$5+0.2,"E mai bine văzut",IF($F5&lt;'12_CONCURENTA'!$F$5-0.2,"Suntem mai bine văzuți","Văzuți la fel")),"Fără notă")&amp;IF(AND($D5&lt;&gt;"",'12_CONCURENTA'!$D$5&lt;&gt;"",'12_CONCURENTA'!$D$5&gt;0),IF($D5&gt;'12_CONCURENTA'!$D$5*1.2," · mai mare",IF($D5&lt;'12_CONCURENTA'!$D$5*0.8," · mai mic"," · cam cât noi")),"")))</f>
        <v/>
      </c>
      <c r="O5" s="9" t="inlineStr">
        <is>
          <t>Concurenți urmăriți</t>
        </is>
      </c>
      <c r="P5" s="23">
        <f>MAX(0,COUNTA('12_CONCURENTA'!$A$5:$A$14)-1)</f>
        <v/>
      </c>
      <c r="Y5" s="27" t="inlineStr">
        <is>
          <t>Site / presă</t>
        </is>
      </c>
      <c r="Z5" s="27" t="inlineStr">
        <is>
          <t>Mai scump</t>
        </is>
      </c>
    </row>
    <row r="6">
      <c r="A6" s="31" t="n"/>
      <c r="B6" s="31" t="n"/>
      <c r="C6" s="32" t="n"/>
      <c r="D6" s="32" t="n"/>
      <c r="E6" s="31" t="n"/>
      <c r="F6" s="33" t="n"/>
      <c r="G6" s="32" t="n"/>
      <c r="H6" s="34" t="n"/>
      <c r="I6" s="31" t="n"/>
      <c r="J6" s="31" t="n"/>
      <c r="K6" s="31" t="n"/>
      <c r="L6" s="35">
        <f>IF($A6="","",IFERROR($D6/SUM('12_CONCURENTA'!$D$5:$D$14),""))</f>
        <v/>
      </c>
      <c r="M6" s="36">
        <f>IF($A6="","",IF(ROW()=5,"— reper —",IF(AND($F6&lt;&gt;"",'12_CONCURENTA'!$F$5&lt;&gt;""),IF($F6&gt;'12_CONCURENTA'!$F$5+0.2,"E mai bine văzut",IF($F6&lt;'12_CONCURENTA'!$F$5-0.2,"Suntem mai bine văzuți","Văzuți la fel")),"Fără notă")&amp;IF(AND($D6&lt;&gt;"",'12_CONCURENTA'!$D$5&lt;&gt;"",'12_CONCURENTA'!$D$5&gt;0),IF($D6&gt;'12_CONCURENTA'!$D$5*1.2," · mai mare",IF($D6&lt;'12_CONCURENTA'!$D$5*0.8," · mai mic"," · cam cât noi")),"")))</f>
        <v/>
      </c>
      <c r="O6" s="9" t="inlineStr">
        <is>
          <t>Cifra totală a grupului</t>
        </is>
      </c>
      <c r="P6" s="23">
        <f>SUM('12_CONCURENTA'!$D$5:$D$14)</f>
        <v/>
      </c>
      <c r="Y6" s="27" t="inlineStr">
        <is>
          <t>Nu știu</t>
        </is>
      </c>
      <c r="Z6" s="27" t="inlineStr">
        <is>
          <t>Mult mai scump</t>
        </is>
      </c>
    </row>
    <row r="7">
      <c r="A7" s="31" t="n"/>
      <c r="B7" s="31" t="n"/>
      <c r="C7" s="32" t="n"/>
      <c r="D7" s="32" t="n"/>
      <c r="E7" s="31" t="n"/>
      <c r="F7" s="33" t="n"/>
      <c r="G7" s="32" t="n"/>
      <c r="H7" s="34" t="n"/>
      <c r="I7" s="31" t="n"/>
      <c r="J7" s="31" t="n"/>
      <c r="K7" s="31" t="n"/>
      <c r="L7" s="35">
        <f>IF($A7="","",IFERROR($D7/SUM('12_CONCURENTA'!$D$5:$D$14),""))</f>
        <v/>
      </c>
      <c r="M7" s="36">
        <f>IF($A7="","",IF(ROW()=5,"— reper —",IF(AND($F7&lt;&gt;"",'12_CONCURENTA'!$F$5&lt;&gt;""),IF($F7&gt;'12_CONCURENTA'!$F$5+0.2,"E mai bine văzut",IF($F7&lt;'12_CONCURENTA'!$F$5-0.2,"Suntem mai bine văzuți","Văzuți la fel")),"Fără notă")&amp;IF(AND($D7&lt;&gt;"",'12_CONCURENTA'!$D$5&lt;&gt;"",'12_CONCURENTA'!$D$5&gt;0),IF($D7&gt;'12_CONCURENTA'!$D$5*1.2," · mai mare",IF($D7&lt;'12_CONCURENTA'!$D$5*0.8," · mai mic"," · cam cât noi")),"")))</f>
        <v/>
      </c>
      <c r="O7" s="9" t="inlineStr">
        <is>
          <t>Cota noastră în grup</t>
        </is>
      </c>
      <c r="P7" s="24">
        <f>IFERROR('12_CONCURENTA'!$D$5/SUM('12_CONCURENTA'!$D$5:$D$14),"")</f>
        <v/>
      </c>
      <c r="Z7" s="27" t="inlineStr">
        <is>
          <t>Nu știu</t>
        </is>
      </c>
    </row>
    <row r="8">
      <c r="A8" s="31" t="n"/>
      <c r="B8" s="31" t="n"/>
      <c r="C8" s="32" t="n"/>
      <c r="D8" s="32" t="n"/>
      <c r="E8" s="31" t="n"/>
      <c r="F8" s="33" t="n"/>
      <c r="G8" s="32" t="n"/>
      <c r="H8" s="34" t="n"/>
      <c r="I8" s="31" t="n"/>
      <c r="J8" s="31" t="n"/>
      <c r="K8" s="31" t="n"/>
      <c r="L8" s="35">
        <f>IF($A8="","",IFERROR($D8/SUM('12_CONCURENTA'!$D$5:$D$14),""))</f>
        <v/>
      </c>
      <c r="M8" s="36">
        <f>IF($A8="","",IF(ROW()=5,"— reper —",IF(AND($F8&lt;&gt;"",'12_CONCURENTA'!$F$5&lt;&gt;""),IF($F8&gt;'12_CONCURENTA'!$F$5+0.2,"E mai bine văzut",IF($F8&lt;'12_CONCURENTA'!$F$5-0.2,"Suntem mai bine văzuți","Văzuți la fel")),"Fără notă")&amp;IF(AND($D8&lt;&gt;"",'12_CONCURENTA'!$D$5&lt;&gt;"",'12_CONCURENTA'!$D$5&gt;0),IF($D8&gt;'12_CONCURENTA'!$D$5*1.2," · mai mare",IF($D8&lt;'12_CONCURENTA'!$D$5*0.8," · mai mic"," · cam cât noi")),"")))</f>
        <v/>
      </c>
      <c r="O8" s="9" t="inlineStr">
        <is>
          <t>Piața totală estimată</t>
        </is>
      </c>
      <c r="P8" s="18" t="n">
        <v>0</v>
      </c>
      <c r="Q8" s="14" t="inlineStr">
        <is>
          <t>Opțional. Dacă știi cât valorează toată piața, aici iese cota reală.</t>
        </is>
      </c>
    </row>
    <row r="9">
      <c r="A9" s="31" t="n"/>
      <c r="B9" s="31" t="n"/>
      <c r="C9" s="32" t="n"/>
      <c r="D9" s="32" t="n"/>
      <c r="E9" s="31" t="n"/>
      <c r="F9" s="33" t="n"/>
      <c r="G9" s="32" t="n"/>
      <c r="H9" s="34" t="n"/>
      <c r="I9" s="31" t="n"/>
      <c r="J9" s="31" t="n"/>
      <c r="K9" s="31" t="n"/>
      <c r="L9" s="35">
        <f>IF($A9="","",IFERROR($D9/SUM('12_CONCURENTA'!$D$5:$D$14),""))</f>
        <v/>
      </c>
      <c r="M9" s="36">
        <f>IF($A9="","",IF(ROW()=5,"— reper —",IF(AND($F9&lt;&gt;"",'12_CONCURENTA'!$F$5&lt;&gt;""),IF($F9&gt;'12_CONCURENTA'!$F$5+0.2,"E mai bine văzut",IF($F9&lt;'12_CONCURENTA'!$F$5-0.2,"Suntem mai bine văzuți","Văzuți la fel")),"Fără notă")&amp;IF(AND($D9&lt;&gt;"",'12_CONCURENTA'!$D$5&lt;&gt;"",'12_CONCURENTA'!$D$5&gt;0),IF($D9&gt;'12_CONCURENTA'!$D$5*1.2," · mai mare",IF($D9&lt;'12_CONCURENTA'!$D$5*0.8," · mai mic"," · cam cât noi")),"")))</f>
        <v/>
      </c>
      <c r="O9" s="9" t="inlineStr">
        <is>
          <t>Cota noastră din piață</t>
        </is>
      </c>
      <c r="P9" s="24">
        <f>IF(OR('12_CONCURENTA'!$P$8=0,'12_CONCURENTA'!$P$8=""),"",IFERROR('12_CONCURENTA'!$D$5/'12_CONCURENTA'!$P$8,""))</f>
        <v/>
      </c>
    </row>
    <row r="10">
      <c r="A10" s="31" t="n"/>
      <c r="B10" s="31" t="n"/>
      <c r="C10" s="32" t="n"/>
      <c r="D10" s="32" t="n"/>
      <c r="E10" s="31" t="n"/>
      <c r="F10" s="33" t="n"/>
      <c r="G10" s="32" t="n"/>
      <c r="H10" s="34" t="n"/>
      <c r="I10" s="31" t="n"/>
      <c r="J10" s="31" t="n"/>
      <c r="K10" s="31" t="n"/>
      <c r="L10" s="35">
        <f>IF($A10="","",IFERROR($D10/SUM('12_CONCURENTA'!$D$5:$D$14),""))</f>
        <v/>
      </c>
      <c r="M10" s="36">
        <f>IF($A10="","",IF(ROW()=5,"— reper —",IF(AND($F10&lt;&gt;"",'12_CONCURENTA'!$F$5&lt;&gt;""),IF($F10&gt;'12_CONCURENTA'!$F$5+0.2,"E mai bine văzut",IF($F10&lt;'12_CONCURENTA'!$F$5-0.2,"Suntem mai bine văzuți","Văzuți la fel")),"Fără notă")&amp;IF(AND($D10&lt;&gt;"",'12_CONCURENTA'!$D$5&lt;&gt;"",'12_CONCURENTA'!$D$5&gt;0),IF($D10&gt;'12_CONCURENTA'!$D$5*1.2," · mai mare",IF($D10&lt;'12_CONCURENTA'!$D$5*0.8," · mai mic"," · cam cât noi")),"")))</f>
        <v/>
      </c>
      <c r="O10" s="9" t="inlineStr">
        <is>
          <t>Nota noastră publică</t>
        </is>
      </c>
      <c r="P10" s="37">
        <f>IF('12_CONCURENTA'!$F$5="","",'12_CONCURENTA'!$F$5)</f>
        <v/>
      </c>
    </row>
    <row r="11">
      <c r="A11" s="31" t="n"/>
      <c r="B11" s="31" t="n"/>
      <c r="C11" s="32" t="n"/>
      <c r="D11" s="32" t="n"/>
      <c r="E11" s="31" t="n"/>
      <c r="F11" s="33" t="n"/>
      <c r="G11" s="32" t="n"/>
      <c r="H11" s="34" t="n"/>
      <c r="I11" s="31" t="n"/>
      <c r="J11" s="31" t="n"/>
      <c r="K11" s="31" t="n"/>
      <c r="L11" s="35">
        <f>IF($A11="","",IFERROR($D11/SUM('12_CONCURENTA'!$D$5:$D$14),""))</f>
        <v/>
      </c>
      <c r="M11" s="36">
        <f>IF($A11="","",IF(ROW()=5,"— reper —",IF(AND($F11&lt;&gt;"",'12_CONCURENTA'!$F$5&lt;&gt;""),IF($F11&gt;'12_CONCURENTA'!$F$5+0.2,"E mai bine văzut",IF($F11&lt;'12_CONCURENTA'!$F$5-0.2,"Suntem mai bine văzuți","Văzuți la fel")),"Fără notă")&amp;IF(AND($D11&lt;&gt;"",'12_CONCURENTA'!$D$5&lt;&gt;"",'12_CONCURENTA'!$D$5&gt;0),IF($D11&gt;'12_CONCURENTA'!$D$5*1.2," · mai mare",IF($D11&lt;'12_CONCURENTA'!$D$5*0.8," · mai mic"," · cam cât noi")),"")))</f>
        <v/>
      </c>
      <c r="O11" s="9" t="inlineStr">
        <is>
          <t>Nota medie a concurenților</t>
        </is>
      </c>
      <c r="P11" s="37">
        <f>IFERROR(AVERAGE('12_CONCURENTA'!$F$6:$F$14),"")</f>
        <v/>
      </c>
    </row>
    <row r="12">
      <c r="A12" s="31" t="n"/>
      <c r="B12" s="31" t="n"/>
      <c r="C12" s="32" t="n"/>
      <c r="D12" s="32" t="n"/>
      <c r="E12" s="31" t="n"/>
      <c r="F12" s="33" t="n"/>
      <c r="G12" s="32" t="n"/>
      <c r="H12" s="34" t="n"/>
      <c r="I12" s="31" t="n"/>
      <c r="J12" s="31" t="n"/>
      <c r="K12" s="31" t="n"/>
      <c r="L12" s="35">
        <f>IF($A12="","",IFERROR($D12/SUM('12_CONCURENTA'!$D$5:$D$14),""))</f>
        <v/>
      </c>
      <c r="M12" s="36">
        <f>IF($A12="","",IF(ROW()=5,"— reper —",IF(AND($F12&lt;&gt;"",'12_CONCURENTA'!$F$5&lt;&gt;""),IF($F12&gt;'12_CONCURENTA'!$F$5+0.2,"E mai bine văzut",IF($F12&lt;'12_CONCURENTA'!$F$5-0.2,"Suntem mai bine văzuți","Văzuți la fel")),"Fără notă")&amp;IF(AND($D12&lt;&gt;"",'12_CONCURENTA'!$D$5&lt;&gt;"",'12_CONCURENTA'!$D$5&gt;0),IF($D12&gt;'12_CONCURENTA'!$D$5*1.2," · mai mare",IF($D12&lt;'12_CONCURENTA'!$D$5*0.8," · mai mic"," · cam cât noi")),"")))</f>
        <v/>
      </c>
      <c r="O12" s="9" t="inlineStr">
        <is>
          <t>Diferența</t>
        </is>
      </c>
      <c r="P12" s="37">
        <f>IF(OR('12_CONCURENTA'!$F$5="",P11=""),"",'12_CONCURENTA'!$F$5-P11)</f>
        <v/>
      </c>
    </row>
    <row r="13">
      <c r="A13" s="31" t="n"/>
      <c r="B13" s="31" t="n"/>
      <c r="C13" s="32" t="n"/>
      <c r="D13" s="32" t="n"/>
      <c r="E13" s="31" t="n"/>
      <c r="F13" s="33" t="n"/>
      <c r="G13" s="32" t="n"/>
      <c r="H13" s="34" t="n"/>
      <c r="I13" s="31" t="n"/>
      <c r="J13" s="31" t="n"/>
      <c r="K13" s="31" t="n"/>
      <c r="L13" s="35">
        <f>IF($A13="","",IFERROR($D13/SUM('12_CONCURENTA'!$D$5:$D$14),""))</f>
        <v/>
      </c>
      <c r="M13" s="36">
        <f>IF($A13="","",IF(ROW()=5,"— reper —",IF(AND($F13&lt;&gt;"",'12_CONCURENTA'!$F$5&lt;&gt;""),IF($F13&gt;'12_CONCURENTA'!$F$5+0.2,"E mai bine văzut",IF($F13&lt;'12_CONCURENTA'!$F$5-0.2,"Suntem mai bine văzuți","Văzuți la fel")),"Fără notă")&amp;IF(AND($D13&lt;&gt;"",'12_CONCURENTA'!$D$5&lt;&gt;"",'12_CONCURENTA'!$D$5&gt;0),IF($D13&gt;'12_CONCURENTA'!$D$5*1.2," · mai mare",IF($D13&lt;'12_CONCURENTA'!$D$5*0.8," · mai mic"," · cam cât noi")),"")))</f>
        <v/>
      </c>
    </row>
    <row r="14">
      <c r="A14" s="31" t="n"/>
      <c r="B14" s="31" t="n"/>
      <c r="C14" s="32" t="n"/>
      <c r="D14" s="32" t="n"/>
      <c r="E14" s="31" t="n"/>
      <c r="F14" s="33" t="n"/>
      <c r="G14" s="32" t="n"/>
      <c r="H14" s="34" t="n"/>
      <c r="I14" s="31" t="n"/>
      <c r="J14" s="31" t="n"/>
      <c r="K14" s="31" t="n"/>
      <c r="L14" s="35">
        <f>IF($A14="","",IFERROR($D14/SUM('12_CONCURENTA'!$D$5:$D$14),""))</f>
        <v/>
      </c>
      <c r="M14" s="36">
        <f>IF($A14="","",IF(ROW()=5,"— reper —",IF(AND($F14&lt;&gt;"",'12_CONCURENTA'!$F$5&lt;&gt;""),IF($F14&gt;'12_CONCURENTA'!$F$5+0.2,"E mai bine văzut",IF($F14&lt;'12_CONCURENTA'!$F$5-0.2,"Suntem mai bine văzuți","Văzuți la fel")),"Fără notă")&amp;IF(AND($D14&lt;&gt;"",'12_CONCURENTA'!$D$5&lt;&gt;"",'12_CONCURENTA'!$D$5&gt;0),IF($D14&gt;'12_CONCURENTA'!$D$5*1.2," · mai mare",IF($D14&lt;'12_CONCURENTA'!$D$5*0.8," · mai mic"," · cam cât noi")),"")))</f>
        <v/>
      </c>
    </row>
  </sheetData>
  <autoFilter ref="A4:M14"/>
  <conditionalFormatting sqref="M5:M14">
    <cfRule type="expression" priority="1" dxfId="0">
      <formula>ISNUMBER(SEARCH("E mai bine văzut",M5))</formula>
    </cfRule>
    <cfRule type="expression" priority="2" dxfId="1">
      <formula>ISNUMBER(SEARCH("Suntem mai bine",M5))</formula>
    </cfRule>
  </conditionalFormatting>
  <dataValidations count="2">
    <dataValidation sqref="E5:E14" showDropDown="0" showInputMessage="0" showErrorMessage="0" allowBlank="1" errorTitle="Valoare neacceptată" error="Valoare în afara listei permise. Alege din listă sau completează lista de valori." type="list">
      <formula1>'12_CONCURENTA'!$Y$2:$Y$6</formula1>
    </dataValidation>
    <dataValidation sqref="I5:I14" showDropDown="0" showInputMessage="0" showErrorMessage="0" allowBlank="1" errorTitle="Valoare neacceptată" error="Valoare în afara listei permise. Alege din listă sau completează lista de valori." type="list">
      <formula1>'12_CONCURENTA'!$Z$2:$Z$7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4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3" customWidth="1" min="3" max="3"/>
    <col width="11" customWidth="1" min="4" max="4"/>
    <col width="12" customWidth="1" min="5" max="5"/>
    <col width="13" customWidth="1" min="6" max="6"/>
    <col width="14" customWidth="1" min="7" max="7"/>
    <col width="34" customWidth="1" min="8" max="8"/>
    <col width="34" customWidth="1" min="9" max="9"/>
    <col width="22" customWidth="1" min="10" max="10"/>
    <col hidden="1" width="13" customWidth="1" min="26" max="26"/>
  </cols>
  <sheetData>
    <row r="1" ht="26" customHeight="1">
      <c r="A1" s="1" t="inlineStr">
        <is>
          <t>13 — CE CRED OAMENII DESPRE FIRMĂ</t>
        </is>
      </c>
      <c r="Z1" s="26" t="inlineStr">
        <is>
          <t>surse</t>
        </is>
      </c>
    </row>
    <row r="2" ht="16" customHeight="1">
      <c r="A2" s="2" t="inlineStr">
        <is>
          <t>Trei surse, în ordinea efortului: ce se vede public, ce vezi tu ca specialist, ce spun clienții întrebați direct. Ultima e NPS-ul și e singura care contează cu adevărat; primele două țin locul până atunci.</t>
        </is>
      </c>
      <c r="Z2" s="27" t="inlineStr">
        <is>
          <t>Google</t>
        </is>
      </c>
    </row>
    <row r="3">
      <c r="Z3" s="27" t="inlineStr">
        <is>
          <t>Facebook</t>
        </is>
      </c>
    </row>
    <row r="4" ht="20" customHeight="1">
      <c r="A4" s="12" t="inlineStr">
        <is>
          <t>1. CE SE VEDE PUBLIC — recenzii, note, platforme</t>
        </is>
      </c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Z4" s="27" t="inlineStr">
        <is>
          <t>Site propriu</t>
        </is>
      </c>
    </row>
    <row r="5" ht="28" customHeight="1">
      <c r="A5" s="21" t="inlineStr">
        <is>
          <t>Sursa</t>
        </is>
      </c>
      <c r="B5" s="21" t="inlineStr">
        <is>
          <t>Link</t>
        </is>
      </c>
      <c r="C5" s="21" t="inlineStr">
        <is>
          <t>Verificat la</t>
        </is>
      </c>
      <c r="D5" s="21" t="inlineStr">
        <is>
          <t>Notă (1-5)</t>
        </is>
      </c>
      <c r="E5" s="21" t="inlineStr">
        <is>
          <t>Câte recenzii</t>
        </is>
      </c>
      <c r="F5" s="21" t="inlineStr">
        <is>
          <t>Din care 1-2 stele</t>
        </is>
      </c>
      <c r="G5" s="21" t="inlineStr">
        <is>
          <t>Cea mai recentă</t>
        </is>
      </c>
      <c r="H5" s="21" t="inlineStr">
        <is>
          <t>Ce laudă cel mai des</t>
        </is>
      </c>
      <c r="I5" s="21" t="inlineStr">
        <is>
          <t>Ce reclamă cel mai des</t>
        </is>
      </c>
      <c r="J5" s="21" t="inlineStr">
        <is>
          <t>Observații</t>
        </is>
      </c>
      <c r="Z5" s="27" t="inlineStr">
        <is>
          <t>Trustpilot</t>
        </is>
      </c>
    </row>
    <row r="6">
      <c r="A6" s="38" t="inlineStr">
        <is>
          <t>Google</t>
        </is>
      </c>
      <c r="B6" s="38" t="n"/>
      <c r="C6" s="39" t="n"/>
      <c r="D6" s="40" t="n"/>
      <c r="E6" s="41" t="n"/>
      <c r="F6" s="41" t="n"/>
      <c r="G6" s="39" t="n"/>
      <c r="H6" s="38" t="n"/>
      <c r="I6" s="38" t="n"/>
      <c r="J6" s="38" t="n"/>
      <c r="Z6" s="27" t="inlineStr">
        <is>
          <t>Booking</t>
        </is>
      </c>
    </row>
    <row r="7">
      <c r="A7" s="38" t="n"/>
      <c r="B7" s="38" t="n"/>
      <c r="C7" s="39" t="n"/>
      <c r="D7" s="40" t="n"/>
      <c r="E7" s="41" t="n"/>
      <c r="F7" s="41" t="n"/>
      <c r="G7" s="39" t="n"/>
      <c r="H7" s="38" t="n"/>
      <c r="I7" s="38" t="n"/>
      <c r="J7" s="38" t="n"/>
      <c r="Z7" s="27" t="inlineStr">
        <is>
          <t>eMAG</t>
        </is>
      </c>
    </row>
    <row r="8">
      <c r="A8" s="38" t="n"/>
      <c r="B8" s="38" t="n"/>
      <c r="C8" s="39" t="n"/>
      <c r="D8" s="40" t="n"/>
      <c r="E8" s="41" t="n"/>
      <c r="F8" s="41" t="n"/>
      <c r="G8" s="39" t="n"/>
      <c r="H8" s="38" t="n"/>
      <c r="I8" s="38" t="n"/>
      <c r="J8" s="38" t="n"/>
      <c r="Z8" s="27" t="inlineStr">
        <is>
          <t>Recomandări directe</t>
        </is>
      </c>
    </row>
    <row r="9">
      <c r="A9" s="38" t="n"/>
      <c r="B9" s="38" t="n"/>
      <c r="C9" s="39" t="n"/>
      <c r="D9" s="40" t="n"/>
      <c r="E9" s="41" t="n"/>
      <c r="F9" s="41" t="n"/>
      <c r="G9" s="39" t="n"/>
      <c r="H9" s="38" t="n"/>
      <c r="I9" s="38" t="n"/>
      <c r="J9" s="38" t="n"/>
      <c r="Z9" s="27" t="inlineStr">
        <is>
          <t>Altă platformă</t>
        </is>
      </c>
    </row>
    <row r="10">
      <c r="A10" s="38" t="n"/>
      <c r="B10" s="38" t="n"/>
      <c r="C10" s="39" t="n"/>
      <c r="D10" s="40" t="n"/>
      <c r="E10" s="41" t="n"/>
      <c r="F10" s="41" t="n"/>
      <c r="G10" s="39" t="n"/>
      <c r="H10" s="38" t="n"/>
      <c r="I10" s="38" t="n"/>
      <c r="J10" s="38" t="n"/>
    </row>
    <row r="11">
      <c r="A11" s="38" t="n"/>
      <c r="B11" s="38" t="n"/>
      <c r="C11" s="39" t="n"/>
      <c r="D11" s="40" t="n"/>
      <c r="E11" s="41" t="n"/>
      <c r="F11" s="41" t="n"/>
      <c r="G11" s="39" t="n"/>
      <c r="H11" s="38" t="n"/>
      <c r="I11" s="38" t="n"/>
      <c r="J11" s="38" t="n"/>
    </row>
    <row r="12"/>
    <row r="13" ht="20" customHeight="1">
      <c r="A13" s="12" t="inlineStr">
        <is>
          <t>2. PĂREREA SPECIALISTULUI — zece lucruri pe care le poți verifica singur</t>
        </is>
      </c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</row>
    <row r="14" ht="28" customHeight="1">
      <c r="A14" s="21" t="inlineStr">
        <is>
          <t>Ce verifici</t>
        </is>
      </c>
      <c r="B14" s="21" t="inlineStr">
        <is>
          <t>Notă 1-5</t>
        </is>
      </c>
      <c r="C14" s="21" t="inlineStr">
        <is>
          <t>Cine a evaluat</t>
        </is>
      </c>
      <c r="D14" s="21" t="inlineStr">
        <is>
          <t>Cum verifici</t>
        </is>
      </c>
      <c r="E14" s="21" t="inlineStr">
        <is>
          <t>Ce ai observat concret</t>
        </is>
      </c>
      <c r="F14" s="42" t="n"/>
      <c r="G14" s="43" t="n"/>
      <c r="H14" s="21" t="inlineStr">
        <is>
          <t>Ce s-ar putea face</t>
        </is>
      </c>
      <c r="I14" s="42" t="n"/>
      <c r="J14" s="43" t="n"/>
    </row>
    <row r="15" ht="34" customHeight="1">
      <c r="A15" s="44" t="inlineStr">
        <is>
          <t>Se înțelege în 10 secunde ce vinde?</t>
        </is>
      </c>
      <c r="B15" s="45" t="n"/>
      <c r="C15" s="46" t="n"/>
      <c r="D15" s="47" t="inlineStr">
        <is>
          <t>Intră pe site ca un client care nu știe nimic. Dacă nu pricepi în 10 secunde, nici el nu pricepe.</t>
        </is>
      </c>
      <c r="E15" s="38" t="n"/>
      <c r="H15" s="38" t="n"/>
    </row>
    <row r="16" ht="34" customHeight="1">
      <c r="A16" s="44" t="inlineStr">
        <is>
          <t>Cât de ușor e de găsit online?</t>
        </is>
      </c>
      <c r="B16" s="45" t="n"/>
      <c r="C16" s="46" t="n"/>
      <c r="D16" s="47" t="inlineStr">
        <is>
          <t>Caută pe Google ce vinde + orașul. Apare? Pe ce poziție? Are fișă Google Business completă?</t>
        </is>
      </c>
      <c r="E16" s="38" t="n"/>
      <c r="H16" s="38" t="n"/>
    </row>
    <row r="17" ht="34" customHeight="1">
      <c r="A17" s="44" t="inlineStr">
        <is>
          <t>Cât de repede răspunde la o cerere?</t>
        </is>
      </c>
      <c r="B17" s="45" t="n"/>
      <c r="C17" s="46" t="n"/>
      <c r="D17" s="47" t="inlineStr">
        <is>
          <t>Trimite o cerere reală prin formular sau sună. Cronometrează. Sub o oră e bine, peste o zi e o problemă.</t>
        </is>
      </c>
      <c r="E17" s="38" t="n"/>
      <c r="H17" s="38" t="n"/>
    </row>
    <row r="18" ht="34" customHeight="1">
      <c r="A18" s="44" t="inlineStr">
        <is>
          <t>Prima impresie la contact</t>
        </is>
      </c>
      <c r="B18" s="45" t="n"/>
      <c r="C18" s="46" t="n"/>
      <c r="D18" s="47" t="inlineStr">
        <is>
          <t>Cum răspunde la telefon, cum arată magazinul sau biroul, cum arată oferta scrisă.</t>
        </is>
      </c>
      <c r="E18" s="38" t="n"/>
      <c r="H18" s="38" t="n"/>
    </row>
    <row r="19" ht="34" customHeight="1">
      <c r="A19" s="44" t="inlineStr">
        <is>
          <t>Prețul, față de ce ai văzut la concurenți</t>
        </is>
      </c>
      <c r="B19" s="45" t="n"/>
      <c r="C19" s="46" t="n"/>
      <c r="D19" s="47" t="inlineStr">
        <is>
          <t>Nu „scump/ieftin”, ci: prețul e justificat de ceva vizibil?</t>
        </is>
      </c>
      <c r="E19" s="38" t="n"/>
      <c r="H19" s="38" t="n"/>
    </row>
    <row r="20" ht="34" customHeight="1">
      <c r="A20" s="44" t="inlineStr">
        <is>
          <t>Livrează consecvent ce promite?</t>
        </is>
      </c>
      <c r="B20" s="45" t="n"/>
      <c r="C20" s="46" t="n"/>
      <c r="D20" s="47" t="inlineStr">
        <is>
          <t>Din recenzii și din ce spun clienții: se întâmplă la fel de fiecare dată?</t>
        </is>
      </c>
      <c r="E20" s="38" t="n"/>
      <c r="H20" s="38" t="n"/>
    </row>
    <row r="21" ht="34" customHeight="1">
      <c r="A21" s="44" t="inlineStr">
        <is>
          <t>Cât de ușor e să reclami ceva?</t>
        </is>
      </c>
      <c r="B21" s="45" t="n"/>
      <c r="C21" s="46" t="n"/>
      <c r="D21" s="47" t="inlineStr">
        <is>
          <t>Există un om, un număr, un proces? Sau reclamația se pierde?</t>
        </is>
      </c>
      <c r="E21" s="38" t="n"/>
      <c r="H21" s="38" t="n"/>
    </row>
    <row r="22" ht="34" customHeight="1">
      <c r="A22" s="44" t="inlineStr">
        <is>
          <t>Cu ce se diferențiază real?</t>
        </is>
      </c>
      <c r="B22" s="45" t="n"/>
      <c r="C22" s="46" t="n"/>
      <c r="D22" s="47" t="inlineStr">
        <is>
          <t>Un lucru pe care concurenții nu îl au. „Calitate” și „seriozitate” nu sunt răspunsuri.</t>
        </is>
      </c>
      <c r="E22" s="38" t="n"/>
      <c r="H22" s="38" t="n"/>
    </row>
    <row r="23" ht="34" customHeight="1">
      <c r="A23" s="44" t="inlineStr">
        <is>
          <t>Ce se aude despre ei în piață?</t>
        </is>
      </c>
      <c r="B23" s="45" t="n"/>
      <c r="C23" s="46" t="n"/>
      <c r="D23" s="47" t="inlineStr">
        <is>
          <t>Ce spun furnizorii, partenerii, foștii angajați. Informal, dar util.</t>
        </is>
      </c>
      <c r="E23" s="38" t="n"/>
      <c r="H23" s="38" t="n"/>
    </row>
    <row r="24" ht="34" customHeight="1">
      <c r="A24" s="44" t="inlineStr">
        <is>
          <t>Tu, ca specialist, ai recomanda-o unui prieten?</t>
        </is>
      </c>
      <c r="B24" s="45" t="n"/>
      <c r="C24" s="46" t="n"/>
      <c r="D24" s="47" t="inlineStr">
        <is>
          <t>Aceeași întrebare ca la NPS, pusă ție. 1 = în niciun caz, 5 = fără ezitare.</t>
        </is>
      </c>
      <c r="E24" s="38" t="n"/>
      <c r="H24" s="38" t="n"/>
    </row>
    <row r="25"/>
    <row r="26" ht="20" customHeight="1">
      <c r="A26" s="12" t="inlineStr">
        <is>
          <t>3. SCORUL DE PERCEPȚIE — cât de bine e văzută firma, fără să întrebi clienții</t>
        </is>
      </c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</row>
    <row r="27" ht="20" customHeight="1">
      <c r="A27" s="9" t="inlineStr">
        <is>
          <t>Nota publică (medie ponderată)</t>
        </is>
      </c>
      <c r="B27" s="48">
        <f>IFERROR(SUMPRODUCT(('13_CE_CRED_OAMENII'!$D$6:$D$11&lt;&gt;"")*('13_CE_CRED_OAMENII'!$E$6:$E$11&lt;&gt;"")*'13_CE_CRED_OAMENII'!$D$6:$D$11*'13_CE_CRED_OAMENII'!$E$6:$E$11)/SUMPRODUCT(('13_CE_CRED_OAMENII'!$D$6:$D$11&lt;&gt;"")*('13_CE_CRED_OAMENII'!$E$6:$E$11&lt;&gt;"")*'13_CE_CRED_OAMENII'!$E$6:$E$11),"")</f>
        <v/>
      </c>
      <c r="D27" s="11" t="inlineStr">
        <is>
          <t>Media notelor de pe platforme, ponderată cu numărul de recenzii.</t>
        </is>
      </c>
    </row>
    <row r="28" ht="20" customHeight="1">
      <c r="A28" s="9" t="inlineStr">
        <is>
          <t>Total recenzii publice</t>
        </is>
      </c>
      <c r="B28" s="49">
        <f>SUMPRODUCT(('13_CE_CRED_OAMENII'!$D$6:$D$11&lt;&gt;"")*'13_CE_CRED_OAMENII'!$E$6:$E$11)</f>
        <v/>
      </c>
      <c r="D28" s="11" t="inlineStr">
        <is>
          <t>Sub 20 de recenzii, nota publică e orientativă.</t>
        </is>
      </c>
    </row>
    <row r="29" ht="20" customHeight="1">
      <c r="A29" s="9" t="inlineStr">
        <is>
          <t>Scor din recenzii (0-100)</t>
        </is>
      </c>
      <c r="B29" s="50">
        <f>IF(IFERROR(SUMPRODUCT(('13_CE_CRED_OAMENII'!$D$6:$D$11&lt;&gt;"")*('13_CE_CRED_OAMENII'!$E$6:$E$11&lt;&gt;"")*'13_CE_CRED_OAMENII'!$D$6:$D$11*'13_CE_CRED_OAMENII'!$E$6:$E$11)/SUMPRODUCT(('13_CE_CRED_OAMENII'!$D$6:$D$11&lt;&gt;"")*('13_CE_CRED_OAMENII'!$E$6:$E$11&lt;&gt;"")*'13_CE_CRED_OAMENII'!$E$6:$E$11),"")="","",(IFERROR(SUMPRODUCT(('13_CE_CRED_OAMENII'!$D$6:$D$11&lt;&gt;"")*('13_CE_CRED_OAMENII'!$E$6:$E$11&lt;&gt;"")*'13_CE_CRED_OAMENII'!$D$6:$D$11*'13_CE_CRED_OAMENII'!$E$6:$E$11)/SUMPRODUCT(('13_CE_CRED_OAMENII'!$D$6:$D$11&lt;&gt;"")*('13_CE_CRED_OAMENII'!$E$6:$E$11&lt;&gt;"")*'13_CE_CRED_OAMENII'!$E$6:$E$11),"")-1)/4*100)</f>
        <v/>
      </c>
      <c r="D29" s="11" t="inlineStr">
        <is>
          <t>Nota publică adusă pe scara 0-100, ca să se poată compara cu restul.</t>
        </is>
      </c>
    </row>
    <row r="30" ht="20" customHeight="1">
      <c r="A30" s="9" t="inlineStr">
        <is>
          <t>Scor specialist (0-100)</t>
        </is>
      </c>
      <c r="B30" s="50">
        <f>IF(IFERROR(AVERAGE('13_CE_CRED_OAMENII'!$B$15:$B$24),"")="","",(IFERROR(AVERAGE('13_CE_CRED_OAMENII'!$B$15:$B$24),"")-1)/4*100)</f>
        <v/>
      </c>
      <c r="D30" s="11" t="inlineStr">
        <is>
          <t>Media celor zece note de mai sus, adusă pe scara 0-100.</t>
        </is>
      </c>
    </row>
    <row r="31" ht="20" customHeight="1">
      <c r="A31" s="51" t="inlineStr">
        <is>
          <t>SCOR DE PERCEPȚIE</t>
        </is>
      </c>
      <c r="B31" s="52">
        <f>IF(AND('13_CE_CRED_OAMENII'!$B$29="",'13_CE_CRED_OAMENII'!$B$30=""),"",IF('13_CE_CRED_OAMENII'!$B$29="",'13_CE_CRED_OAMENII'!$B$30,IF('13_CE_CRED_OAMENII'!$B$30="",'13_CE_CRED_OAMENII'!$B$29,('13_CE_CRED_OAMENII'!$B$29+'13_CE_CRED_OAMENII'!$B$30)/2)))</f>
        <v/>
      </c>
      <c r="D31" s="11" t="inlineStr">
        <is>
          <t>Media celor două de mai sus. NU este NPS — este ce se poate ști fără să întrebi clienții.</t>
        </is>
      </c>
    </row>
    <row r="32" ht="20" customHeight="1">
      <c r="A32" s="9" t="inlineStr">
        <is>
          <t>Cât te poți baza pe el</t>
        </is>
      </c>
      <c r="B32" s="53">
        <f>IF(AND('13_CE_CRED_OAMENII'!$B$28=0,COUNT('13_CE_CRED_OAMENII'!$B$15:$B$24)=0),"deloc — nu e completat nimic",IF('13_CE_CRED_OAMENII'!$B$28&gt;=20,IF(COUNT('13_CE_CRED_OAMENII'!$B$15:$B$24)&gt;=8,"bine","parțial — fă și evaluarea de specialist"),IF(COUNT('13_CE_CRED_OAMENII'!$B$15:$B$24)&gt;=8,"parțial — prea puține recenzii publice","slab — completează mai mult")))</f>
        <v/>
      </c>
      <c r="D32" s="11" t="inlineStr">
        <is>
          <t>Depinde de câte recenzii sunt și dacă ai făcut evaluarea.</t>
        </is>
      </c>
    </row>
    <row r="33" ht="32" customHeight="1">
      <c r="A33" s="9" t="inlineStr">
        <is>
          <t>Ce spune diferența</t>
        </is>
      </c>
      <c r="B33" s="54">
        <f>IF(AND('13_CE_CRED_OAMENII'!$B$29="",'13_CE_CRED_OAMENII'!$B$30=""),"Nu e completată nicio sursă.",IF(AND('13_CE_CRED_OAMENII'!$B$35&gt;=5,'13_CE_CRED_OAMENII'!$B$34&lt;&gt;"",'13_CE_CRED_OAMENII'!$B$31&lt;&gt;"",'13_CE_CRED_OAMENII'!$B$31-(IF('13_CE_CRED_OAMENII'!$B$34="","",('13_CE_CRED_OAMENII'!$B$34+100)/2))&gt;=20),"Publicul larg vede firma mai bine decât o văd clienții ei. Diferența se plătește în reveniri: oamenii cumpără o dată și nu mai revin.",IF(AND('13_CE_CRED_OAMENII'!$B$35&gt;=5,'13_CE_CRED_OAMENII'!$B$34&lt;&gt;"",'13_CE_CRED_OAMENII'!$B$31&lt;&gt;"",(IF('13_CE_CRED_OAMENII'!$B$34="","",('13_CE_CRED_OAMENII'!$B$34+100)/2))-'13_CE_CRED_OAMENII'!$B$31&gt;=20),"Clienții existenți sunt mai mulțumiți decât pare din afară. E o problemă de imagine, nu de livrare — cere-le o recenzie celor mulțumiți.",IF(AND('13_CE_CRED_OAMENII'!$B$29&lt;&gt;"",'13_CE_CRED_OAMENII'!$B$30&lt;&gt;"",'13_CE_CRED_OAMENII'!$B$29-'13_CE_CRED_OAMENII'!$B$30&gt;=20),"Arată mai bine pe internet decât la o verificare atentă. De obicei: recenzii vechi, puține sau cerute selectiv.",IF(AND('13_CE_CRED_OAMENII'!$B$29&lt;&gt;"",'13_CE_CRED_OAMENII'!$B$30&lt;&gt;"",'13_CE_CRED_OAMENII'!$B$30-'13_CE_CRED_OAMENII'!$B$29&gt;=20),"Firma e mai bună decât se vede. Problema e de vizibilitate, nu de calitate — și e mult mai ieftin de rezolvat.","Sursele spun cam același lucru. Te poți baza pe concluzie.")))))</f>
        <v/>
      </c>
      <c r="C33" s="43" t="n"/>
      <c r="D33" s="11" t="inlineStr">
        <is>
          <t>Cele trei surse măsoară lucruri diferite. Când nu sunt de acord, dezacordul e informația.</t>
        </is>
      </c>
    </row>
    <row r="34" ht="20" customHeight="1">
      <c r="A34" s="9" t="inlineStr">
        <is>
          <t>NPS real (dacă există)</t>
        </is>
      </c>
      <c r="B34" s="50">
        <f>IFERROR(((SUMPRODUCT(('11_CLIENTI'!$A$5:$A$124&lt;&gt;"")*('11_CLIENTI'!$D$5:$D$124&gt;=9)))-(SUMPRODUCT(('11_CLIENTI'!$A$5:$A$124&lt;&gt;"")*('11_CLIENTI'!$D$5:$D$124&lt;&gt;"")*('11_CLIENTI'!$D$5:$D$124&lt;=6))))/(SUMPRODUCT(('11_CLIENTI'!$A$5:$A$124&lt;&gt;"")*('11_CLIENTI'!$D$5:$D$124&lt;&gt;"")))*100,"")</f>
        <v/>
      </c>
      <c r="D34" s="11" t="inlineStr">
        <is>
          <t>Din clienții întrebați efectiv. Afișat separat, niciodată amestecat cu scorul de percepție.</t>
        </is>
      </c>
    </row>
    <row r="35" ht="20" customHeight="1">
      <c r="A35" s="9" t="inlineStr">
        <is>
          <t>Clienți întrebați</t>
        </is>
      </c>
      <c r="B35" s="49">
        <f>SUMPRODUCT(('11_CLIENTI'!$A$5:$A$124&lt;&gt;"")*('11_CLIENTI'!$D$5:$D$124&lt;&gt;""))</f>
        <v/>
      </c>
      <c r="D35" s="11" t="inlineStr">
        <is>
          <t>Câți clienți au dat o notă.</t>
        </is>
      </c>
    </row>
    <row r="36"/>
    <row r="37" ht="20" customHeight="1">
      <c r="A37" s="12" t="inlineStr">
        <is>
          <t>4. DRUMUL CĂTRE NPS — unde e firma acum și ce urmează</t>
        </is>
      </c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</row>
    <row r="38">
      <c r="A38" s="28" t="inlineStr">
        <is>
          <t>Nivel</t>
        </is>
      </c>
      <c r="B38" s="28" t="inlineStr">
        <is>
          <t>Ai?</t>
        </is>
      </c>
      <c r="C38" s="28" t="inlineStr">
        <is>
          <t>Cât costă</t>
        </is>
      </c>
      <c r="D38" s="28" t="inlineStr">
        <is>
          <t>Ce îți dă</t>
        </is>
      </c>
    </row>
    <row r="39" ht="30" customHeight="1">
      <c r="A39" s="55" t="inlineStr">
        <is>
          <t>Nivelul 1 — ce se vede public</t>
        </is>
      </c>
      <c r="B39" s="56">
        <f>IF('13_CE_CRED_OAMENII'!$B$28&gt;0,"Da","Nu încă")</f>
        <v/>
      </c>
      <c r="C39" s="57" t="inlineStr">
        <is>
          <t>0 lei, 30 de minute</t>
        </is>
      </c>
      <c r="D39" s="58" t="inlineStr">
        <is>
          <t>Nota și recenziile de pe Google. Nu întrebi pe nimeni, dar vezi ce văd clienții noi înainte să sune.</t>
        </is>
      </c>
    </row>
    <row r="40" ht="30" customHeight="1">
      <c r="A40" s="55" t="inlineStr">
        <is>
          <t>Nivelul 2 — părerea specialistului</t>
        </is>
      </c>
      <c r="B40" s="56">
        <f>IF(COUNT('13_CE_CRED_OAMENII'!$B$15:$B$24)&gt;=5,"Da","Nu încă")</f>
        <v/>
      </c>
      <c r="C40" s="57" t="inlineStr">
        <is>
          <t>0 lei, 1-2 ore</t>
        </is>
      </c>
      <c r="D40" s="58" t="inlineStr">
        <is>
          <t>Cele zece verificări de mai sus. Structurate, deci comparabile între firme și în timp.</t>
        </is>
      </c>
    </row>
    <row r="41" ht="30" customHeight="1">
      <c r="A41" s="55" t="inlineStr">
        <is>
          <t>Nivelul 3 — NPS real</t>
        </is>
      </c>
      <c r="B41" s="56">
        <f>IF(SUMPRODUCT(('11_CLIENTI'!$A$5:$A$124&lt;&gt;"")*('11_CLIENTI'!$D$5:$D$124&lt;&gt;""))&gt;0,"Da","Nu încă")</f>
        <v/>
      </c>
      <c r="C41" s="57" t="inlineStr">
        <is>
          <t>0 lei, 2 ore de telefoane</t>
        </is>
      </c>
      <c r="D41" s="58" t="inlineStr">
        <is>
          <t>O singură întrebare, pusă clienților: „de la 0 la 10, cât de probabil ne-ați recomanda?”. Singura care îți spune ce cred clienții tăi, nu ce cred străinii de pe internet.</t>
        </is>
      </c>
    </row>
    <row r="42"/>
    <row r="43" ht="42" customHeight="1">
      <c r="A43" s="9" t="inlineStr">
        <is>
          <t>Următorul pas</t>
        </is>
      </c>
      <c r="B43" s="59">
        <f>IF('13_CE_CRED_OAMENII'!$B$28=0,"Caută firma pe Google și notează nota și numărul de recenzii, în tabelul de sus. Durează cinci minute și îți arată ce vede un client nou.",IF(COUNT('13_CE_CRED_OAMENII'!$B$15:$B$24)&lt;5,"Fă evaluarea de specialist: cele zece verificări de mai sus. Trimite o cerere reală prin formular și cronometrează răspunsul — de obicei acolo apare prima surpriză.",IF(SUMPRODUCT(('11_CLIENTI'!$A$5:$A$124&lt;&gt;"")*('11_CLIENTI'!$D$5:$D$124&lt;&gt;""))=0,"Ai tot ce se putea afla fără să întrebi clienții. Mai departe nu se poate ghici: sună zece clienți și pune-le o singură întrebare, de la 0 la 10. Două ore de telefoane.",IF(SUMPRODUCT(('11_CLIENTI'!$A$5:$A$124&lt;&gt;"")*('11_CLIENTI'!$D$5:$D$124&lt;&gt;""))&lt;10,"Ai început să întrebi clienții. Mai sună câțiva: sub zece răspunsuri, cifra încă nu e concluzivă.","Ai toate cele trei niveluri. Compară-le: dacă nota publică e mult peste NPS, firma arată mai bine pe internet decât e în relația reală — iar asta se vede în reveniri."))))</f>
        <v/>
      </c>
    </row>
  </sheetData>
  <mergeCells count="37">
    <mergeCell ref="D28:J28"/>
    <mergeCell ref="E19:G19"/>
    <mergeCell ref="D39:J39"/>
    <mergeCell ref="D30:J30"/>
    <mergeCell ref="H17:J17"/>
    <mergeCell ref="D33:J33"/>
    <mergeCell ref="E15:G15"/>
    <mergeCell ref="D29:J29"/>
    <mergeCell ref="D38:J38"/>
    <mergeCell ref="H16:J16"/>
    <mergeCell ref="H22:J22"/>
    <mergeCell ref="H19:J19"/>
    <mergeCell ref="D35:J35"/>
    <mergeCell ref="D34:J34"/>
    <mergeCell ref="E16:G16"/>
    <mergeCell ref="H15:J15"/>
    <mergeCell ref="D31:J31"/>
    <mergeCell ref="H24:J24"/>
    <mergeCell ref="D40:J40"/>
    <mergeCell ref="E22:G22"/>
    <mergeCell ref="H18:J18"/>
    <mergeCell ref="H14:J14"/>
    <mergeCell ref="H23:J23"/>
    <mergeCell ref="E18:G18"/>
    <mergeCell ref="E20:G20"/>
    <mergeCell ref="E21:G21"/>
    <mergeCell ref="D27:J27"/>
    <mergeCell ref="H20:J20"/>
    <mergeCell ref="E24:G24"/>
    <mergeCell ref="D32:J32"/>
    <mergeCell ref="D41:J41"/>
    <mergeCell ref="E14:G14"/>
    <mergeCell ref="B33:C33"/>
    <mergeCell ref="E23:G23"/>
    <mergeCell ref="E17:G17"/>
    <mergeCell ref="B43:J43"/>
    <mergeCell ref="H21:J21"/>
  </mergeCells>
  <conditionalFormatting sqref="B39">
    <cfRule type="cellIs" priority="1" operator="equal" dxfId="2">
      <formula>"Da"</formula>
    </cfRule>
    <cfRule type="cellIs" priority="2" operator="equal" dxfId="3">
      <formula>"Nu încă"</formula>
    </cfRule>
  </conditionalFormatting>
  <conditionalFormatting sqref="B40">
    <cfRule type="cellIs" priority="3" operator="equal" dxfId="2">
      <formula>"Da"</formula>
    </cfRule>
    <cfRule type="cellIs" priority="4" operator="equal" dxfId="3">
      <formula>"Nu încă"</formula>
    </cfRule>
  </conditionalFormatting>
  <conditionalFormatting sqref="B41">
    <cfRule type="cellIs" priority="5" operator="equal" dxfId="2">
      <formula>"Da"</formula>
    </cfRule>
    <cfRule type="cellIs" priority="6" operator="equal" dxfId="3">
      <formula>"Nu încă"</formula>
    </cfRule>
  </conditionalFormatting>
  <dataValidations count="1">
    <dataValidation sqref="A6:A11" showDropDown="0" showInputMessage="0" showErrorMessage="0" allowBlank="1" errorTitle="Valoare neacceptată" error="Valoare în afara listei permise. Alege din listă sau completează lista de valori." type="list">
      <formula1>'13_CE_CRED_OAMENII'!$Z$2:$Z$9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3" customWidth="1" min="4" max="4"/>
    <col width="58" customWidth="1" min="5" max="5"/>
  </cols>
  <sheetData>
    <row r="1" ht="26" customHeight="1">
      <c r="A1" s="1" t="inlineStr">
        <is>
          <t>20 — REZULTATE</t>
        </is>
      </c>
    </row>
    <row r="2" ht="16" customHeight="1">
      <c r="A2" s="2" t="inlineStr">
        <is>
          <t>Se completează singură. Nu scrie nimic aici.</t>
        </is>
      </c>
    </row>
    <row r="3"/>
    <row r="4" ht="20" customHeight="1">
      <c r="A4" s="12" t="inlineStr">
        <is>
          <t>CIFRELE</t>
        </is>
      </c>
      <c r="B4" s="13" t="n"/>
      <c r="C4" s="13" t="n"/>
      <c r="D4" s="13" t="n"/>
      <c r="E4" s="13" t="n"/>
    </row>
    <row r="5" ht="24" customHeight="1">
      <c r="A5" s="21" t="inlineStr">
        <is>
          <t>Indicator</t>
        </is>
      </c>
      <c r="B5" s="21" t="inlineStr">
        <is>
          <t>Perioada asta</t>
        </is>
      </c>
      <c r="C5" s="21" t="inlineStr">
        <is>
          <t>Perioada comparată</t>
        </is>
      </c>
      <c r="D5" s="21" t="inlineStr">
        <is>
          <t>Diferență</t>
        </is>
      </c>
      <c r="E5" s="21" t="inlineStr">
        <is>
          <t>Ce înseamnă</t>
        </is>
      </c>
    </row>
    <row r="6" ht="22" customHeight="1">
      <c r="A6" s="9" t="inlineStr">
        <is>
          <t>Încasat (fără TVA)</t>
        </is>
      </c>
      <c r="B6" s="60">
        <f>SUMIFS('10_VANZARI'!$E$5:$E$604,'10_VANZARI'!$A$5:$A$604,"&gt;="&amp;'02_SETARI'!$B$5,'10_VANZARI'!$A$5:$A$604,"&lt;="&amp;'02_SETARI'!$B$6)</f>
        <v/>
      </c>
      <c r="C6" s="23">
        <f>SUMIFS('10_VANZARI'!$E$5:$E$604,'10_VANZARI'!$A$5:$A$604,"&gt;="&amp;'02_SETARI'!$B$7,'10_VANZARI'!$A$5:$A$604,"&lt;="&amp;'02_SETARI'!$B$8)</f>
        <v/>
      </c>
      <c r="D6" s="23">
        <f>IFERROR(IF(OR(B6="",C6="",C6="—"),"",B6-C6),"")</f>
        <v/>
      </c>
      <c r="E6" s="61" t="inlineStr">
        <is>
          <t>Câți bani au intrat din vânzări în perioadă.</t>
        </is>
      </c>
    </row>
    <row r="7" ht="22" customHeight="1">
      <c r="A7" s="9" t="inlineStr">
        <is>
          <t>Profit brut</t>
        </is>
      </c>
      <c r="B7" s="60">
        <f>SUMIFS('10_VANZARI'!$G$5:$G$604,'10_VANZARI'!$A$5:$A$604,"&gt;="&amp;'02_SETARI'!$B$5,'10_VANZARI'!$A$5:$A$604,"&lt;="&amp;'02_SETARI'!$B$6)</f>
        <v/>
      </c>
      <c r="C7" s="23">
        <f>SUMIFS('10_VANZARI'!$G$5:$G$604,'10_VANZARI'!$A$5:$A$604,"&gt;="&amp;'02_SETARI'!$B$7,'10_VANZARI'!$A$5:$A$604,"&lt;="&amp;'02_SETARI'!$B$8)</f>
        <v/>
      </c>
      <c r="D7" s="23">
        <f>IFERROR(IF(OR(B7="",C7="",C7="—"),"",B7-C7),"")</f>
        <v/>
      </c>
      <c r="E7" s="61" t="inlineStr">
        <is>
          <t>Ce rămâne după costurile directe, înainte de chirie și salarii.</t>
        </is>
      </c>
    </row>
    <row r="8" ht="22" customHeight="1">
      <c r="A8" s="9" t="inlineStr">
        <is>
          <t>Marjă</t>
        </is>
      </c>
      <c r="B8" s="62">
        <f>IFERROR(SUMIFS('10_VANZARI'!$G$5:$G$604,'10_VANZARI'!$A$5:$A$604,"&gt;="&amp;'02_SETARI'!$B$5,'10_VANZARI'!$A$5:$A$604,"&lt;="&amp;'02_SETARI'!$B$6)/SUMIFS('10_VANZARI'!$E$5:$E$604,'10_VANZARI'!$A$5:$A$604,"&gt;="&amp;'02_SETARI'!$B$5,'10_VANZARI'!$A$5:$A$604,"&lt;="&amp;'02_SETARI'!$B$6),0)</f>
        <v/>
      </c>
      <c r="C8" s="24">
        <f>IFERROR(SUMIFS('10_VANZARI'!$G$5:$G$604,'10_VANZARI'!$A$5:$A$604,"&gt;="&amp;'02_SETARI'!$B$7,'10_VANZARI'!$A$5:$A$604,"&lt;="&amp;'02_SETARI'!$B$8)/SUMIFS('10_VANZARI'!$E$5:$E$604,'10_VANZARI'!$A$5:$A$604,"&gt;="&amp;'02_SETARI'!$B$7,'10_VANZARI'!$A$5:$A$604,"&lt;="&amp;'02_SETARI'!$B$8),0)</f>
        <v/>
      </c>
      <c r="D8" s="24">
        <f>IFERROR(IF(OR(B8="",C8="",C8="—"),"",B8-C8),"")</f>
        <v/>
      </c>
      <c r="E8" s="61" t="inlineStr">
        <is>
          <t>Din fiecare 100 de lei încasați, atâția rămân ca profit brut.</t>
        </is>
      </c>
    </row>
    <row r="9" ht="22" customHeight="1">
      <c r="A9" s="9" t="inlineStr">
        <is>
          <t>Clienți care au cumpărat</t>
        </is>
      </c>
      <c r="B9" s="60">
        <f>SUMPRODUCT(('11_CLIENTI'!$A$5:$A$124&lt;&gt;"")*(SUMIFS('10_VANZARI'!$E$5:$E$604,'10_VANZARI'!$B$5:$B$604,'11_CLIENTI'!$A$5:$A$124,'10_VANZARI'!$A$5:$A$604,"&gt;="&amp;'02_SETARI'!$B$5,'10_VANZARI'!$A$5:$A$604,"&lt;="&amp;'02_SETARI'!$B$6)&lt;&gt;0))</f>
        <v/>
      </c>
      <c r="C9" s="23">
        <f>SUMPRODUCT(('11_CLIENTI'!$A$5:$A$124&lt;&gt;"")*(SUMIFS('10_VANZARI'!$E$5:$E$604,'10_VANZARI'!$B$5:$B$604,'11_CLIENTI'!$A$5:$A$124,'10_VANZARI'!$A$5:$A$604,"&gt;="&amp;'02_SETARI'!$B$7,'10_VANZARI'!$A$5:$A$604,"&lt;="&amp;'02_SETARI'!$B$8)&lt;&gt;0))</f>
        <v/>
      </c>
      <c r="D9" s="23">
        <f>IFERROR(IF(OR(B9="",C9="",C9="—"),"",B9-C9),"")</f>
        <v/>
      </c>
      <c r="E9" s="61" t="inlineStr">
        <is>
          <t>Câți clienți diferiți au cumpărat măcar o dată.</t>
        </is>
      </c>
    </row>
    <row r="10" ht="22" customHeight="1">
      <c r="A10" s="9" t="inlineStr">
        <is>
          <t>Încasat mediu pe client</t>
        </is>
      </c>
      <c r="B10" s="60">
        <f>IFERROR(SUMIFS('10_VANZARI'!$E$5:$E$604,'10_VANZARI'!$A$5:$A$604,"&gt;="&amp;'02_SETARI'!$B$5,'10_VANZARI'!$A$5:$A$604,"&lt;="&amp;'02_SETARI'!$B$6)/(SUMPRODUCT(('11_CLIENTI'!$A$5:$A$124&lt;&gt;"")*(SUMIFS('10_VANZARI'!$E$5:$E$604,'10_VANZARI'!$B$5:$B$604,'11_CLIENTI'!$A$5:$A$124,'10_VANZARI'!$A$5:$A$604,"&gt;="&amp;'02_SETARI'!$B$5,'10_VANZARI'!$A$5:$A$604,"&lt;="&amp;'02_SETARI'!$B$6)&lt;&gt;0))),0)</f>
        <v/>
      </c>
      <c r="C10" s="23">
        <f>IFERROR(SUMIFS('10_VANZARI'!$E$5:$E$604,'10_VANZARI'!$A$5:$A$604,"&gt;="&amp;'02_SETARI'!$B$7,'10_VANZARI'!$A$5:$A$604,"&lt;="&amp;'02_SETARI'!$B$8)/(SUMPRODUCT(('11_CLIENTI'!$A$5:$A$124&lt;&gt;"")*(SUMIFS('10_VANZARI'!$E$5:$E$604,'10_VANZARI'!$B$5:$B$604,'11_CLIENTI'!$A$5:$A$124,'10_VANZARI'!$A$5:$A$604,"&gt;="&amp;'02_SETARI'!$B$7,'10_VANZARI'!$A$5:$A$604,"&lt;="&amp;'02_SETARI'!$B$8)&lt;&gt;0))),0)</f>
        <v/>
      </c>
      <c r="D10" s="23">
        <f>IFERROR(IF(OR(B10="",C10="",C10="—"),"",B10-C10),"")</f>
        <v/>
      </c>
      <c r="E10" s="61" t="inlineStr">
        <is>
          <t>Dacă scade, clienții cumpără mai puțin, chiar dacă sunt la fel de mulți.</t>
        </is>
      </c>
    </row>
    <row r="11" ht="22" customHeight="1">
      <c r="A11" s="9" t="inlineStr">
        <is>
          <t>Număr de facturi</t>
        </is>
      </c>
      <c r="B11" s="60">
        <f>SUMPRODUCT(('10_VANZARI'!$A$5:$A$604&gt;='02_SETARI'!$B$5)*('10_VANZARI'!$A$5:$A$604&lt;='02_SETARI'!$B$6)*('10_VANZARI'!$E$5:$E$604&lt;&gt;""))</f>
        <v/>
      </c>
      <c r="C11" s="23">
        <f>SUMPRODUCT(('10_VANZARI'!$A$5:$A$604&gt;='02_SETARI'!$B$7)*('10_VANZARI'!$A$5:$A$604&lt;='02_SETARI'!$B$8)*('10_VANZARI'!$E$5:$E$604&lt;&gt;""))</f>
        <v/>
      </c>
      <c r="D11" s="23">
        <f>IFERROR(IF(OR(B11="",C11="",C11="—"),"",B11-C11),"")</f>
        <v/>
      </c>
      <c r="E11" s="61" t="inlineStr">
        <is>
          <t>Cât de des cumpără clienții.</t>
        </is>
      </c>
    </row>
    <row r="12" ht="22" customHeight="1">
      <c r="A12" s="9" t="inlineStr">
        <is>
          <t>Valoare medie pe factură</t>
        </is>
      </c>
      <c r="B12" s="60">
        <f>IFERROR(SUMIFS('10_VANZARI'!$E$5:$E$604,'10_VANZARI'!$A$5:$A$604,"&gt;="&amp;'02_SETARI'!$B$5,'10_VANZARI'!$A$5:$A$604,"&lt;="&amp;'02_SETARI'!$B$6)/(SUMPRODUCT(('10_VANZARI'!$A$5:$A$604&gt;='02_SETARI'!$B$5)*('10_VANZARI'!$A$5:$A$604&lt;='02_SETARI'!$B$6)*('10_VANZARI'!$E$5:$E$604&lt;&gt;""))),0)</f>
        <v/>
      </c>
      <c r="C12" s="23">
        <f>IFERROR(SUMIFS('10_VANZARI'!$E$5:$E$604,'10_VANZARI'!$A$5:$A$604,"&gt;="&amp;'02_SETARI'!$B$7,'10_VANZARI'!$A$5:$A$604,"&lt;="&amp;'02_SETARI'!$B$8)/(SUMPRODUCT(('10_VANZARI'!$A$5:$A$604&gt;='02_SETARI'!$B$7)*('10_VANZARI'!$A$5:$A$604&lt;='02_SETARI'!$B$8)*('10_VANZARI'!$E$5:$E$604&lt;&gt;""))),0)</f>
        <v/>
      </c>
      <c r="D12" s="23">
        <f>IFERROR(IF(OR(B12="",C12="",C12="—"),"",B12-C12),"")</f>
        <v/>
      </c>
      <c r="E12" s="61" t="inlineStr">
        <is>
          <t>Dacă scade, se vinde mai mărunt.</t>
        </is>
      </c>
    </row>
    <row r="13" ht="22" customHeight="1">
      <c r="A13" s="9" t="inlineStr">
        <is>
          <t>Cel mai mare client</t>
        </is>
      </c>
      <c r="B13" s="62">
        <f>IFERROR(SUMPRODUCT(MAX(('11_CLIENTI'!$A$5:$A$124&lt;&gt;"")*SUMIFS('10_VANZARI'!$E$5:$E$604,'10_VANZARI'!$B$5:$B$604,'11_CLIENTI'!$A$5:$A$124,'10_VANZARI'!$A$5:$A$604,"&gt;="&amp;'02_SETARI'!$B$5,'10_VANZARI'!$A$5:$A$604,"&lt;="&amp;'02_SETARI'!$B$6)))/SUMIFS('10_VANZARI'!$E$5:$E$604,'10_VANZARI'!$A$5:$A$604,"&gt;="&amp;'02_SETARI'!$B$5,'10_VANZARI'!$A$5:$A$604,"&lt;="&amp;'02_SETARI'!$B$6),0)</f>
        <v/>
      </c>
      <c r="C13" s="24">
        <f>IFERROR(SUMPRODUCT(MAX(('11_CLIENTI'!$A$5:$A$124&lt;&gt;"")*SUMIFS('10_VANZARI'!$E$5:$E$604,'10_VANZARI'!$B$5:$B$604,'11_CLIENTI'!$A$5:$A$124,'10_VANZARI'!$A$5:$A$604,"&gt;="&amp;'02_SETARI'!$B$7,'10_VANZARI'!$A$5:$A$604,"&lt;="&amp;'02_SETARI'!$B$8)))/SUMIFS('10_VANZARI'!$E$5:$E$604,'10_VANZARI'!$A$5:$A$604,"&gt;="&amp;'02_SETARI'!$B$7,'10_VANZARI'!$A$5:$A$604,"&lt;="&amp;'02_SETARI'!$B$8),0)</f>
        <v/>
      </c>
      <c r="D13" s="24">
        <f>IFERROR(IF(OR(B13="",C13="",C13="—"),"",B13-C13),"")</f>
        <v/>
      </c>
      <c r="E13" s="61" t="inlineStr">
        <is>
          <t>Cât din tot venitul vine de la un singur client. Peste 30%, e risc.</t>
        </is>
      </c>
    </row>
    <row r="14" ht="22" customHeight="1">
      <c r="A14" s="9" t="inlineStr">
        <is>
          <t>Nota medie (NPS)</t>
        </is>
      </c>
      <c r="B14" s="63">
        <f>IFERROR(((SUMPRODUCT(('11_CLIENTI'!$A$5:$A$124&lt;&gt;"")*('11_CLIENTI'!$D$5:$D$124&gt;=9)))-(SUMPRODUCT(('11_CLIENTI'!$A$5:$A$124&lt;&gt;"")*('11_CLIENTI'!$D$5:$D$124&lt;&gt;"")*('11_CLIENTI'!$D$5:$D$124&lt;=6))))/(SUMPRODUCT(('11_CLIENTI'!$A$5:$A$124&lt;&gt;"")*('11_CLIENTI'!$D$5:$D$124&lt;&gt;"")))*100,"")</f>
        <v/>
      </c>
      <c r="C14" s="64" t="inlineStr">
        <is>
          <t>—</t>
        </is>
      </c>
      <c r="D14" s="65">
        <f>IFERROR(IF(OR(B14="",C14="",C14="—"),"",B14-C14),"")</f>
        <v/>
      </c>
      <c r="E14" s="61" t="inlineStr">
        <is>
          <t>De la −100 la +100. Peste 30 e bine, peste 50 e foarte bine.</t>
        </is>
      </c>
    </row>
    <row r="15" ht="22" customHeight="1">
      <c r="A15" s="9" t="inlineStr">
        <is>
          <t>Clienți întrebați</t>
        </is>
      </c>
      <c r="B15" s="60">
        <f>SUMPRODUCT(('11_CLIENTI'!$A$5:$A$124&lt;&gt;"")*('11_CLIENTI'!$D$5:$D$124&lt;&gt;""))</f>
        <v/>
      </c>
      <c r="C15" s="49" t="inlineStr">
        <is>
          <t>—</t>
        </is>
      </c>
      <c r="D15" s="23">
        <f>IFERROR(IF(OR(B15="",C15="",C15="—"),"",B15-C15),"")</f>
        <v/>
      </c>
      <c r="E15" s="61" t="inlineStr">
        <is>
          <t>Câți clienți ți-au dat o notă. Sub 10, cifra e doar orientativă.</t>
        </is>
      </c>
    </row>
    <row r="16" ht="22" customHeight="1">
      <c r="A16" s="9" t="inlineStr">
        <is>
          <t>Cât își propunea să vândă</t>
        </is>
      </c>
      <c r="B16" s="60">
        <f>'02_SETARI'!$B$12</f>
        <v/>
      </c>
      <c r="C16" s="49" t="inlineStr">
        <is>
          <t>—</t>
        </is>
      </c>
      <c r="D16" s="23">
        <f>IFERROR(IF(OR(B16="",C16="",C16="—"),"",B16-C16),"")</f>
        <v/>
      </c>
      <c r="E16" s="61" t="inlineStr">
        <is>
          <t>Din 02_SETARI.</t>
        </is>
      </c>
    </row>
    <row r="17" ht="22" customHeight="1">
      <c r="A17" s="9" t="inlineStr">
        <is>
          <t>Cât din obiectiv a atins</t>
        </is>
      </c>
      <c r="B17" s="62">
        <f>IFERROR(SUMIFS('10_VANZARI'!$E$5:$E$604,'10_VANZARI'!$A$5:$A$604,"&gt;="&amp;'02_SETARI'!$B$5,'10_VANZARI'!$A$5:$A$604,"&lt;="&amp;'02_SETARI'!$B$6)/'02_SETARI'!$B$12,"")</f>
        <v/>
      </c>
      <c r="C17" s="66" t="inlineStr">
        <is>
          <t>—</t>
        </is>
      </c>
      <c r="D17" s="24">
        <f>IFERROR(IF(OR(B17="",C17="",C17="—"),"",B17-C17),"")</f>
        <v/>
      </c>
      <c r="E17" s="61" t="inlineStr">
        <is>
          <t>Încasat împărțit la obiectiv.</t>
        </is>
      </c>
    </row>
    <row r="18" ht="22" customHeight="1">
      <c r="A18" s="9" t="inlineStr">
        <is>
          <t>Cât mai lipsește</t>
        </is>
      </c>
      <c r="B18" s="60">
        <f>IF('02_SETARI'!$B$12=0,"",MAX(0,'02_SETARI'!$B$12-SUMIFS('10_VANZARI'!$E$5:$E$604,'10_VANZARI'!$A$5:$A$604,"&gt;="&amp;'02_SETARI'!$B$5,'10_VANZARI'!$A$5:$A$604,"&lt;="&amp;'02_SETARI'!$B$6)))</f>
        <v/>
      </c>
      <c r="C18" s="49" t="inlineStr">
        <is>
          <t>—</t>
        </is>
      </c>
      <c r="D18" s="23">
        <f>IFERROR(IF(OR(B18="",C18="",C18="—"),"",B18-C18),"")</f>
        <v/>
      </c>
      <c r="E18" s="61" t="inlineStr">
        <is>
          <t>Aici începe planul de acțiune.</t>
        </is>
      </c>
    </row>
    <row r="19"/>
    <row r="20" ht="20" customHeight="1">
      <c r="A20" s="12" t="inlineStr">
        <is>
          <t>CE SPUN CIFRELE</t>
        </is>
      </c>
      <c r="B20" s="13" t="n"/>
      <c r="C20" s="13" t="n"/>
      <c r="D20" s="13" t="n"/>
      <c r="E20" s="13" t="n"/>
    </row>
    <row r="21" ht="32" customHeight="1">
      <c r="A21" s="59">
        <f>IF('20_REZULTATE'!$B$6=0,"Nu sunt vânzări în perioada aleasă. Verifică foaia 10_VANZARI și datele din 02_SETARI.","S-au încasat "&amp;FIXED('20_REZULTATE'!$B$6,0)&amp;" "&amp;'02_SETARI'!$B$9&amp;", din care "&amp;FIXED('20_REZULTATE'!$B$7,0)&amp;" profit brut (marjă "&amp;FIXED(('20_REZULTATE'!$B$8)*100,1)&amp;"%"&amp;")."&amp;IF('20_REZULTATE'!$C$6=0,"",IF('20_REZULTATE'!$B$6&gt;='20_REZULTATE'!$C$6," Cu "&amp;FIXED((('20_REZULTATE'!$B$6-'20_REZULTATE'!$C$6)/'20_REZULTATE'!$C$6)*100,1)&amp;"%"&amp;" mai mult decât în perioada comparată."," Cu "&amp;FIXED((('20_REZULTATE'!$C$6-'20_REZULTATE'!$B$6)/'20_REZULTATE'!$C$6)*100,1)&amp;"%"&amp;" mai puțin decât în perioada comparată.")))</f>
        <v/>
      </c>
    </row>
    <row r="22" ht="32" customHeight="1">
      <c r="A22" s="59">
        <f>IF('20_REZULTATE'!$B$6=0,"—",IF('20_REZULTATE'!$B$8&lt;'02_SETARI'!$B$16,"Marja e sub cât e normal în domeniu ("&amp;FIXED(('02_SETARI'!$B$16)*100,1)&amp;"%"&amp;"). Fiecare procent recuperat la preț sau la cost înseamnă "&amp;FIXED('20_REZULTATE'!$B$6*0.01,0)&amp;" "&amp;'02_SETARI'!$B$9&amp;" în plus, fără să vinzi nimic nou.","Marja e peste pragul pe care l-ai pus ("&amp;FIXED(('02_SETARI'!$B$16)*100,1)&amp;"%"&amp;"). Se poate crește volumul fără grijă."))</f>
        <v/>
      </c>
    </row>
    <row r="23" ht="32" customHeight="1">
      <c r="A23" s="59">
        <f>IF('20_REZULTATE'!$B$9=0,"—","Au cumpărat "&amp;FIXED('20_REZULTATE'!$B$9,0)&amp;" clienți, în medie "&amp;FIXED('20_REZULTATE'!$B$10,0)&amp;" "&amp;'02_SETARI'!$B$9&amp;" fiecare. Cel mai mare aduce "&amp;FIXED(('20_REZULTATE'!$B$13)*100,1)&amp;"%"&amp;" din tot."&amp;IF('20_REZULTATE'!$B$13&gt;0.3," Asta e mult: dacă pleacă el, pleacă și profitul anului.",""))</f>
        <v/>
      </c>
    </row>
    <row r="24" ht="32" customHeight="1">
      <c r="A24" s="59">
        <f>IF('20_REZULTATE'!$B$15=0,"Niciun client nu are notă în 11_CLIENTI. Zece telefoane de câte două minute îți spun mai multe decât toate cifrele de mai sus.","Nota medie e "&amp;FIXED('20_REZULTATE'!$B$14,0)&amp;", din "&amp;FIXED('20_REZULTATE'!$B$15,0)&amp;" clienți întrebați."&amp;IF('20_REZULTATE'!$B$15&lt;10," Prea puțini ca să fie o concluzie — mai sună câțiva.",IF('20_REZULTATE'!$B$14&lt;30," Sub 30 înseamnă că relația scârțâie undeva; citește ce au spus."," Peste 30 e o relație sănătoasă; cere-le recomandări.")))</f>
        <v/>
      </c>
    </row>
    <row r="25" ht="32" customHeight="1">
      <c r="A25" s="59">
        <f>IF('20_REZULTATE'!$B$16=0,"Nu ai pus un obiectiv în 02_SETARI. Fără el nu știi dacă "&amp;FIXED('20_REZULTATE'!$B$6,0)&amp;" e mult sau puțin.",IF('20_REZULTATE'!$B$18=0,"Obiectivul e atins. Următorul pas e să afli ce a funcționat, ca să repeți.","S-a atins "&amp;FIXED(('20_REZULTATE'!$B$17)*100,1)&amp;"%"&amp;" din obiectiv. Mai lipsesc "&amp;FIXED('20_REZULTATE'!$B$18,0)&amp;" "&amp;'02_SETARI'!$B$9&amp;". Uită-te în 21_CE_SE_INTAMPLA: de obicei suma asta se găsește la 3-4 clienți."))</f>
        <v/>
      </c>
    </row>
    <row r="26" ht="32" customHeight="1">
      <c r="A26" s="59">
        <f>IF(AND(MAX(0,COUNTA('12_CONCURENTA'!$A$5:$A$14)-1)=0,SUMPRODUCT(('13_CE_CRED_OAMENII'!$D$6:$D$11&lt;&gt;"")*'13_CE_CRED_OAMENII'!$E$6:$E$11)=0),"Nu ai completat încă nimic despre concurență și reputație (foile 12 și 13). E cel mai ieftin context din tot fișierul: o oră pe internet, fără să întrebi pe nimeni.","Urmărim "&amp;FIXED(MAX(0,COUNTA('12_CONCURENTA'!$A$5:$A$14)-1),0)&amp;" concurenți. "&amp;IF('12_CONCURENTA'!$F$5="","Firma nu are încă notă publică — verifică dacă are fișă Google Business. Un client nou o caută acolo înainte să sune.","Nota publică e "&amp;FIXED('12_CONCURENTA'!$F$5,1)&amp;" din 5"&amp;IF(IFERROR(AVERAGE('12_CONCURENTA'!$F$6:$F$14),"")="",".",", față de "&amp;FIXED(IFERROR(AVERAGE('12_CONCURENTA'!$F$6:$F$14),""),1)&amp;" media concurenților"&amp;IF('12_CONCURENTA'!$F$5&gt;IFERROR(AVERAGE('12_CONCURENTA'!$F$6:$F$14),"")+0.2," — stăm mai bine decât ei.",IF('12_CONCURENTA'!$F$5&lt;IFERROR(AVERAGE('12_CONCURENTA'!$F$6:$F$14),"")-0.2," — stăm mai slab; asta se rezolvă înainte de a crește volumul."," — la fel ca ei."))))&amp;IF(SUMPRODUCT(('11_CLIENTI'!$A$5:$A$124&lt;&gt;"")*('11_CLIENTI'!$D$5:$D$124&lt;&gt;""))=0," NPS nu e măsurat încă: scorul de percepție din foaia 13 ține locul, dar nu îl înlocuiește.",""))</f>
        <v/>
      </c>
    </row>
  </sheetData>
  <mergeCells count="6">
    <mergeCell ref="A21:E21"/>
    <mergeCell ref="A26:E26"/>
    <mergeCell ref="A24:E24"/>
    <mergeCell ref="A25:E25"/>
    <mergeCell ref="A23:E23"/>
    <mergeCell ref="A22:E22"/>
  </mergeCells>
  <conditionalFormatting sqref="D6:D18">
    <cfRule type="cellIs" priority="1" operator="lessThan" dxfId="4">
      <formula>0</formula>
    </cfRule>
    <cfRule type="cellIs" priority="2" operator="greaterThan" dxfId="5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2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1" customWidth="1" min="5" max="5"/>
    <col width="13" customWidth="1" min="6" max="6"/>
    <col width="10" customWidth="1" min="7" max="7"/>
    <col width="11" customWidth="1" min="8" max="8"/>
    <col width="14" customWidth="1" min="9" max="9"/>
    <col width="12" customWidth="1" min="10" max="10"/>
    <col width="9" customWidth="1" min="11" max="11"/>
    <col width="24" customWidth="1" min="12" max="12"/>
    <col width="52" customWidth="1" min="13" max="13"/>
    <col width="14" customWidth="1" min="14" max="14"/>
    <col hidden="1" width="13" customWidth="1" min="15" max="15"/>
  </cols>
  <sheetData>
    <row r="1" ht="26" customHeight="1">
      <c r="A1" s="1" t="inlineStr">
        <is>
          <t>21 — CE SE ÎNTÂMPLĂ CU FIECARE CLIENT</t>
        </is>
      </c>
    </row>
    <row r="2" ht="16" customHeight="1">
      <c r="A2" s="2" t="inlineStr">
        <is>
          <t>Se completează singură din 10_VANZARI și 11_CLIENTI. Filtrează coloana „Ce se întâmplă” ca să vezi unde ai de lucru.</t>
        </is>
      </c>
    </row>
    <row r="3"/>
    <row r="4" ht="30" customHeight="1">
      <c r="A4" s="21" t="inlineStr">
        <is>
          <t>Client</t>
        </is>
      </c>
      <c r="B4" s="21" t="inlineStr">
        <is>
          <t>Segment</t>
        </is>
      </c>
      <c r="C4" s="21" t="inlineStr">
        <is>
          <t>Încasat acum</t>
        </is>
      </c>
      <c r="D4" s="21" t="inlineStr">
        <is>
          <t>Încasat înainte</t>
        </is>
      </c>
      <c r="E4" s="21" t="inlineStr">
        <is>
          <t>Diferență</t>
        </is>
      </c>
      <c r="F4" s="21" t="inlineStr">
        <is>
          <t>Profit brut</t>
        </is>
      </c>
      <c r="G4" s="21" t="inlineStr">
        <is>
          <t>Marjă</t>
        </is>
      </c>
      <c r="H4" s="21" t="inlineStr">
        <is>
          <t>% din total</t>
        </is>
      </c>
      <c r="I4" s="21" t="inlineStr">
        <is>
          <t>Ultima comandă</t>
        </is>
      </c>
      <c r="J4" s="21" t="inlineStr">
        <is>
          <t>Zile de atunci</t>
        </is>
      </c>
      <c r="K4" s="21" t="inlineStr">
        <is>
          <t>Notă</t>
        </is>
      </c>
      <c r="L4" s="21" t="inlineStr">
        <is>
          <t>Ce se întâmplă</t>
        </is>
      </c>
      <c r="M4" s="21" t="inlineStr">
        <is>
          <t>Ce ai de făcut</t>
        </is>
      </c>
      <c r="N4" s="21" t="inlineStr">
        <is>
          <t>Cât poți recupera</t>
        </is>
      </c>
    </row>
    <row r="5">
      <c r="A5" s="67">
        <f>IF('11_CLIENTI'!$A5="","",'11_CLIENTI'!$A5)</f>
        <v/>
      </c>
      <c r="B5" s="67">
        <f>IF($A5="","",IFERROR(INDEX('11_CLIENTI'!$B$5:$B$124,MATCH($A5,'11_CLIENTI'!$A$5:$A$124,0)),""))</f>
        <v/>
      </c>
      <c r="C5" s="68">
        <f>IF($A5="","",SUMIFS('10_VANZARI'!$E$5:$E$604,'10_VANZARI'!$B$5:$B$604,$A5,'10_VANZARI'!$A$5:$A$604,"&gt;="&amp;'02_SETARI'!$B$5,'10_VANZARI'!$A$5:$A$604,"&lt;="&amp;'02_SETARI'!$B$6))</f>
        <v/>
      </c>
      <c r="D5" s="68">
        <f>IF($A5="","",SUMIFS('10_VANZARI'!$E$5:$E$604,'10_VANZARI'!$B$5:$B$604,$A5,'10_VANZARI'!$A$5:$A$604,"&gt;="&amp;'02_SETARI'!$B$7,'10_VANZARI'!$A$5:$A$604,"&lt;="&amp;'02_SETARI'!$B$8))</f>
        <v/>
      </c>
      <c r="E5" s="69">
        <f>IF($A5="","",IFERROR(IF($D5=0,"",($C5-$D5)/ABS($D5)),""))</f>
        <v/>
      </c>
      <c r="F5" s="68">
        <f>IF($A5="","",SUMIFS('10_VANZARI'!$G$5:$G$604,'10_VANZARI'!$B$5:$B$604,$A5,'10_VANZARI'!$A$5:$A$604,"&gt;="&amp;'02_SETARI'!$B$5,'10_VANZARI'!$A$5:$A$604,"&lt;="&amp;'02_SETARI'!$B$6))</f>
        <v/>
      </c>
      <c r="G5" s="69">
        <f>IF($A5="","",IFERROR($F5/$C5,""))</f>
        <v/>
      </c>
      <c r="H5" s="69">
        <f>IF($A5="","",IFERROR($C5/SUMIFS('10_VANZARI'!$E$5:$E$604,'10_VANZARI'!$A$5:$A$604,"&gt;="&amp;'02_SETARI'!$B$5,'10_VANZARI'!$A$5:$A$604,"&lt;="&amp;'02_SETARI'!$B$6),""))</f>
        <v/>
      </c>
      <c r="I5" s="70">
        <f>IF($A5="","",IFERROR(IF(SUMPRODUCT(MAX(('10_VANZARI'!$B$5:$B$604=$A5)*('10_VANZARI'!$E$5:$E$604&lt;&gt;"")*'10_VANZARI'!$A$5:$A$604))=0,"",SUMPRODUCT(MAX(('10_VANZARI'!$B$5:$B$604=$A5)*('10_VANZARI'!$E$5:$E$604&lt;&gt;"")*'10_VANZARI'!$A$5:$A$604))),""))</f>
        <v/>
      </c>
      <c r="J5" s="68">
        <f>IF(OR($A5="",$I5=""),"",'02_SETARI'!$B$19-$I5)</f>
        <v/>
      </c>
      <c r="K5" s="68">
        <f>IF($A5="","",IFERROR(IF(INDEX('11_CLIENTI'!$D$5:$D$124,MATCH($A5,'11_CLIENTI'!$A$5:$A$124,0))="","",INDEX('11_CLIENTI'!$D$5:$D$124,MATCH($A5,'11_CLIENTI'!$A$5:$A$124,0))),""))</f>
        <v/>
      </c>
      <c r="L5" s="67">
        <f>IF($A5="","",IF(AND($K5&lt;&gt;"",$K5&lt;='02_SETARI'!$B$18),"Nemulțumit",IF(AND($D5&gt;0,$C5=0),"Nu mai cumpără",IF(AND($J5&lt;&gt;"",$J5&gt;'02_SETARI'!$B$17,$D5&gt;0),"Adormit",IF(AND($E5&lt;&gt;"",$E5&lt;='02_SETARI'!$B$15),"A scăzut",IF(AND($C5&gt;0,$G5&lt;&gt;"",$G5&lt;'02_SETARI'!$B$16),"Marjă mică",IF(AND($E5&lt;&gt;"",$E5&gt;=0.2),"În creștere",IF($C5=0,"Fără activitate","Merge bine"))))))))</f>
        <v/>
      </c>
      <c r="M5" s="67">
        <f>IF($A5="","",IF($L5="Nu mai cumpără","Sună-l săptămâna asta și întreabă direct ce s-a schimbat. Nu trimite email.",IF($L5="Adormit","Sună-l cu un motiv concret: o ofertă, o noutate, o reamintire de sezon.",IF($L5="A scăzut","Întreabă-l dacă a împărțit comenzile cu altcineva. De obicei asta s-a întâmplat.",IF($L5="Nemulțumit","Citește ce a spus în 11_CLIENTI. Rezolvă exact acel lucru, apoi sună-l să-i confirmi. Știi deja cauza — nu mai e nevoie să o cauți.",IF($L5="Marjă mică","Verifică ce discount are și cât te costă să-l servești. Poate merită renegociat.",IF($L5="În creștere","Întreabă-l ce altceva i-ar mai trebui. Acum e momentul, nu peste șase luni.",IF($L5="Fără activitate","Client în listă, dar fără vânzări în perioadă. Verifică dacă mai e client.","Nimic urgent. Ține-l cald."))))))))</f>
        <v/>
      </c>
      <c r="N5" s="68">
        <f>IF($A5="","",IFERROR(IF($L5="Nu mai cumpără",$D5,IF($L5="Adormit",$D5,IF($L5="A scăzut",MAX(0,$D5-$C5),IF($L5="Marjă mică",MAX(0,$C5*('02_SETARI'!$B$16-$G5)),$C5*0.15)))),""))</f>
        <v/>
      </c>
      <c r="O5">
        <f>IF(OR($A5="",$C5="",N($C5)&lt;=0),"",$C5+ROW()/1000000)</f>
        <v/>
      </c>
    </row>
    <row r="6">
      <c r="A6" s="67">
        <f>IF('11_CLIENTI'!$A6="","",'11_CLIENTI'!$A6)</f>
        <v/>
      </c>
      <c r="B6" s="67">
        <f>IF($A6="","",IFERROR(INDEX('11_CLIENTI'!$B$5:$B$124,MATCH($A6,'11_CLIENTI'!$A$5:$A$124,0)),""))</f>
        <v/>
      </c>
      <c r="C6" s="68">
        <f>IF($A6="","",SUMIFS('10_VANZARI'!$E$5:$E$604,'10_VANZARI'!$B$5:$B$604,$A6,'10_VANZARI'!$A$5:$A$604,"&gt;="&amp;'02_SETARI'!$B$5,'10_VANZARI'!$A$5:$A$604,"&lt;="&amp;'02_SETARI'!$B$6))</f>
        <v/>
      </c>
      <c r="D6" s="68">
        <f>IF($A6="","",SUMIFS('10_VANZARI'!$E$5:$E$604,'10_VANZARI'!$B$5:$B$604,$A6,'10_VANZARI'!$A$5:$A$604,"&gt;="&amp;'02_SETARI'!$B$7,'10_VANZARI'!$A$5:$A$604,"&lt;="&amp;'02_SETARI'!$B$8))</f>
        <v/>
      </c>
      <c r="E6" s="69">
        <f>IF($A6="","",IFERROR(IF($D6=0,"",($C6-$D6)/ABS($D6)),""))</f>
        <v/>
      </c>
      <c r="F6" s="68">
        <f>IF($A6="","",SUMIFS('10_VANZARI'!$G$5:$G$604,'10_VANZARI'!$B$5:$B$604,$A6,'10_VANZARI'!$A$5:$A$604,"&gt;="&amp;'02_SETARI'!$B$5,'10_VANZARI'!$A$5:$A$604,"&lt;="&amp;'02_SETARI'!$B$6))</f>
        <v/>
      </c>
      <c r="G6" s="69">
        <f>IF($A6="","",IFERROR($F6/$C6,""))</f>
        <v/>
      </c>
      <c r="H6" s="69">
        <f>IF($A6="","",IFERROR($C6/SUMIFS('10_VANZARI'!$E$5:$E$604,'10_VANZARI'!$A$5:$A$604,"&gt;="&amp;'02_SETARI'!$B$5,'10_VANZARI'!$A$5:$A$604,"&lt;="&amp;'02_SETARI'!$B$6),""))</f>
        <v/>
      </c>
      <c r="I6" s="70">
        <f>IF($A6="","",IFERROR(IF(SUMPRODUCT(MAX(('10_VANZARI'!$B$5:$B$604=$A6)*('10_VANZARI'!$E$5:$E$604&lt;&gt;"")*'10_VANZARI'!$A$5:$A$604))=0,"",SUMPRODUCT(MAX(('10_VANZARI'!$B$5:$B$604=$A6)*('10_VANZARI'!$E$5:$E$604&lt;&gt;"")*'10_VANZARI'!$A$5:$A$604))),""))</f>
        <v/>
      </c>
      <c r="J6" s="68">
        <f>IF(OR($A6="",$I6=""),"",'02_SETARI'!$B$19-$I6)</f>
        <v/>
      </c>
      <c r="K6" s="68">
        <f>IF($A6="","",IFERROR(IF(INDEX('11_CLIENTI'!$D$5:$D$124,MATCH($A6,'11_CLIENTI'!$A$5:$A$124,0))="","",INDEX('11_CLIENTI'!$D$5:$D$124,MATCH($A6,'11_CLIENTI'!$A$5:$A$124,0))),""))</f>
        <v/>
      </c>
      <c r="L6" s="67">
        <f>IF($A6="","",IF(AND($K6&lt;&gt;"",$K6&lt;='02_SETARI'!$B$18),"Nemulțumit",IF(AND($D6&gt;0,$C6=0),"Nu mai cumpără",IF(AND($J6&lt;&gt;"",$J6&gt;'02_SETARI'!$B$17,$D6&gt;0),"Adormit",IF(AND($E6&lt;&gt;"",$E6&lt;='02_SETARI'!$B$15),"A scăzut",IF(AND($C6&gt;0,$G6&lt;&gt;"",$G6&lt;'02_SETARI'!$B$16),"Marjă mică",IF(AND($E6&lt;&gt;"",$E6&gt;=0.2),"În creștere",IF($C6=0,"Fără activitate","Merge bine"))))))))</f>
        <v/>
      </c>
      <c r="M6" s="67">
        <f>IF($A6="","",IF($L6="Nu mai cumpără","Sună-l săptămâna asta și întreabă direct ce s-a schimbat. Nu trimite email.",IF($L6="Adormit","Sună-l cu un motiv concret: o ofertă, o noutate, o reamintire de sezon.",IF($L6="A scăzut","Întreabă-l dacă a împărțit comenzile cu altcineva. De obicei asta s-a întâmplat.",IF($L6="Nemulțumit","Citește ce a spus în 11_CLIENTI. Rezolvă exact acel lucru, apoi sună-l să-i confirmi. Știi deja cauza — nu mai e nevoie să o cauți.",IF($L6="Marjă mică","Verifică ce discount are și cât te costă să-l servești. Poate merită renegociat.",IF($L6="În creștere","Întreabă-l ce altceva i-ar mai trebui. Acum e momentul, nu peste șase luni.",IF($L6="Fără activitate","Client în listă, dar fără vânzări în perioadă. Verifică dacă mai e client.","Nimic urgent. Ține-l cald."))))))))</f>
        <v/>
      </c>
      <c r="N6" s="68">
        <f>IF($A6="","",IFERROR(IF($L6="Nu mai cumpără",$D6,IF($L6="Adormit",$D6,IF($L6="A scăzut",MAX(0,$D6-$C6),IF($L6="Marjă mică",MAX(0,$C6*('02_SETARI'!$B$16-$G6)),$C6*0.15)))),""))</f>
        <v/>
      </c>
      <c r="O6">
        <f>IF(OR($A6="",$C6="",N($C6)&lt;=0),"",$C6+ROW()/1000000)</f>
        <v/>
      </c>
    </row>
    <row r="7">
      <c r="A7" s="67">
        <f>IF('11_CLIENTI'!$A7="","",'11_CLIENTI'!$A7)</f>
        <v/>
      </c>
      <c r="B7" s="67">
        <f>IF($A7="","",IFERROR(INDEX('11_CLIENTI'!$B$5:$B$124,MATCH($A7,'11_CLIENTI'!$A$5:$A$124,0)),""))</f>
        <v/>
      </c>
      <c r="C7" s="68">
        <f>IF($A7="","",SUMIFS('10_VANZARI'!$E$5:$E$604,'10_VANZARI'!$B$5:$B$604,$A7,'10_VANZARI'!$A$5:$A$604,"&gt;="&amp;'02_SETARI'!$B$5,'10_VANZARI'!$A$5:$A$604,"&lt;="&amp;'02_SETARI'!$B$6))</f>
        <v/>
      </c>
      <c r="D7" s="68">
        <f>IF($A7="","",SUMIFS('10_VANZARI'!$E$5:$E$604,'10_VANZARI'!$B$5:$B$604,$A7,'10_VANZARI'!$A$5:$A$604,"&gt;="&amp;'02_SETARI'!$B$7,'10_VANZARI'!$A$5:$A$604,"&lt;="&amp;'02_SETARI'!$B$8))</f>
        <v/>
      </c>
      <c r="E7" s="69">
        <f>IF($A7="","",IFERROR(IF($D7=0,"",($C7-$D7)/ABS($D7)),""))</f>
        <v/>
      </c>
      <c r="F7" s="68">
        <f>IF($A7="","",SUMIFS('10_VANZARI'!$G$5:$G$604,'10_VANZARI'!$B$5:$B$604,$A7,'10_VANZARI'!$A$5:$A$604,"&gt;="&amp;'02_SETARI'!$B$5,'10_VANZARI'!$A$5:$A$604,"&lt;="&amp;'02_SETARI'!$B$6))</f>
        <v/>
      </c>
      <c r="G7" s="69">
        <f>IF($A7="","",IFERROR($F7/$C7,""))</f>
        <v/>
      </c>
      <c r="H7" s="69">
        <f>IF($A7="","",IFERROR($C7/SUMIFS('10_VANZARI'!$E$5:$E$604,'10_VANZARI'!$A$5:$A$604,"&gt;="&amp;'02_SETARI'!$B$5,'10_VANZARI'!$A$5:$A$604,"&lt;="&amp;'02_SETARI'!$B$6),""))</f>
        <v/>
      </c>
      <c r="I7" s="70">
        <f>IF($A7="","",IFERROR(IF(SUMPRODUCT(MAX(('10_VANZARI'!$B$5:$B$604=$A7)*('10_VANZARI'!$E$5:$E$604&lt;&gt;"")*'10_VANZARI'!$A$5:$A$604))=0,"",SUMPRODUCT(MAX(('10_VANZARI'!$B$5:$B$604=$A7)*('10_VANZARI'!$E$5:$E$604&lt;&gt;"")*'10_VANZARI'!$A$5:$A$604))),""))</f>
        <v/>
      </c>
      <c r="J7" s="68">
        <f>IF(OR($A7="",$I7=""),"",'02_SETARI'!$B$19-$I7)</f>
        <v/>
      </c>
      <c r="K7" s="68">
        <f>IF($A7="","",IFERROR(IF(INDEX('11_CLIENTI'!$D$5:$D$124,MATCH($A7,'11_CLIENTI'!$A$5:$A$124,0))="","",INDEX('11_CLIENTI'!$D$5:$D$124,MATCH($A7,'11_CLIENTI'!$A$5:$A$124,0))),""))</f>
        <v/>
      </c>
      <c r="L7" s="67">
        <f>IF($A7="","",IF(AND($K7&lt;&gt;"",$K7&lt;='02_SETARI'!$B$18),"Nemulțumit",IF(AND($D7&gt;0,$C7=0),"Nu mai cumpără",IF(AND($J7&lt;&gt;"",$J7&gt;'02_SETARI'!$B$17,$D7&gt;0),"Adormit",IF(AND($E7&lt;&gt;"",$E7&lt;='02_SETARI'!$B$15),"A scăzut",IF(AND($C7&gt;0,$G7&lt;&gt;"",$G7&lt;'02_SETARI'!$B$16),"Marjă mică",IF(AND($E7&lt;&gt;"",$E7&gt;=0.2),"În creștere",IF($C7=0,"Fără activitate","Merge bine"))))))))</f>
        <v/>
      </c>
      <c r="M7" s="67">
        <f>IF($A7="","",IF($L7="Nu mai cumpără","Sună-l săptămâna asta și întreabă direct ce s-a schimbat. Nu trimite email.",IF($L7="Adormit","Sună-l cu un motiv concret: o ofertă, o noutate, o reamintire de sezon.",IF($L7="A scăzut","Întreabă-l dacă a împărțit comenzile cu altcineva. De obicei asta s-a întâmplat.",IF($L7="Nemulțumit","Citește ce a spus în 11_CLIENTI. Rezolvă exact acel lucru, apoi sună-l să-i confirmi. Știi deja cauza — nu mai e nevoie să o cauți.",IF($L7="Marjă mică","Verifică ce discount are și cât te costă să-l servești. Poate merită renegociat.",IF($L7="În creștere","Întreabă-l ce altceva i-ar mai trebui. Acum e momentul, nu peste șase luni.",IF($L7="Fără activitate","Client în listă, dar fără vânzări în perioadă. Verifică dacă mai e client.","Nimic urgent. Ține-l cald."))))))))</f>
        <v/>
      </c>
      <c r="N7" s="68">
        <f>IF($A7="","",IFERROR(IF($L7="Nu mai cumpără",$D7,IF($L7="Adormit",$D7,IF($L7="A scăzut",MAX(0,$D7-$C7),IF($L7="Marjă mică",MAX(0,$C7*('02_SETARI'!$B$16-$G7)),$C7*0.15)))),""))</f>
        <v/>
      </c>
      <c r="O7">
        <f>IF(OR($A7="",$C7="",N($C7)&lt;=0),"",$C7+ROW()/1000000)</f>
        <v/>
      </c>
    </row>
    <row r="8">
      <c r="A8" s="67">
        <f>IF('11_CLIENTI'!$A8="","",'11_CLIENTI'!$A8)</f>
        <v/>
      </c>
      <c r="B8" s="67">
        <f>IF($A8="","",IFERROR(INDEX('11_CLIENTI'!$B$5:$B$124,MATCH($A8,'11_CLIENTI'!$A$5:$A$124,0)),""))</f>
        <v/>
      </c>
      <c r="C8" s="68">
        <f>IF($A8="","",SUMIFS('10_VANZARI'!$E$5:$E$604,'10_VANZARI'!$B$5:$B$604,$A8,'10_VANZARI'!$A$5:$A$604,"&gt;="&amp;'02_SETARI'!$B$5,'10_VANZARI'!$A$5:$A$604,"&lt;="&amp;'02_SETARI'!$B$6))</f>
        <v/>
      </c>
      <c r="D8" s="68">
        <f>IF($A8="","",SUMIFS('10_VANZARI'!$E$5:$E$604,'10_VANZARI'!$B$5:$B$604,$A8,'10_VANZARI'!$A$5:$A$604,"&gt;="&amp;'02_SETARI'!$B$7,'10_VANZARI'!$A$5:$A$604,"&lt;="&amp;'02_SETARI'!$B$8))</f>
        <v/>
      </c>
      <c r="E8" s="69">
        <f>IF($A8="","",IFERROR(IF($D8=0,"",($C8-$D8)/ABS($D8)),""))</f>
        <v/>
      </c>
      <c r="F8" s="68">
        <f>IF($A8="","",SUMIFS('10_VANZARI'!$G$5:$G$604,'10_VANZARI'!$B$5:$B$604,$A8,'10_VANZARI'!$A$5:$A$604,"&gt;="&amp;'02_SETARI'!$B$5,'10_VANZARI'!$A$5:$A$604,"&lt;="&amp;'02_SETARI'!$B$6))</f>
        <v/>
      </c>
      <c r="G8" s="69">
        <f>IF($A8="","",IFERROR($F8/$C8,""))</f>
        <v/>
      </c>
      <c r="H8" s="69">
        <f>IF($A8="","",IFERROR($C8/SUMIFS('10_VANZARI'!$E$5:$E$604,'10_VANZARI'!$A$5:$A$604,"&gt;="&amp;'02_SETARI'!$B$5,'10_VANZARI'!$A$5:$A$604,"&lt;="&amp;'02_SETARI'!$B$6),""))</f>
        <v/>
      </c>
      <c r="I8" s="70">
        <f>IF($A8="","",IFERROR(IF(SUMPRODUCT(MAX(('10_VANZARI'!$B$5:$B$604=$A8)*('10_VANZARI'!$E$5:$E$604&lt;&gt;"")*'10_VANZARI'!$A$5:$A$604))=0,"",SUMPRODUCT(MAX(('10_VANZARI'!$B$5:$B$604=$A8)*('10_VANZARI'!$E$5:$E$604&lt;&gt;"")*'10_VANZARI'!$A$5:$A$604))),""))</f>
        <v/>
      </c>
      <c r="J8" s="68">
        <f>IF(OR($A8="",$I8=""),"",'02_SETARI'!$B$19-$I8)</f>
        <v/>
      </c>
      <c r="K8" s="68">
        <f>IF($A8="","",IFERROR(IF(INDEX('11_CLIENTI'!$D$5:$D$124,MATCH($A8,'11_CLIENTI'!$A$5:$A$124,0))="","",INDEX('11_CLIENTI'!$D$5:$D$124,MATCH($A8,'11_CLIENTI'!$A$5:$A$124,0))),""))</f>
        <v/>
      </c>
      <c r="L8" s="67">
        <f>IF($A8="","",IF(AND($K8&lt;&gt;"",$K8&lt;='02_SETARI'!$B$18),"Nemulțumit",IF(AND($D8&gt;0,$C8=0),"Nu mai cumpără",IF(AND($J8&lt;&gt;"",$J8&gt;'02_SETARI'!$B$17,$D8&gt;0),"Adormit",IF(AND($E8&lt;&gt;"",$E8&lt;='02_SETARI'!$B$15),"A scăzut",IF(AND($C8&gt;0,$G8&lt;&gt;"",$G8&lt;'02_SETARI'!$B$16),"Marjă mică",IF(AND($E8&lt;&gt;"",$E8&gt;=0.2),"În creștere",IF($C8=0,"Fără activitate","Merge bine"))))))))</f>
        <v/>
      </c>
      <c r="M8" s="67">
        <f>IF($A8="","",IF($L8="Nu mai cumpără","Sună-l săptămâna asta și întreabă direct ce s-a schimbat. Nu trimite email.",IF($L8="Adormit","Sună-l cu un motiv concret: o ofertă, o noutate, o reamintire de sezon.",IF($L8="A scăzut","Întreabă-l dacă a împărțit comenzile cu altcineva. De obicei asta s-a întâmplat.",IF($L8="Nemulțumit","Citește ce a spus în 11_CLIENTI. Rezolvă exact acel lucru, apoi sună-l să-i confirmi. Știi deja cauza — nu mai e nevoie să o cauți.",IF($L8="Marjă mică","Verifică ce discount are și cât te costă să-l servești. Poate merită renegociat.",IF($L8="În creștere","Întreabă-l ce altceva i-ar mai trebui. Acum e momentul, nu peste șase luni.",IF($L8="Fără activitate","Client în listă, dar fără vânzări în perioadă. Verifică dacă mai e client.","Nimic urgent. Ține-l cald."))))))))</f>
        <v/>
      </c>
      <c r="N8" s="68">
        <f>IF($A8="","",IFERROR(IF($L8="Nu mai cumpără",$D8,IF($L8="Adormit",$D8,IF($L8="A scăzut",MAX(0,$D8-$C8),IF($L8="Marjă mică",MAX(0,$C8*('02_SETARI'!$B$16-$G8)),$C8*0.15)))),""))</f>
        <v/>
      </c>
      <c r="O8">
        <f>IF(OR($A8="",$C8="",N($C8)&lt;=0),"",$C8+ROW()/1000000)</f>
        <v/>
      </c>
    </row>
    <row r="9">
      <c r="A9" s="67">
        <f>IF('11_CLIENTI'!$A9="","",'11_CLIENTI'!$A9)</f>
        <v/>
      </c>
      <c r="B9" s="67">
        <f>IF($A9="","",IFERROR(INDEX('11_CLIENTI'!$B$5:$B$124,MATCH($A9,'11_CLIENTI'!$A$5:$A$124,0)),""))</f>
        <v/>
      </c>
      <c r="C9" s="68">
        <f>IF($A9="","",SUMIFS('10_VANZARI'!$E$5:$E$604,'10_VANZARI'!$B$5:$B$604,$A9,'10_VANZARI'!$A$5:$A$604,"&gt;="&amp;'02_SETARI'!$B$5,'10_VANZARI'!$A$5:$A$604,"&lt;="&amp;'02_SETARI'!$B$6))</f>
        <v/>
      </c>
      <c r="D9" s="68">
        <f>IF($A9="","",SUMIFS('10_VANZARI'!$E$5:$E$604,'10_VANZARI'!$B$5:$B$604,$A9,'10_VANZARI'!$A$5:$A$604,"&gt;="&amp;'02_SETARI'!$B$7,'10_VANZARI'!$A$5:$A$604,"&lt;="&amp;'02_SETARI'!$B$8))</f>
        <v/>
      </c>
      <c r="E9" s="69">
        <f>IF($A9="","",IFERROR(IF($D9=0,"",($C9-$D9)/ABS($D9)),""))</f>
        <v/>
      </c>
      <c r="F9" s="68">
        <f>IF($A9="","",SUMIFS('10_VANZARI'!$G$5:$G$604,'10_VANZARI'!$B$5:$B$604,$A9,'10_VANZARI'!$A$5:$A$604,"&gt;="&amp;'02_SETARI'!$B$5,'10_VANZARI'!$A$5:$A$604,"&lt;="&amp;'02_SETARI'!$B$6))</f>
        <v/>
      </c>
      <c r="G9" s="69">
        <f>IF($A9="","",IFERROR($F9/$C9,""))</f>
        <v/>
      </c>
      <c r="H9" s="69">
        <f>IF($A9="","",IFERROR($C9/SUMIFS('10_VANZARI'!$E$5:$E$604,'10_VANZARI'!$A$5:$A$604,"&gt;="&amp;'02_SETARI'!$B$5,'10_VANZARI'!$A$5:$A$604,"&lt;="&amp;'02_SETARI'!$B$6),""))</f>
        <v/>
      </c>
      <c r="I9" s="70">
        <f>IF($A9="","",IFERROR(IF(SUMPRODUCT(MAX(('10_VANZARI'!$B$5:$B$604=$A9)*('10_VANZARI'!$E$5:$E$604&lt;&gt;"")*'10_VANZARI'!$A$5:$A$604))=0,"",SUMPRODUCT(MAX(('10_VANZARI'!$B$5:$B$604=$A9)*('10_VANZARI'!$E$5:$E$604&lt;&gt;"")*'10_VANZARI'!$A$5:$A$604))),""))</f>
        <v/>
      </c>
      <c r="J9" s="68">
        <f>IF(OR($A9="",$I9=""),"",'02_SETARI'!$B$19-$I9)</f>
        <v/>
      </c>
      <c r="K9" s="68">
        <f>IF($A9="","",IFERROR(IF(INDEX('11_CLIENTI'!$D$5:$D$124,MATCH($A9,'11_CLIENTI'!$A$5:$A$124,0))="","",INDEX('11_CLIENTI'!$D$5:$D$124,MATCH($A9,'11_CLIENTI'!$A$5:$A$124,0))),""))</f>
        <v/>
      </c>
      <c r="L9" s="67">
        <f>IF($A9="","",IF(AND($K9&lt;&gt;"",$K9&lt;='02_SETARI'!$B$18),"Nemulțumit",IF(AND($D9&gt;0,$C9=0),"Nu mai cumpără",IF(AND($J9&lt;&gt;"",$J9&gt;'02_SETARI'!$B$17,$D9&gt;0),"Adormit",IF(AND($E9&lt;&gt;"",$E9&lt;='02_SETARI'!$B$15),"A scăzut",IF(AND($C9&gt;0,$G9&lt;&gt;"",$G9&lt;'02_SETARI'!$B$16),"Marjă mică",IF(AND($E9&lt;&gt;"",$E9&gt;=0.2),"În creștere",IF($C9=0,"Fără activitate","Merge bine"))))))))</f>
        <v/>
      </c>
      <c r="M9" s="67">
        <f>IF($A9="","",IF($L9="Nu mai cumpără","Sună-l săptămâna asta și întreabă direct ce s-a schimbat. Nu trimite email.",IF($L9="Adormit","Sună-l cu un motiv concret: o ofertă, o noutate, o reamintire de sezon.",IF($L9="A scăzut","Întreabă-l dacă a împărțit comenzile cu altcineva. De obicei asta s-a întâmplat.",IF($L9="Nemulțumit","Citește ce a spus în 11_CLIENTI. Rezolvă exact acel lucru, apoi sună-l să-i confirmi. Știi deja cauza — nu mai e nevoie să o cauți.",IF($L9="Marjă mică","Verifică ce discount are și cât te costă să-l servești. Poate merită renegociat.",IF($L9="În creștere","Întreabă-l ce altceva i-ar mai trebui. Acum e momentul, nu peste șase luni.",IF($L9="Fără activitate","Client în listă, dar fără vânzări în perioadă. Verifică dacă mai e client.","Nimic urgent. Ține-l cald."))))))))</f>
        <v/>
      </c>
      <c r="N9" s="68">
        <f>IF($A9="","",IFERROR(IF($L9="Nu mai cumpără",$D9,IF($L9="Adormit",$D9,IF($L9="A scăzut",MAX(0,$D9-$C9),IF($L9="Marjă mică",MAX(0,$C9*('02_SETARI'!$B$16-$G9)),$C9*0.15)))),""))</f>
        <v/>
      </c>
      <c r="O9">
        <f>IF(OR($A9="",$C9="",N($C9)&lt;=0),"",$C9+ROW()/1000000)</f>
        <v/>
      </c>
    </row>
    <row r="10">
      <c r="A10" s="67">
        <f>IF('11_CLIENTI'!$A10="","",'11_CLIENTI'!$A10)</f>
        <v/>
      </c>
      <c r="B10" s="67">
        <f>IF($A10="","",IFERROR(INDEX('11_CLIENTI'!$B$5:$B$124,MATCH($A10,'11_CLIENTI'!$A$5:$A$124,0)),""))</f>
        <v/>
      </c>
      <c r="C10" s="68">
        <f>IF($A10="","",SUMIFS('10_VANZARI'!$E$5:$E$604,'10_VANZARI'!$B$5:$B$604,$A10,'10_VANZARI'!$A$5:$A$604,"&gt;="&amp;'02_SETARI'!$B$5,'10_VANZARI'!$A$5:$A$604,"&lt;="&amp;'02_SETARI'!$B$6))</f>
        <v/>
      </c>
      <c r="D10" s="68">
        <f>IF($A10="","",SUMIFS('10_VANZARI'!$E$5:$E$604,'10_VANZARI'!$B$5:$B$604,$A10,'10_VANZARI'!$A$5:$A$604,"&gt;="&amp;'02_SETARI'!$B$7,'10_VANZARI'!$A$5:$A$604,"&lt;="&amp;'02_SETARI'!$B$8))</f>
        <v/>
      </c>
      <c r="E10" s="69">
        <f>IF($A10="","",IFERROR(IF($D10=0,"",($C10-$D10)/ABS($D10)),""))</f>
        <v/>
      </c>
      <c r="F10" s="68">
        <f>IF($A10="","",SUMIFS('10_VANZARI'!$G$5:$G$604,'10_VANZARI'!$B$5:$B$604,$A10,'10_VANZARI'!$A$5:$A$604,"&gt;="&amp;'02_SETARI'!$B$5,'10_VANZARI'!$A$5:$A$604,"&lt;="&amp;'02_SETARI'!$B$6))</f>
        <v/>
      </c>
      <c r="G10" s="69">
        <f>IF($A10="","",IFERROR($F10/$C10,""))</f>
        <v/>
      </c>
      <c r="H10" s="69">
        <f>IF($A10="","",IFERROR($C10/SUMIFS('10_VANZARI'!$E$5:$E$604,'10_VANZARI'!$A$5:$A$604,"&gt;="&amp;'02_SETARI'!$B$5,'10_VANZARI'!$A$5:$A$604,"&lt;="&amp;'02_SETARI'!$B$6),""))</f>
        <v/>
      </c>
      <c r="I10" s="70">
        <f>IF($A10="","",IFERROR(IF(SUMPRODUCT(MAX(('10_VANZARI'!$B$5:$B$604=$A10)*('10_VANZARI'!$E$5:$E$604&lt;&gt;"")*'10_VANZARI'!$A$5:$A$604))=0,"",SUMPRODUCT(MAX(('10_VANZARI'!$B$5:$B$604=$A10)*('10_VANZARI'!$E$5:$E$604&lt;&gt;"")*'10_VANZARI'!$A$5:$A$604))),""))</f>
        <v/>
      </c>
      <c r="J10" s="68">
        <f>IF(OR($A10="",$I10=""),"",'02_SETARI'!$B$19-$I10)</f>
        <v/>
      </c>
      <c r="K10" s="68">
        <f>IF($A10="","",IFERROR(IF(INDEX('11_CLIENTI'!$D$5:$D$124,MATCH($A10,'11_CLIENTI'!$A$5:$A$124,0))="","",INDEX('11_CLIENTI'!$D$5:$D$124,MATCH($A10,'11_CLIENTI'!$A$5:$A$124,0))),""))</f>
        <v/>
      </c>
      <c r="L10" s="67">
        <f>IF($A10="","",IF(AND($K10&lt;&gt;"",$K10&lt;='02_SETARI'!$B$18),"Nemulțumit",IF(AND($D10&gt;0,$C10=0),"Nu mai cumpără",IF(AND($J10&lt;&gt;"",$J10&gt;'02_SETARI'!$B$17,$D10&gt;0),"Adormit",IF(AND($E10&lt;&gt;"",$E10&lt;='02_SETARI'!$B$15),"A scăzut",IF(AND($C10&gt;0,$G10&lt;&gt;"",$G10&lt;'02_SETARI'!$B$16),"Marjă mică",IF(AND($E10&lt;&gt;"",$E10&gt;=0.2),"În creștere",IF($C10=0,"Fără activitate","Merge bine"))))))))</f>
        <v/>
      </c>
      <c r="M10" s="67">
        <f>IF($A10="","",IF($L10="Nu mai cumpără","Sună-l săptămâna asta și întreabă direct ce s-a schimbat. Nu trimite email.",IF($L10="Adormit","Sună-l cu un motiv concret: o ofertă, o noutate, o reamintire de sezon.",IF($L10="A scăzut","Întreabă-l dacă a împărțit comenzile cu altcineva. De obicei asta s-a întâmplat.",IF($L10="Nemulțumit","Citește ce a spus în 11_CLIENTI. Rezolvă exact acel lucru, apoi sună-l să-i confirmi. Știi deja cauza — nu mai e nevoie să o cauți.",IF($L10="Marjă mică","Verifică ce discount are și cât te costă să-l servești. Poate merită renegociat.",IF($L10="În creștere","Întreabă-l ce altceva i-ar mai trebui. Acum e momentul, nu peste șase luni.",IF($L10="Fără activitate","Client în listă, dar fără vânzări în perioadă. Verifică dacă mai e client.","Nimic urgent. Ține-l cald."))))))))</f>
        <v/>
      </c>
      <c r="N10" s="68">
        <f>IF($A10="","",IFERROR(IF($L10="Nu mai cumpără",$D10,IF($L10="Adormit",$D10,IF($L10="A scăzut",MAX(0,$D10-$C10),IF($L10="Marjă mică",MAX(0,$C10*('02_SETARI'!$B$16-$G10)),$C10*0.15)))),""))</f>
        <v/>
      </c>
      <c r="O10">
        <f>IF(OR($A10="",$C10="",N($C10)&lt;=0),"",$C10+ROW()/1000000)</f>
        <v/>
      </c>
    </row>
    <row r="11">
      <c r="A11" s="67">
        <f>IF('11_CLIENTI'!$A11="","",'11_CLIENTI'!$A11)</f>
        <v/>
      </c>
      <c r="B11" s="67">
        <f>IF($A11="","",IFERROR(INDEX('11_CLIENTI'!$B$5:$B$124,MATCH($A11,'11_CLIENTI'!$A$5:$A$124,0)),""))</f>
        <v/>
      </c>
      <c r="C11" s="68">
        <f>IF($A11="","",SUMIFS('10_VANZARI'!$E$5:$E$604,'10_VANZARI'!$B$5:$B$604,$A11,'10_VANZARI'!$A$5:$A$604,"&gt;="&amp;'02_SETARI'!$B$5,'10_VANZARI'!$A$5:$A$604,"&lt;="&amp;'02_SETARI'!$B$6))</f>
        <v/>
      </c>
      <c r="D11" s="68">
        <f>IF($A11="","",SUMIFS('10_VANZARI'!$E$5:$E$604,'10_VANZARI'!$B$5:$B$604,$A11,'10_VANZARI'!$A$5:$A$604,"&gt;="&amp;'02_SETARI'!$B$7,'10_VANZARI'!$A$5:$A$604,"&lt;="&amp;'02_SETARI'!$B$8))</f>
        <v/>
      </c>
      <c r="E11" s="69">
        <f>IF($A11="","",IFERROR(IF($D11=0,"",($C11-$D11)/ABS($D11)),""))</f>
        <v/>
      </c>
      <c r="F11" s="68">
        <f>IF($A11="","",SUMIFS('10_VANZARI'!$G$5:$G$604,'10_VANZARI'!$B$5:$B$604,$A11,'10_VANZARI'!$A$5:$A$604,"&gt;="&amp;'02_SETARI'!$B$5,'10_VANZARI'!$A$5:$A$604,"&lt;="&amp;'02_SETARI'!$B$6))</f>
        <v/>
      </c>
      <c r="G11" s="69">
        <f>IF($A11="","",IFERROR($F11/$C11,""))</f>
        <v/>
      </c>
      <c r="H11" s="69">
        <f>IF($A11="","",IFERROR($C11/SUMIFS('10_VANZARI'!$E$5:$E$604,'10_VANZARI'!$A$5:$A$604,"&gt;="&amp;'02_SETARI'!$B$5,'10_VANZARI'!$A$5:$A$604,"&lt;="&amp;'02_SETARI'!$B$6),""))</f>
        <v/>
      </c>
      <c r="I11" s="70">
        <f>IF($A11="","",IFERROR(IF(SUMPRODUCT(MAX(('10_VANZARI'!$B$5:$B$604=$A11)*('10_VANZARI'!$E$5:$E$604&lt;&gt;"")*'10_VANZARI'!$A$5:$A$604))=0,"",SUMPRODUCT(MAX(('10_VANZARI'!$B$5:$B$604=$A11)*('10_VANZARI'!$E$5:$E$604&lt;&gt;"")*'10_VANZARI'!$A$5:$A$604))),""))</f>
        <v/>
      </c>
      <c r="J11" s="68">
        <f>IF(OR($A11="",$I11=""),"",'02_SETARI'!$B$19-$I11)</f>
        <v/>
      </c>
      <c r="K11" s="68">
        <f>IF($A11="","",IFERROR(IF(INDEX('11_CLIENTI'!$D$5:$D$124,MATCH($A11,'11_CLIENTI'!$A$5:$A$124,0))="","",INDEX('11_CLIENTI'!$D$5:$D$124,MATCH($A11,'11_CLIENTI'!$A$5:$A$124,0))),""))</f>
        <v/>
      </c>
      <c r="L11" s="67">
        <f>IF($A11="","",IF(AND($K11&lt;&gt;"",$K11&lt;='02_SETARI'!$B$18),"Nemulțumit",IF(AND($D11&gt;0,$C11=0),"Nu mai cumpără",IF(AND($J11&lt;&gt;"",$J11&gt;'02_SETARI'!$B$17,$D11&gt;0),"Adormit",IF(AND($E11&lt;&gt;"",$E11&lt;='02_SETARI'!$B$15),"A scăzut",IF(AND($C11&gt;0,$G11&lt;&gt;"",$G11&lt;'02_SETARI'!$B$16),"Marjă mică",IF(AND($E11&lt;&gt;"",$E11&gt;=0.2),"În creștere",IF($C11=0,"Fără activitate","Merge bine"))))))))</f>
        <v/>
      </c>
      <c r="M11" s="67">
        <f>IF($A11="","",IF($L11="Nu mai cumpără","Sună-l săptămâna asta și întreabă direct ce s-a schimbat. Nu trimite email.",IF($L11="Adormit","Sună-l cu un motiv concret: o ofertă, o noutate, o reamintire de sezon.",IF($L11="A scăzut","Întreabă-l dacă a împărțit comenzile cu altcineva. De obicei asta s-a întâmplat.",IF($L11="Nemulțumit","Citește ce a spus în 11_CLIENTI. Rezolvă exact acel lucru, apoi sună-l să-i confirmi. Știi deja cauza — nu mai e nevoie să o cauți.",IF($L11="Marjă mică","Verifică ce discount are și cât te costă să-l servești. Poate merită renegociat.",IF($L11="În creștere","Întreabă-l ce altceva i-ar mai trebui. Acum e momentul, nu peste șase luni.",IF($L11="Fără activitate","Client în listă, dar fără vânzări în perioadă. Verifică dacă mai e client.","Nimic urgent. Ține-l cald."))))))))</f>
        <v/>
      </c>
      <c r="N11" s="68">
        <f>IF($A11="","",IFERROR(IF($L11="Nu mai cumpără",$D11,IF($L11="Adormit",$D11,IF($L11="A scăzut",MAX(0,$D11-$C11),IF($L11="Marjă mică",MAX(0,$C11*('02_SETARI'!$B$16-$G11)),$C11*0.15)))),""))</f>
        <v/>
      </c>
      <c r="O11">
        <f>IF(OR($A11="",$C11="",N($C11)&lt;=0),"",$C11+ROW()/1000000)</f>
        <v/>
      </c>
    </row>
    <row r="12">
      <c r="A12" s="67">
        <f>IF('11_CLIENTI'!$A12="","",'11_CLIENTI'!$A12)</f>
        <v/>
      </c>
      <c r="B12" s="67">
        <f>IF($A12="","",IFERROR(INDEX('11_CLIENTI'!$B$5:$B$124,MATCH($A12,'11_CLIENTI'!$A$5:$A$124,0)),""))</f>
        <v/>
      </c>
      <c r="C12" s="68">
        <f>IF($A12="","",SUMIFS('10_VANZARI'!$E$5:$E$604,'10_VANZARI'!$B$5:$B$604,$A12,'10_VANZARI'!$A$5:$A$604,"&gt;="&amp;'02_SETARI'!$B$5,'10_VANZARI'!$A$5:$A$604,"&lt;="&amp;'02_SETARI'!$B$6))</f>
        <v/>
      </c>
      <c r="D12" s="68">
        <f>IF($A12="","",SUMIFS('10_VANZARI'!$E$5:$E$604,'10_VANZARI'!$B$5:$B$604,$A12,'10_VANZARI'!$A$5:$A$604,"&gt;="&amp;'02_SETARI'!$B$7,'10_VANZARI'!$A$5:$A$604,"&lt;="&amp;'02_SETARI'!$B$8))</f>
        <v/>
      </c>
      <c r="E12" s="69">
        <f>IF($A12="","",IFERROR(IF($D12=0,"",($C12-$D12)/ABS($D12)),""))</f>
        <v/>
      </c>
      <c r="F12" s="68">
        <f>IF($A12="","",SUMIFS('10_VANZARI'!$G$5:$G$604,'10_VANZARI'!$B$5:$B$604,$A12,'10_VANZARI'!$A$5:$A$604,"&gt;="&amp;'02_SETARI'!$B$5,'10_VANZARI'!$A$5:$A$604,"&lt;="&amp;'02_SETARI'!$B$6))</f>
        <v/>
      </c>
      <c r="G12" s="69">
        <f>IF($A12="","",IFERROR($F12/$C12,""))</f>
        <v/>
      </c>
      <c r="H12" s="69">
        <f>IF($A12="","",IFERROR($C12/SUMIFS('10_VANZARI'!$E$5:$E$604,'10_VANZARI'!$A$5:$A$604,"&gt;="&amp;'02_SETARI'!$B$5,'10_VANZARI'!$A$5:$A$604,"&lt;="&amp;'02_SETARI'!$B$6),""))</f>
        <v/>
      </c>
      <c r="I12" s="70">
        <f>IF($A12="","",IFERROR(IF(SUMPRODUCT(MAX(('10_VANZARI'!$B$5:$B$604=$A12)*('10_VANZARI'!$E$5:$E$604&lt;&gt;"")*'10_VANZARI'!$A$5:$A$604))=0,"",SUMPRODUCT(MAX(('10_VANZARI'!$B$5:$B$604=$A12)*('10_VANZARI'!$E$5:$E$604&lt;&gt;"")*'10_VANZARI'!$A$5:$A$604))),""))</f>
        <v/>
      </c>
      <c r="J12" s="68">
        <f>IF(OR($A12="",$I12=""),"",'02_SETARI'!$B$19-$I12)</f>
        <v/>
      </c>
      <c r="K12" s="68">
        <f>IF($A12="","",IFERROR(IF(INDEX('11_CLIENTI'!$D$5:$D$124,MATCH($A12,'11_CLIENTI'!$A$5:$A$124,0))="","",INDEX('11_CLIENTI'!$D$5:$D$124,MATCH($A12,'11_CLIENTI'!$A$5:$A$124,0))),""))</f>
        <v/>
      </c>
      <c r="L12" s="67">
        <f>IF($A12="","",IF(AND($K12&lt;&gt;"",$K12&lt;='02_SETARI'!$B$18),"Nemulțumit",IF(AND($D12&gt;0,$C12=0),"Nu mai cumpără",IF(AND($J12&lt;&gt;"",$J12&gt;'02_SETARI'!$B$17,$D12&gt;0),"Adormit",IF(AND($E12&lt;&gt;"",$E12&lt;='02_SETARI'!$B$15),"A scăzut",IF(AND($C12&gt;0,$G12&lt;&gt;"",$G12&lt;'02_SETARI'!$B$16),"Marjă mică",IF(AND($E12&lt;&gt;"",$E12&gt;=0.2),"În creștere",IF($C12=0,"Fără activitate","Merge bine"))))))))</f>
        <v/>
      </c>
      <c r="M12" s="67">
        <f>IF($A12="","",IF($L12="Nu mai cumpără","Sună-l săptămâna asta și întreabă direct ce s-a schimbat. Nu trimite email.",IF($L12="Adormit","Sună-l cu un motiv concret: o ofertă, o noutate, o reamintire de sezon.",IF($L12="A scăzut","Întreabă-l dacă a împărțit comenzile cu altcineva. De obicei asta s-a întâmplat.",IF($L12="Nemulțumit","Citește ce a spus în 11_CLIENTI. Rezolvă exact acel lucru, apoi sună-l să-i confirmi. Știi deja cauza — nu mai e nevoie să o cauți.",IF($L12="Marjă mică","Verifică ce discount are și cât te costă să-l servești. Poate merită renegociat.",IF($L12="În creștere","Întreabă-l ce altceva i-ar mai trebui. Acum e momentul, nu peste șase luni.",IF($L12="Fără activitate","Client în listă, dar fără vânzări în perioadă. Verifică dacă mai e client.","Nimic urgent. Ține-l cald."))))))))</f>
        <v/>
      </c>
      <c r="N12" s="68">
        <f>IF($A12="","",IFERROR(IF($L12="Nu mai cumpără",$D12,IF($L12="Adormit",$D12,IF($L12="A scăzut",MAX(0,$D12-$C12),IF($L12="Marjă mică",MAX(0,$C12*('02_SETARI'!$B$16-$G12)),$C12*0.15)))),""))</f>
        <v/>
      </c>
      <c r="O12">
        <f>IF(OR($A12="",$C12="",N($C12)&lt;=0),"",$C12+ROW()/1000000)</f>
        <v/>
      </c>
    </row>
    <row r="13">
      <c r="A13" s="67">
        <f>IF('11_CLIENTI'!$A13="","",'11_CLIENTI'!$A13)</f>
        <v/>
      </c>
      <c r="B13" s="67">
        <f>IF($A13="","",IFERROR(INDEX('11_CLIENTI'!$B$5:$B$124,MATCH($A13,'11_CLIENTI'!$A$5:$A$124,0)),""))</f>
        <v/>
      </c>
      <c r="C13" s="68">
        <f>IF($A13="","",SUMIFS('10_VANZARI'!$E$5:$E$604,'10_VANZARI'!$B$5:$B$604,$A13,'10_VANZARI'!$A$5:$A$604,"&gt;="&amp;'02_SETARI'!$B$5,'10_VANZARI'!$A$5:$A$604,"&lt;="&amp;'02_SETARI'!$B$6))</f>
        <v/>
      </c>
      <c r="D13" s="68">
        <f>IF($A13="","",SUMIFS('10_VANZARI'!$E$5:$E$604,'10_VANZARI'!$B$5:$B$604,$A13,'10_VANZARI'!$A$5:$A$604,"&gt;="&amp;'02_SETARI'!$B$7,'10_VANZARI'!$A$5:$A$604,"&lt;="&amp;'02_SETARI'!$B$8))</f>
        <v/>
      </c>
      <c r="E13" s="69">
        <f>IF($A13="","",IFERROR(IF($D13=0,"",($C13-$D13)/ABS($D13)),""))</f>
        <v/>
      </c>
      <c r="F13" s="68">
        <f>IF($A13="","",SUMIFS('10_VANZARI'!$G$5:$G$604,'10_VANZARI'!$B$5:$B$604,$A13,'10_VANZARI'!$A$5:$A$604,"&gt;="&amp;'02_SETARI'!$B$5,'10_VANZARI'!$A$5:$A$604,"&lt;="&amp;'02_SETARI'!$B$6))</f>
        <v/>
      </c>
      <c r="G13" s="69">
        <f>IF($A13="","",IFERROR($F13/$C13,""))</f>
        <v/>
      </c>
      <c r="H13" s="69">
        <f>IF($A13="","",IFERROR($C13/SUMIFS('10_VANZARI'!$E$5:$E$604,'10_VANZARI'!$A$5:$A$604,"&gt;="&amp;'02_SETARI'!$B$5,'10_VANZARI'!$A$5:$A$604,"&lt;="&amp;'02_SETARI'!$B$6),""))</f>
        <v/>
      </c>
      <c r="I13" s="70">
        <f>IF($A13="","",IFERROR(IF(SUMPRODUCT(MAX(('10_VANZARI'!$B$5:$B$604=$A13)*('10_VANZARI'!$E$5:$E$604&lt;&gt;"")*'10_VANZARI'!$A$5:$A$604))=0,"",SUMPRODUCT(MAX(('10_VANZARI'!$B$5:$B$604=$A13)*('10_VANZARI'!$E$5:$E$604&lt;&gt;"")*'10_VANZARI'!$A$5:$A$604))),""))</f>
        <v/>
      </c>
      <c r="J13" s="68">
        <f>IF(OR($A13="",$I13=""),"",'02_SETARI'!$B$19-$I13)</f>
        <v/>
      </c>
      <c r="K13" s="68">
        <f>IF($A13="","",IFERROR(IF(INDEX('11_CLIENTI'!$D$5:$D$124,MATCH($A13,'11_CLIENTI'!$A$5:$A$124,0))="","",INDEX('11_CLIENTI'!$D$5:$D$124,MATCH($A13,'11_CLIENTI'!$A$5:$A$124,0))),""))</f>
        <v/>
      </c>
      <c r="L13" s="67">
        <f>IF($A13="","",IF(AND($K13&lt;&gt;"",$K13&lt;='02_SETARI'!$B$18),"Nemulțumit",IF(AND($D13&gt;0,$C13=0),"Nu mai cumpără",IF(AND($J13&lt;&gt;"",$J13&gt;'02_SETARI'!$B$17,$D13&gt;0),"Adormit",IF(AND($E13&lt;&gt;"",$E13&lt;='02_SETARI'!$B$15),"A scăzut",IF(AND($C13&gt;0,$G13&lt;&gt;"",$G13&lt;'02_SETARI'!$B$16),"Marjă mică",IF(AND($E13&lt;&gt;"",$E13&gt;=0.2),"În creștere",IF($C13=0,"Fără activitate","Merge bine"))))))))</f>
        <v/>
      </c>
      <c r="M13" s="67">
        <f>IF($A13="","",IF($L13="Nu mai cumpără","Sună-l săptămâna asta și întreabă direct ce s-a schimbat. Nu trimite email.",IF($L13="Adormit","Sună-l cu un motiv concret: o ofertă, o noutate, o reamintire de sezon.",IF($L13="A scăzut","Întreabă-l dacă a împărțit comenzile cu altcineva. De obicei asta s-a întâmplat.",IF($L13="Nemulțumit","Citește ce a spus în 11_CLIENTI. Rezolvă exact acel lucru, apoi sună-l să-i confirmi. Știi deja cauza — nu mai e nevoie să o cauți.",IF($L13="Marjă mică","Verifică ce discount are și cât te costă să-l servești. Poate merită renegociat.",IF($L13="În creștere","Întreabă-l ce altceva i-ar mai trebui. Acum e momentul, nu peste șase luni.",IF($L13="Fără activitate","Client în listă, dar fără vânzări în perioadă. Verifică dacă mai e client.","Nimic urgent. Ține-l cald."))))))))</f>
        <v/>
      </c>
      <c r="N13" s="68">
        <f>IF($A13="","",IFERROR(IF($L13="Nu mai cumpără",$D13,IF($L13="Adormit",$D13,IF($L13="A scăzut",MAX(0,$D13-$C13),IF($L13="Marjă mică",MAX(0,$C13*('02_SETARI'!$B$16-$G13)),$C13*0.15)))),""))</f>
        <v/>
      </c>
      <c r="O13">
        <f>IF(OR($A13="",$C13="",N($C13)&lt;=0),"",$C13+ROW()/1000000)</f>
        <v/>
      </c>
    </row>
    <row r="14">
      <c r="A14" s="67">
        <f>IF('11_CLIENTI'!$A14="","",'11_CLIENTI'!$A14)</f>
        <v/>
      </c>
      <c r="B14" s="67">
        <f>IF($A14="","",IFERROR(INDEX('11_CLIENTI'!$B$5:$B$124,MATCH($A14,'11_CLIENTI'!$A$5:$A$124,0)),""))</f>
        <v/>
      </c>
      <c r="C14" s="68">
        <f>IF($A14="","",SUMIFS('10_VANZARI'!$E$5:$E$604,'10_VANZARI'!$B$5:$B$604,$A14,'10_VANZARI'!$A$5:$A$604,"&gt;="&amp;'02_SETARI'!$B$5,'10_VANZARI'!$A$5:$A$604,"&lt;="&amp;'02_SETARI'!$B$6))</f>
        <v/>
      </c>
      <c r="D14" s="68">
        <f>IF($A14="","",SUMIFS('10_VANZARI'!$E$5:$E$604,'10_VANZARI'!$B$5:$B$604,$A14,'10_VANZARI'!$A$5:$A$604,"&gt;="&amp;'02_SETARI'!$B$7,'10_VANZARI'!$A$5:$A$604,"&lt;="&amp;'02_SETARI'!$B$8))</f>
        <v/>
      </c>
      <c r="E14" s="69">
        <f>IF($A14="","",IFERROR(IF($D14=0,"",($C14-$D14)/ABS($D14)),""))</f>
        <v/>
      </c>
      <c r="F14" s="68">
        <f>IF($A14="","",SUMIFS('10_VANZARI'!$G$5:$G$604,'10_VANZARI'!$B$5:$B$604,$A14,'10_VANZARI'!$A$5:$A$604,"&gt;="&amp;'02_SETARI'!$B$5,'10_VANZARI'!$A$5:$A$604,"&lt;="&amp;'02_SETARI'!$B$6))</f>
        <v/>
      </c>
      <c r="G14" s="69">
        <f>IF($A14="","",IFERROR($F14/$C14,""))</f>
        <v/>
      </c>
      <c r="H14" s="69">
        <f>IF($A14="","",IFERROR($C14/SUMIFS('10_VANZARI'!$E$5:$E$604,'10_VANZARI'!$A$5:$A$604,"&gt;="&amp;'02_SETARI'!$B$5,'10_VANZARI'!$A$5:$A$604,"&lt;="&amp;'02_SETARI'!$B$6),""))</f>
        <v/>
      </c>
      <c r="I14" s="70">
        <f>IF($A14="","",IFERROR(IF(SUMPRODUCT(MAX(('10_VANZARI'!$B$5:$B$604=$A14)*('10_VANZARI'!$E$5:$E$604&lt;&gt;"")*'10_VANZARI'!$A$5:$A$604))=0,"",SUMPRODUCT(MAX(('10_VANZARI'!$B$5:$B$604=$A14)*('10_VANZARI'!$E$5:$E$604&lt;&gt;"")*'10_VANZARI'!$A$5:$A$604))),""))</f>
        <v/>
      </c>
      <c r="J14" s="68">
        <f>IF(OR($A14="",$I14=""),"",'02_SETARI'!$B$19-$I14)</f>
        <v/>
      </c>
      <c r="K14" s="68">
        <f>IF($A14="","",IFERROR(IF(INDEX('11_CLIENTI'!$D$5:$D$124,MATCH($A14,'11_CLIENTI'!$A$5:$A$124,0))="","",INDEX('11_CLIENTI'!$D$5:$D$124,MATCH($A14,'11_CLIENTI'!$A$5:$A$124,0))),""))</f>
        <v/>
      </c>
      <c r="L14" s="67">
        <f>IF($A14="","",IF(AND($K14&lt;&gt;"",$K14&lt;='02_SETARI'!$B$18),"Nemulțumit",IF(AND($D14&gt;0,$C14=0),"Nu mai cumpără",IF(AND($J14&lt;&gt;"",$J14&gt;'02_SETARI'!$B$17,$D14&gt;0),"Adormit",IF(AND($E14&lt;&gt;"",$E14&lt;='02_SETARI'!$B$15),"A scăzut",IF(AND($C14&gt;0,$G14&lt;&gt;"",$G14&lt;'02_SETARI'!$B$16),"Marjă mică",IF(AND($E14&lt;&gt;"",$E14&gt;=0.2),"În creștere",IF($C14=0,"Fără activitate","Merge bine"))))))))</f>
        <v/>
      </c>
      <c r="M14" s="67">
        <f>IF($A14="","",IF($L14="Nu mai cumpără","Sună-l săptămâna asta și întreabă direct ce s-a schimbat. Nu trimite email.",IF($L14="Adormit","Sună-l cu un motiv concret: o ofertă, o noutate, o reamintire de sezon.",IF($L14="A scăzut","Întreabă-l dacă a împărțit comenzile cu altcineva. De obicei asta s-a întâmplat.",IF($L14="Nemulțumit","Citește ce a spus în 11_CLIENTI. Rezolvă exact acel lucru, apoi sună-l să-i confirmi. Știi deja cauza — nu mai e nevoie să o cauți.",IF($L14="Marjă mică","Verifică ce discount are și cât te costă să-l servești. Poate merită renegociat.",IF($L14="În creștere","Întreabă-l ce altceva i-ar mai trebui. Acum e momentul, nu peste șase luni.",IF($L14="Fără activitate","Client în listă, dar fără vânzări în perioadă. Verifică dacă mai e client.","Nimic urgent. Ține-l cald."))))))))</f>
        <v/>
      </c>
      <c r="N14" s="68">
        <f>IF($A14="","",IFERROR(IF($L14="Nu mai cumpără",$D14,IF($L14="Adormit",$D14,IF($L14="A scăzut",MAX(0,$D14-$C14),IF($L14="Marjă mică",MAX(0,$C14*('02_SETARI'!$B$16-$G14)),$C14*0.15)))),""))</f>
        <v/>
      </c>
      <c r="O14">
        <f>IF(OR($A14="",$C14="",N($C14)&lt;=0),"",$C14+ROW()/1000000)</f>
        <v/>
      </c>
    </row>
    <row r="15">
      <c r="A15" s="67">
        <f>IF('11_CLIENTI'!$A15="","",'11_CLIENTI'!$A15)</f>
        <v/>
      </c>
      <c r="B15" s="67">
        <f>IF($A15="","",IFERROR(INDEX('11_CLIENTI'!$B$5:$B$124,MATCH($A15,'11_CLIENTI'!$A$5:$A$124,0)),""))</f>
        <v/>
      </c>
      <c r="C15" s="68">
        <f>IF($A15="","",SUMIFS('10_VANZARI'!$E$5:$E$604,'10_VANZARI'!$B$5:$B$604,$A15,'10_VANZARI'!$A$5:$A$604,"&gt;="&amp;'02_SETARI'!$B$5,'10_VANZARI'!$A$5:$A$604,"&lt;="&amp;'02_SETARI'!$B$6))</f>
        <v/>
      </c>
      <c r="D15" s="68">
        <f>IF($A15="","",SUMIFS('10_VANZARI'!$E$5:$E$604,'10_VANZARI'!$B$5:$B$604,$A15,'10_VANZARI'!$A$5:$A$604,"&gt;="&amp;'02_SETARI'!$B$7,'10_VANZARI'!$A$5:$A$604,"&lt;="&amp;'02_SETARI'!$B$8))</f>
        <v/>
      </c>
      <c r="E15" s="69">
        <f>IF($A15="","",IFERROR(IF($D15=0,"",($C15-$D15)/ABS($D15)),""))</f>
        <v/>
      </c>
      <c r="F15" s="68">
        <f>IF($A15="","",SUMIFS('10_VANZARI'!$G$5:$G$604,'10_VANZARI'!$B$5:$B$604,$A15,'10_VANZARI'!$A$5:$A$604,"&gt;="&amp;'02_SETARI'!$B$5,'10_VANZARI'!$A$5:$A$604,"&lt;="&amp;'02_SETARI'!$B$6))</f>
        <v/>
      </c>
      <c r="G15" s="69">
        <f>IF($A15="","",IFERROR($F15/$C15,""))</f>
        <v/>
      </c>
      <c r="H15" s="69">
        <f>IF($A15="","",IFERROR($C15/SUMIFS('10_VANZARI'!$E$5:$E$604,'10_VANZARI'!$A$5:$A$604,"&gt;="&amp;'02_SETARI'!$B$5,'10_VANZARI'!$A$5:$A$604,"&lt;="&amp;'02_SETARI'!$B$6),""))</f>
        <v/>
      </c>
      <c r="I15" s="70">
        <f>IF($A15="","",IFERROR(IF(SUMPRODUCT(MAX(('10_VANZARI'!$B$5:$B$604=$A15)*('10_VANZARI'!$E$5:$E$604&lt;&gt;"")*'10_VANZARI'!$A$5:$A$604))=0,"",SUMPRODUCT(MAX(('10_VANZARI'!$B$5:$B$604=$A15)*('10_VANZARI'!$E$5:$E$604&lt;&gt;"")*'10_VANZARI'!$A$5:$A$604))),""))</f>
        <v/>
      </c>
      <c r="J15" s="68">
        <f>IF(OR($A15="",$I15=""),"",'02_SETARI'!$B$19-$I15)</f>
        <v/>
      </c>
      <c r="K15" s="68">
        <f>IF($A15="","",IFERROR(IF(INDEX('11_CLIENTI'!$D$5:$D$124,MATCH($A15,'11_CLIENTI'!$A$5:$A$124,0))="","",INDEX('11_CLIENTI'!$D$5:$D$124,MATCH($A15,'11_CLIENTI'!$A$5:$A$124,0))),""))</f>
        <v/>
      </c>
      <c r="L15" s="67">
        <f>IF($A15="","",IF(AND($K15&lt;&gt;"",$K15&lt;='02_SETARI'!$B$18),"Nemulțumit",IF(AND($D15&gt;0,$C15=0),"Nu mai cumpără",IF(AND($J15&lt;&gt;"",$J15&gt;'02_SETARI'!$B$17,$D15&gt;0),"Adormit",IF(AND($E15&lt;&gt;"",$E15&lt;='02_SETARI'!$B$15),"A scăzut",IF(AND($C15&gt;0,$G15&lt;&gt;"",$G15&lt;'02_SETARI'!$B$16),"Marjă mică",IF(AND($E15&lt;&gt;"",$E15&gt;=0.2),"În creștere",IF($C15=0,"Fără activitate","Merge bine"))))))))</f>
        <v/>
      </c>
      <c r="M15" s="67">
        <f>IF($A15="","",IF($L15="Nu mai cumpără","Sună-l săptămâna asta și întreabă direct ce s-a schimbat. Nu trimite email.",IF($L15="Adormit","Sună-l cu un motiv concret: o ofertă, o noutate, o reamintire de sezon.",IF($L15="A scăzut","Întreabă-l dacă a împărțit comenzile cu altcineva. De obicei asta s-a întâmplat.",IF($L15="Nemulțumit","Citește ce a spus în 11_CLIENTI. Rezolvă exact acel lucru, apoi sună-l să-i confirmi. Știi deja cauza — nu mai e nevoie să o cauți.",IF($L15="Marjă mică","Verifică ce discount are și cât te costă să-l servești. Poate merită renegociat.",IF($L15="În creștere","Întreabă-l ce altceva i-ar mai trebui. Acum e momentul, nu peste șase luni.",IF($L15="Fără activitate","Client în listă, dar fără vânzări în perioadă. Verifică dacă mai e client.","Nimic urgent. Ține-l cald."))))))))</f>
        <v/>
      </c>
      <c r="N15" s="68">
        <f>IF($A15="","",IFERROR(IF($L15="Nu mai cumpără",$D15,IF($L15="Adormit",$D15,IF($L15="A scăzut",MAX(0,$D15-$C15),IF($L15="Marjă mică",MAX(0,$C15*('02_SETARI'!$B$16-$G15)),$C15*0.15)))),""))</f>
        <v/>
      </c>
      <c r="O15">
        <f>IF(OR($A15="",$C15="",N($C15)&lt;=0),"",$C15+ROW()/1000000)</f>
        <v/>
      </c>
    </row>
    <row r="16">
      <c r="A16" s="67">
        <f>IF('11_CLIENTI'!$A16="","",'11_CLIENTI'!$A16)</f>
        <v/>
      </c>
      <c r="B16" s="67">
        <f>IF($A16="","",IFERROR(INDEX('11_CLIENTI'!$B$5:$B$124,MATCH($A16,'11_CLIENTI'!$A$5:$A$124,0)),""))</f>
        <v/>
      </c>
      <c r="C16" s="68">
        <f>IF($A16="","",SUMIFS('10_VANZARI'!$E$5:$E$604,'10_VANZARI'!$B$5:$B$604,$A16,'10_VANZARI'!$A$5:$A$604,"&gt;="&amp;'02_SETARI'!$B$5,'10_VANZARI'!$A$5:$A$604,"&lt;="&amp;'02_SETARI'!$B$6))</f>
        <v/>
      </c>
      <c r="D16" s="68">
        <f>IF($A16="","",SUMIFS('10_VANZARI'!$E$5:$E$604,'10_VANZARI'!$B$5:$B$604,$A16,'10_VANZARI'!$A$5:$A$604,"&gt;="&amp;'02_SETARI'!$B$7,'10_VANZARI'!$A$5:$A$604,"&lt;="&amp;'02_SETARI'!$B$8))</f>
        <v/>
      </c>
      <c r="E16" s="69">
        <f>IF($A16="","",IFERROR(IF($D16=0,"",($C16-$D16)/ABS($D16)),""))</f>
        <v/>
      </c>
      <c r="F16" s="68">
        <f>IF($A16="","",SUMIFS('10_VANZARI'!$G$5:$G$604,'10_VANZARI'!$B$5:$B$604,$A16,'10_VANZARI'!$A$5:$A$604,"&gt;="&amp;'02_SETARI'!$B$5,'10_VANZARI'!$A$5:$A$604,"&lt;="&amp;'02_SETARI'!$B$6))</f>
        <v/>
      </c>
      <c r="G16" s="69">
        <f>IF($A16="","",IFERROR($F16/$C16,""))</f>
        <v/>
      </c>
      <c r="H16" s="69">
        <f>IF($A16="","",IFERROR($C16/SUMIFS('10_VANZARI'!$E$5:$E$604,'10_VANZARI'!$A$5:$A$604,"&gt;="&amp;'02_SETARI'!$B$5,'10_VANZARI'!$A$5:$A$604,"&lt;="&amp;'02_SETARI'!$B$6),""))</f>
        <v/>
      </c>
      <c r="I16" s="70">
        <f>IF($A16="","",IFERROR(IF(SUMPRODUCT(MAX(('10_VANZARI'!$B$5:$B$604=$A16)*('10_VANZARI'!$E$5:$E$604&lt;&gt;"")*'10_VANZARI'!$A$5:$A$604))=0,"",SUMPRODUCT(MAX(('10_VANZARI'!$B$5:$B$604=$A16)*('10_VANZARI'!$E$5:$E$604&lt;&gt;"")*'10_VANZARI'!$A$5:$A$604))),""))</f>
        <v/>
      </c>
      <c r="J16" s="68">
        <f>IF(OR($A16="",$I16=""),"",'02_SETARI'!$B$19-$I16)</f>
        <v/>
      </c>
      <c r="K16" s="68">
        <f>IF($A16="","",IFERROR(IF(INDEX('11_CLIENTI'!$D$5:$D$124,MATCH($A16,'11_CLIENTI'!$A$5:$A$124,0))="","",INDEX('11_CLIENTI'!$D$5:$D$124,MATCH($A16,'11_CLIENTI'!$A$5:$A$124,0))),""))</f>
        <v/>
      </c>
      <c r="L16" s="67">
        <f>IF($A16="","",IF(AND($K16&lt;&gt;"",$K16&lt;='02_SETARI'!$B$18),"Nemulțumit",IF(AND($D16&gt;0,$C16=0),"Nu mai cumpără",IF(AND($J16&lt;&gt;"",$J16&gt;'02_SETARI'!$B$17,$D16&gt;0),"Adormit",IF(AND($E16&lt;&gt;"",$E16&lt;='02_SETARI'!$B$15),"A scăzut",IF(AND($C16&gt;0,$G16&lt;&gt;"",$G16&lt;'02_SETARI'!$B$16),"Marjă mică",IF(AND($E16&lt;&gt;"",$E16&gt;=0.2),"În creștere",IF($C16=0,"Fără activitate","Merge bine"))))))))</f>
        <v/>
      </c>
      <c r="M16" s="67">
        <f>IF($A16="","",IF($L16="Nu mai cumpără","Sună-l săptămâna asta și întreabă direct ce s-a schimbat. Nu trimite email.",IF($L16="Adormit","Sună-l cu un motiv concret: o ofertă, o noutate, o reamintire de sezon.",IF($L16="A scăzut","Întreabă-l dacă a împărțit comenzile cu altcineva. De obicei asta s-a întâmplat.",IF($L16="Nemulțumit","Citește ce a spus în 11_CLIENTI. Rezolvă exact acel lucru, apoi sună-l să-i confirmi. Știi deja cauza — nu mai e nevoie să o cauți.",IF($L16="Marjă mică","Verifică ce discount are și cât te costă să-l servești. Poate merită renegociat.",IF($L16="În creștere","Întreabă-l ce altceva i-ar mai trebui. Acum e momentul, nu peste șase luni.",IF($L16="Fără activitate","Client în listă, dar fără vânzări în perioadă. Verifică dacă mai e client.","Nimic urgent. Ține-l cald."))))))))</f>
        <v/>
      </c>
      <c r="N16" s="68">
        <f>IF($A16="","",IFERROR(IF($L16="Nu mai cumpără",$D16,IF($L16="Adormit",$D16,IF($L16="A scăzut",MAX(0,$D16-$C16),IF($L16="Marjă mică",MAX(0,$C16*('02_SETARI'!$B$16-$G16)),$C16*0.15)))),""))</f>
        <v/>
      </c>
      <c r="O16">
        <f>IF(OR($A16="",$C16="",N($C16)&lt;=0),"",$C16+ROW()/1000000)</f>
        <v/>
      </c>
    </row>
    <row r="17">
      <c r="A17" s="67">
        <f>IF('11_CLIENTI'!$A17="","",'11_CLIENTI'!$A17)</f>
        <v/>
      </c>
      <c r="B17" s="67">
        <f>IF($A17="","",IFERROR(INDEX('11_CLIENTI'!$B$5:$B$124,MATCH($A17,'11_CLIENTI'!$A$5:$A$124,0)),""))</f>
        <v/>
      </c>
      <c r="C17" s="68">
        <f>IF($A17="","",SUMIFS('10_VANZARI'!$E$5:$E$604,'10_VANZARI'!$B$5:$B$604,$A17,'10_VANZARI'!$A$5:$A$604,"&gt;="&amp;'02_SETARI'!$B$5,'10_VANZARI'!$A$5:$A$604,"&lt;="&amp;'02_SETARI'!$B$6))</f>
        <v/>
      </c>
      <c r="D17" s="68">
        <f>IF($A17="","",SUMIFS('10_VANZARI'!$E$5:$E$604,'10_VANZARI'!$B$5:$B$604,$A17,'10_VANZARI'!$A$5:$A$604,"&gt;="&amp;'02_SETARI'!$B$7,'10_VANZARI'!$A$5:$A$604,"&lt;="&amp;'02_SETARI'!$B$8))</f>
        <v/>
      </c>
      <c r="E17" s="69">
        <f>IF($A17="","",IFERROR(IF($D17=0,"",($C17-$D17)/ABS($D17)),""))</f>
        <v/>
      </c>
      <c r="F17" s="68">
        <f>IF($A17="","",SUMIFS('10_VANZARI'!$G$5:$G$604,'10_VANZARI'!$B$5:$B$604,$A17,'10_VANZARI'!$A$5:$A$604,"&gt;="&amp;'02_SETARI'!$B$5,'10_VANZARI'!$A$5:$A$604,"&lt;="&amp;'02_SETARI'!$B$6))</f>
        <v/>
      </c>
      <c r="G17" s="69">
        <f>IF($A17="","",IFERROR($F17/$C17,""))</f>
        <v/>
      </c>
      <c r="H17" s="69">
        <f>IF($A17="","",IFERROR($C17/SUMIFS('10_VANZARI'!$E$5:$E$604,'10_VANZARI'!$A$5:$A$604,"&gt;="&amp;'02_SETARI'!$B$5,'10_VANZARI'!$A$5:$A$604,"&lt;="&amp;'02_SETARI'!$B$6),""))</f>
        <v/>
      </c>
      <c r="I17" s="70">
        <f>IF($A17="","",IFERROR(IF(SUMPRODUCT(MAX(('10_VANZARI'!$B$5:$B$604=$A17)*('10_VANZARI'!$E$5:$E$604&lt;&gt;"")*'10_VANZARI'!$A$5:$A$604))=0,"",SUMPRODUCT(MAX(('10_VANZARI'!$B$5:$B$604=$A17)*('10_VANZARI'!$E$5:$E$604&lt;&gt;"")*'10_VANZARI'!$A$5:$A$604))),""))</f>
        <v/>
      </c>
      <c r="J17" s="68">
        <f>IF(OR($A17="",$I17=""),"",'02_SETARI'!$B$19-$I17)</f>
        <v/>
      </c>
      <c r="K17" s="68">
        <f>IF($A17="","",IFERROR(IF(INDEX('11_CLIENTI'!$D$5:$D$124,MATCH($A17,'11_CLIENTI'!$A$5:$A$124,0))="","",INDEX('11_CLIENTI'!$D$5:$D$124,MATCH($A17,'11_CLIENTI'!$A$5:$A$124,0))),""))</f>
        <v/>
      </c>
      <c r="L17" s="67">
        <f>IF($A17="","",IF(AND($K17&lt;&gt;"",$K17&lt;='02_SETARI'!$B$18),"Nemulțumit",IF(AND($D17&gt;0,$C17=0),"Nu mai cumpără",IF(AND($J17&lt;&gt;"",$J17&gt;'02_SETARI'!$B$17,$D17&gt;0),"Adormit",IF(AND($E17&lt;&gt;"",$E17&lt;='02_SETARI'!$B$15),"A scăzut",IF(AND($C17&gt;0,$G17&lt;&gt;"",$G17&lt;'02_SETARI'!$B$16),"Marjă mică",IF(AND($E17&lt;&gt;"",$E17&gt;=0.2),"În creștere",IF($C17=0,"Fără activitate","Merge bine"))))))))</f>
        <v/>
      </c>
      <c r="M17" s="67">
        <f>IF($A17="","",IF($L17="Nu mai cumpără","Sună-l săptămâna asta și întreabă direct ce s-a schimbat. Nu trimite email.",IF($L17="Adormit","Sună-l cu un motiv concret: o ofertă, o noutate, o reamintire de sezon.",IF($L17="A scăzut","Întreabă-l dacă a împărțit comenzile cu altcineva. De obicei asta s-a întâmplat.",IF($L17="Nemulțumit","Citește ce a spus în 11_CLIENTI. Rezolvă exact acel lucru, apoi sună-l să-i confirmi. Știi deja cauza — nu mai e nevoie să o cauți.",IF($L17="Marjă mică","Verifică ce discount are și cât te costă să-l servești. Poate merită renegociat.",IF($L17="În creștere","Întreabă-l ce altceva i-ar mai trebui. Acum e momentul, nu peste șase luni.",IF($L17="Fără activitate","Client în listă, dar fără vânzări în perioadă. Verifică dacă mai e client.","Nimic urgent. Ține-l cald."))))))))</f>
        <v/>
      </c>
      <c r="N17" s="68">
        <f>IF($A17="","",IFERROR(IF($L17="Nu mai cumpără",$D17,IF($L17="Adormit",$D17,IF($L17="A scăzut",MAX(0,$D17-$C17),IF($L17="Marjă mică",MAX(0,$C17*('02_SETARI'!$B$16-$G17)),$C17*0.15)))),""))</f>
        <v/>
      </c>
      <c r="O17">
        <f>IF(OR($A17="",$C17="",N($C17)&lt;=0),"",$C17+ROW()/1000000)</f>
        <v/>
      </c>
    </row>
    <row r="18">
      <c r="A18" s="67">
        <f>IF('11_CLIENTI'!$A18="","",'11_CLIENTI'!$A18)</f>
        <v/>
      </c>
      <c r="B18" s="67">
        <f>IF($A18="","",IFERROR(INDEX('11_CLIENTI'!$B$5:$B$124,MATCH($A18,'11_CLIENTI'!$A$5:$A$124,0)),""))</f>
        <v/>
      </c>
      <c r="C18" s="68">
        <f>IF($A18="","",SUMIFS('10_VANZARI'!$E$5:$E$604,'10_VANZARI'!$B$5:$B$604,$A18,'10_VANZARI'!$A$5:$A$604,"&gt;="&amp;'02_SETARI'!$B$5,'10_VANZARI'!$A$5:$A$604,"&lt;="&amp;'02_SETARI'!$B$6))</f>
        <v/>
      </c>
      <c r="D18" s="68">
        <f>IF($A18="","",SUMIFS('10_VANZARI'!$E$5:$E$604,'10_VANZARI'!$B$5:$B$604,$A18,'10_VANZARI'!$A$5:$A$604,"&gt;="&amp;'02_SETARI'!$B$7,'10_VANZARI'!$A$5:$A$604,"&lt;="&amp;'02_SETARI'!$B$8))</f>
        <v/>
      </c>
      <c r="E18" s="69">
        <f>IF($A18="","",IFERROR(IF($D18=0,"",($C18-$D18)/ABS($D18)),""))</f>
        <v/>
      </c>
      <c r="F18" s="68">
        <f>IF($A18="","",SUMIFS('10_VANZARI'!$G$5:$G$604,'10_VANZARI'!$B$5:$B$604,$A18,'10_VANZARI'!$A$5:$A$604,"&gt;="&amp;'02_SETARI'!$B$5,'10_VANZARI'!$A$5:$A$604,"&lt;="&amp;'02_SETARI'!$B$6))</f>
        <v/>
      </c>
      <c r="G18" s="69">
        <f>IF($A18="","",IFERROR($F18/$C18,""))</f>
        <v/>
      </c>
      <c r="H18" s="69">
        <f>IF($A18="","",IFERROR($C18/SUMIFS('10_VANZARI'!$E$5:$E$604,'10_VANZARI'!$A$5:$A$604,"&gt;="&amp;'02_SETARI'!$B$5,'10_VANZARI'!$A$5:$A$604,"&lt;="&amp;'02_SETARI'!$B$6),""))</f>
        <v/>
      </c>
      <c r="I18" s="70">
        <f>IF($A18="","",IFERROR(IF(SUMPRODUCT(MAX(('10_VANZARI'!$B$5:$B$604=$A18)*('10_VANZARI'!$E$5:$E$604&lt;&gt;"")*'10_VANZARI'!$A$5:$A$604))=0,"",SUMPRODUCT(MAX(('10_VANZARI'!$B$5:$B$604=$A18)*('10_VANZARI'!$E$5:$E$604&lt;&gt;"")*'10_VANZARI'!$A$5:$A$604))),""))</f>
        <v/>
      </c>
      <c r="J18" s="68">
        <f>IF(OR($A18="",$I18=""),"",'02_SETARI'!$B$19-$I18)</f>
        <v/>
      </c>
      <c r="K18" s="68">
        <f>IF($A18="","",IFERROR(IF(INDEX('11_CLIENTI'!$D$5:$D$124,MATCH($A18,'11_CLIENTI'!$A$5:$A$124,0))="","",INDEX('11_CLIENTI'!$D$5:$D$124,MATCH($A18,'11_CLIENTI'!$A$5:$A$124,0))),""))</f>
        <v/>
      </c>
      <c r="L18" s="67">
        <f>IF($A18="","",IF(AND($K18&lt;&gt;"",$K18&lt;='02_SETARI'!$B$18),"Nemulțumit",IF(AND($D18&gt;0,$C18=0),"Nu mai cumpără",IF(AND($J18&lt;&gt;"",$J18&gt;'02_SETARI'!$B$17,$D18&gt;0),"Adormit",IF(AND($E18&lt;&gt;"",$E18&lt;='02_SETARI'!$B$15),"A scăzut",IF(AND($C18&gt;0,$G18&lt;&gt;"",$G18&lt;'02_SETARI'!$B$16),"Marjă mică",IF(AND($E18&lt;&gt;"",$E18&gt;=0.2),"În creștere",IF($C18=0,"Fără activitate","Merge bine"))))))))</f>
        <v/>
      </c>
      <c r="M18" s="67">
        <f>IF($A18="","",IF($L18="Nu mai cumpără","Sună-l săptămâna asta și întreabă direct ce s-a schimbat. Nu trimite email.",IF($L18="Adormit","Sună-l cu un motiv concret: o ofertă, o noutate, o reamintire de sezon.",IF($L18="A scăzut","Întreabă-l dacă a împărțit comenzile cu altcineva. De obicei asta s-a întâmplat.",IF($L18="Nemulțumit","Citește ce a spus în 11_CLIENTI. Rezolvă exact acel lucru, apoi sună-l să-i confirmi. Știi deja cauza — nu mai e nevoie să o cauți.",IF($L18="Marjă mică","Verifică ce discount are și cât te costă să-l servești. Poate merită renegociat.",IF($L18="În creștere","Întreabă-l ce altceva i-ar mai trebui. Acum e momentul, nu peste șase luni.",IF($L18="Fără activitate","Client în listă, dar fără vânzări în perioadă. Verifică dacă mai e client.","Nimic urgent. Ține-l cald."))))))))</f>
        <v/>
      </c>
      <c r="N18" s="68">
        <f>IF($A18="","",IFERROR(IF($L18="Nu mai cumpără",$D18,IF($L18="Adormit",$D18,IF($L18="A scăzut",MAX(0,$D18-$C18),IF($L18="Marjă mică",MAX(0,$C18*('02_SETARI'!$B$16-$G18)),$C18*0.15)))),""))</f>
        <v/>
      </c>
      <c r="O18">
        <f>IF(OR($A18="",$C18="",N($C18)&lt;=0),"",$C18+ROW()/1000000)</f>
        <v/>
      </c>
    </row>
    <row r="19">
      <c r="A19" s="67">
        <f>IF('11_CLIENTI'!$A19="","",'11_CLIENTI'!$A19)</f>
        <v/>
      </c>
      <c r="B19" s="67">
        <f>IF($A19="","",IFERROR(INDEX('11_CLIENTI'!$B$5:$B$124,MATCH($A19,'11_CLIENTI'!$A$5:$A$124,0)),""))</f>
        <v/>
      </c>
      <c r="C19" s="68">
        <f>IF($A19="","",SUMIFS('10_VANZARI'!$E$5:$E$604,'10_VANZARI'!$B$5:$B$604,$A19,'10_VANZARI'!$A$5:$A$604,"&gt;="&amp;'02_SETARI'!$B$5,'10_VANZARI'!$A$5:$A$604,"&lt;="&amp;'02_SETARI'!$B$6))</f>
        <v/>
      </c>
      <c r="D19" s="68">
        <f>IF($A19="","",SUMIFS('10_VANZARI'!$E$5:$E$604,'10_VANZARI'!$B$5:$B$604,$A19,'10_VANZARI'!$A$5:$A$604,"&gt;="&amp;'02_SETARI'!$B$7,'10_VANZARI'!$A$5:$A$604,"&lt;="&amp;'02_SETARI'!$B$8))</f>
        <v/>
      </c>
      <c r="E19" s="69">
        <f>IF($A19="","",IFERROR(IF($D19=0,"",($C19-$D19)/ABS($D19)),""))</f>
        <v/>
      </c>
      <c r="F19" s="68">
        <f>IF($A19="","",SUMIFS('10_VANZARI'!$G$5:$G$604,'10_VANZARI'!$B$5:$B$604,$A19,'10_VANZARI'!$A$5:$A$604,"&gt;="&amp;'02_SETARI'!$B$5,'10_VANZARI'!$A$5:$A$604,"&lt;="&amp;'02_SETARI'!$B$6))</f>
        <v/>
      </c>
      <c r="G19" s="69">
        <f>IF($A19="","",IFERROR($F19/$C19,""))</f>
        <v/>
      </c>
      <c r="H19" s="69">
        <f>IF($A19="","",IFERROR($C19/SUMIFS('10_VANZARI'!$E$5:$E$604,'10_VANZARI'!$A$5:$A$604,"&gt;="&amp;'02_SETARI'!$B$5,'10_VANZARI'!$A$5:$A$604,"&lt;="&amp;'02_SETARI'!$B$6),""))</f>
        <v/>
      </c>
      <c r="I19" s="70">
        <f>IF($A19="","",IFERROR(IF(SUMPRODUCT(MAX(('10_VANZARI'!$B$5:$B$604=$A19)*('10_VANZARI'!$E$5:$E$604&lt;&gt;"")*'10_VANZARI'!$A$5:$A$604))=0,"",SUMPRODUCT(MAX(('10_VANZARI'!$B$5:$B$604=$A19)*('10_VANZARI'!$E$5:$E$604&lt;&gt;"")*'10_VANZARI'!$A$5:$A$604))),""))</f>
        <v/>
      </c>
      <c r="J19" s="68">
        <f>IF(OR($A19="",$I19=""),"",'02_SETARI'!$B$19-$I19)</f>
        <v/>
      </c>
      <c r="K19" s="68">
        <f>IF($A19="","",IFERROR(IF(INDEX('11_CLIENTI'!$D$5:$D$124,MATCH($A19,'11_CLIENTI'!$A$5:$A$124,0))="","",INDEX('11_CLIENTI'!$D$5:$D$124,MATCH($A19,'11_CLIENTI'!$A$5:$A$124,0))),""))</f>
        <v/>
      </c>
      <c r="L19" s="67">
        <f>IF($A19="","",IF(AND($K19&lt;&gt;"",$K19&lt;='02_SETARI'!$B$18),"Nemulțumit",IF(AND($D19&gt;0,$C19=0),"Nu mai cumpără",IF(AND($J19&lt;&gt;"",$J19&gt;'02_SETARI'!$B$17,$D19&gt;0),"Adormit",IF(AND($E19&lt;&gt;"",$E19&lt;='02_SETARI'!$B$15),"A scăzut",IF(AND($C19&gt;0,$G19&lt;&gt;"",$G19&lt;'02_SETARI'!$B$16),"Marjă mică",IF(AND($E19&lt;&gt;"",$E19&gt;=0.2),"În creștere",IF($C19=0,"Fără activitate","Merge bine"))))))))</f>
        <v/>
      </c>
      <c r="M19" s="67">
        <f>IF($A19="","",IF($L19="Nu mai cumpără","Sună-l săptămâna asta și întreabă direct ce s-a schimbat. Nu trimite email.",IF($L19="Adormit","Sună-l cu un motiv concret: o ofertă, o noutate, o reamintire de sezon.",IF($L19="A scăzut","Întreabă-l dacă a împărțit comenzile cu altcineva. De obicei asta s-a întâmplat.",IF($L19="Nemulțumit","Citește ce a spus în 11_CLIENTI. Rezolvă exact acel lucru, apoi sună-l să-i confirmi. Știi deja cauza — nu mai e nevoie să o cauți.",IF($L19="Marjă mică","Verifică ce discount are și cât te costă să-l servești. Poate merită renegociat.",IF($L19="În creștere","Întreabă-l ce altceva i-ar mai trebui. Acum e momentul, nu peste șase luni.",IF($L19="Fără activitate","Client în listă, dar fără vânzări în perioadă. Verifică dacă mai e client.","Nimic urgent. Ține-l cald."))))))))</f>
        <v/>
      </c>
      <c r="N19" s="68">
        <f>IF($A19="","",IFERROR(IF($L19="Nu mai cumpără",$D19,IF($L19="Adormit",$D19,IF($L19="A scăzut",MAX(0,$D19-$C19),IF($L19="Marjă mică",MAX(0,$C19*('02_SETARI'!$B$16-$G19)),$C19*0.15)))),""))</f>
        <v/>
      </c>
      <c r="O19">
        <f>IF(OR($A19="",$C19="",N($C19)&lt;=0),"",$C19+ROW()/1000000)</f>
        <v/>
      </c>
    </row>
    <row r="20">
      <c r="A20" s="67">
        <f>IF('11_CLIENTI'!$A20="","",'11_CLIENTI'!$A20)</f>
        <v/>
      </c>
      <c r="B20" s="67">
        <f>IF($A20="","",IFERROR(INDEX('11_CLIENTI'!$B$5:$B$124,MATCH($A20,'11_CLIENTI'!$A$5:$A$124,0)),""))</f>
        <v/>
      </c>
      <c r="C20" s="68">
        <f>IF($A20="","",SUMIFS('10_VANZARI'!$E$5:$E$604,'10_VANZARI'!$B$5:$B$604,$A20,'10_VANZARI'!$A$5:$A$604,"&gt;="&amp;'02_SETARI'!$B$5,'10_VANZARI'!$A$5:$A$604,"&lt;="&amp;'02_SETARI'!$B$6))</f>
        <v/>
      </c>
      <c r="D20" s="68">
        <f>IF($A20="","",SUMIFS('10_VANZARI'!$E$5:$E$604,'10_VANZARI'!$B$5:$B$604,$A20,'10_VANZARI'!$A$5:$A$604,"&gt;="&amp;'02_SETARI'!$B$7,'10_VANZARI'!$A$5:$A$604,"&lt;="&amp;'02_SETARI'!$B$8))</f>
        <v/>
      </c>
      <c r="E20" s="69">
        <f>IF($A20="","",IFERROR(IF($D20=0,"",($C20-$D20)/ABS($D20)),""))</f>
        <v/>
      </c>
      <c r="F20" s="68">
        <f>IF($A20="","",SUMIFS('10_VANZARI'!$G$5:$G$604,'10_VANZARI'!$B$5:$B$604,$A20,'10_VANZARI'!$A$5:$A$604,"&gt;="&amp;'02_SETARI'!$B$5,'10_VANZARI'!$A$5:$A$604,"&lt;="&amp;'02_SETARI'!$B$6))</f>
        <v/>
      </c>
      <c r="G20" s="69">
        <f>IF($A20="","",IFERROR($F20/$C20,""))</f>
        <v/>
      </c>
      <c r="H20" s="69">
        <f>IF($A20="","",IFERROR($C20/SUMIFS('10_VANZARI'!$E$5:$E$604,'10_VANZARI'!$A$5:$A$604,"&gt;="&amp;'02_SETARI'!$B$5,'10_VANZARI'!$A$5:$A$604,"&lt;="&amp;'02_SETARI'!$B$6),""))</f>
        <v/>
      </c>
      <c r="I20" s="70">
        <f>IF($A20="","",IFERROR(IF(SUMPRODUCT(MAX(('10_VANZARI'!$B$5:$B$604=$A20)*('10_VANZARI'!$E$5:$E$604&lt;&gt;"")*'10_VANZARI'!$A$5:$A$604))=0,"",SUMPRODUCT(MAX(('10_VANZARI'!$B$5:$B$604=$A20)*('10_VANZARI'!$E$5:$E$604&lt;&gt;"")*'10_VANZARI'!$A$5:$A$604))),""))</f>
        <v/>
      </c>
      <c r="J20" s="68">
        <f>IF(OR($A20="",$I20=""),"",'02_SETARI'!$B$19-$I20)</f>
        <v/>
      </c>
      <c r="K20" s="68">
        <f>IF($A20="","",IFERROR(IF(INDEX('11_CLIENTI'!$D$5:$D$124,MATCH($A20,'11_CLIENTI'!$A$5:$A$124,0))="","",INDEX('11_CLIENTI'!$D$5:$D$124,MATCH($A20,'11_CLIENTI'!$A$5:$A$124,0))),""))</f>
        <v/>
      </c>
      <c r="L20" s="67">
        <f>IF($A20="","",IF(AND($K20&lt;&gt;"",$K20&lt;='02_SETARI'!$B$18),"Nemulțumit",IF(AND($D20&gt;0,$C20=0),"Nu mai cumpără",IF(AND($J20&lt;&gt;"",$J20&gt;'02_SETARI'!$B$17,$D20&gt;0),"Adormit",IF(AND($E20&lt;&gt;"",$E20&lt;='02_SETARI'!$B$15),"A scăzut",IF(AND($C20&gt;0,$G20&lt;&gt;"",$G20&lt;'02_SETARI'!$B$16),"Marjă mică",IF(AND($E20&lt;&gt;"",$E20&gt;=0.2),"În creștere",IF($C20=0,"Fără activitate","Merge bine"))))))))</f>
        <v/>
      </c>
      <c r="M20" s="67">
        <f>IF($A20="","",IF($L20="Nu mai cumpără","Sună-l săptămâna asta și întreabă direct ce s-a schimbat. Nu trimite email.",IF($L20="Adormit","Sună-l cu un motiv concret: o ofertă, o noutate, o reamintire de sezon.",IF($L20="A scăzut","Întreabă-l dacă a împărțit comenzile cu altcineva. De obicei asta s-a întâmplat.",IF($L20="Nemulțumit","Citește ce a spus în 11_CLIENTI. Rezolvă exact acel lucru, apoi sună-l să-i confirmi. Știi deja cauza — nu mai e nevoie să o cauți.",IF($L20="Marjă mică","Verifică ce discount are și cât te costă să-l servești. Poate merită renegociat.",IF($L20="În creștere","Întreabă-l ce altceva i-ar mai trebui. Acum e momentul, nu peste șase luni.",IF($L20="Fără activitate","Client în listă, dar fără vânzări în perioadă. Verifică dacă mai e client.","Nimic urgent. Ține-l cald."))))))))</f>
        <v/>
      </c>
      <c r="N20" s="68">
        <f>IF($A20="","",IFERROR(IF($L20="Nu mai cumpără",$D20,IF($L20="Adormit",$D20,IF($L20="A scăzut",MAX(0,$D20-$C20),IF($L20="Marjă mică",MAX(0,$C20*('02_SETARI'!$B$16-$G20)),$C20*0.15)))),""))</f>
        <v/>
      </c>
      <c r="O20">
        <f>IF(OR($A20="",$C20="",N($C20)&lt;=0),"",$C20+ROW()/1000000)</f>
        <v/>
      </c>
    </row>
    <row r="21">
      <c r="A21" s="67">
        <f>IF('11_CLIENTI'!$A21="","",'11_CLIENTI'!$A21)</f>
        <v/>
      </c>
      <c r="B21" s="67">
        <f>IF($A21="","",IFERROR(INDEX('11_CLIENTI'!$B$5:$B$124,MATCH($A21,'11_CLIENTI'!$A$5:$A$124,0)),""))</f>
        <v/>
      </c>
      <c r="C21" s="68">
        <f>IF($A21="","",SUMIFS('10_VANZARI'!$E$5:$E$604,'10_VANZARI'!$B$5:$B$604,$A21,'10_VANZARI'!$A$5:$A$604,"&gt;="&amp;'02_SETARI'!$B$5,'10_VANZARI'!$A$5:$A$604,"&lt;="&amp;'02_SETARI'!$B$6))</f>
        <v/>
      </c>
      <c r="D21" s="68">
        <f>IF($A21="","",SUMIFS('10_VANZARI'!$E$5:$E$604,'10_VANZARI'!$B$5:$B$604,$A21,'10_VANZARI'!$A$5:$A$604,"&gt;="&amp;'02_SETARI'!$B$7,'10_VANZARI'!$A$5:$A$604,"&lt;="&amp;'02_SETARI'!$B$8))</f>
        <v/>
      </c>
      <c r="E21" s="69">
        <f>IF($A21="","",IFERROR(IF($D21=0,"",($C21-$D21)/ABS($D21)),""))</f>
        <v/>
      </c>
      <c r="F21" s="68">
        <f>IF($A21="","",SUMIFS('10_VANZARI'!$G$5:$G$604,'10_VANZARI'!$B$5:$B$604,$A21,'10_VANZARI'!$A$5:$A$604,"&gt;="&amp;'02_SETARI'!$B$5,'10_VANZARI'!$A$5:$A$604,"&lt;="&amp;'02_SETARI'!$B$6))</f>
        <v/>
      </c>
      <c r="G21" s="69">
        <f>IF($A21="","",IFERROR($F21/$C21,""))</f>
        <v/>
      </c>
      <c r="H21" s="69">
        <f>IF($A21="","",IFERROR($C21/SUMIFS('10_VANZARI'!$E$5:$E$604,'10_VANZARI'!$A$5:$A$604,"&gt;="&amp;'02_SETARI'!$B$5,'10_VANZARI'!$A$5:$A$604,"&lt;="&amp;'02_SETARI'!$B$6),""))</f>
        <v/>
      </c>
      <c r="I21" s="70">
        <f>IF($A21="","",IFERROR(IF(SUMPRODUCT(MAX(('10_VANZARI'!$B$5:$B$604=$A21)*('10_VANZARI'!$E$5:$E$604&lt;&gt;"")*'10_VANZARI'!$A$5:$A$604))=0,"",SUMPRODUCT(MAX(('10_VANZARI'!$B$5:$B$604=$A21)*('10_VANZARI'!$E$5:$E$604&lt;&gt;"")*'10_VANZARI'!$A$5:$A$604))),""))</f>
        <v/>
      </c>
      <c r="J21" s="68">
        <f>IF(OR($A21="",$I21=""),"",'02_SETARI'!$B$19-$I21)</f>
        <v/>
      </c>
      <c r="K21" s="68">
        <f>IF($A21="","",IFERROR(IF(INDEX('11_CLIENTI'!$D$5:$D$124,MATCH($A21,'11_CLIENTI'!$A$5:$A$124,0))="","",INDEX('11_CLIENTI'!$D$5:$D$124,MATCH($A21,'11_CLIENTI'!$A$5:$A$124,0))),""))</f>
        <v/>
      </c>
      <c r="L21" s="67">
        <f>IF($A21="","",IF(AND($K21&lt;&gt;"",$K21&lt;='02_SETARI'!$B$18),"Nemulțumit",IF(AND($D21&gt;0,$C21=0),"Nu mai cumpără",IF(AND($J21&lt;&gt;"",$J21&gt;'02_SETARI'!$B$17,$D21&gt;0),"Adormit",IF(AND($E21&lt;&gt;"",$E21&lt;='02_SETARI'!$B$15),"A scăzut",IF(AND($C21&gt;0,$G21&lt;&gt;"",$G21&lt;'02_SETARI'!$B$16),"Marjă mică",IF(AND($E21&lt;&gt;"",$E21&gt;=0.2),"În creștere",IF($C21=0,"Fără activitate","Merge bine"))))))))</f>
        <v/>
      </c>
      <c r="M21" s="67">
        <f>IF($A21="","",IF($L21="Nu mai cumpără","Sună-l săptămâna asta și întreabă direct ce s-a schimbat. Nu trimite email.",IF($L21="Adormit","Sună-l cu un motiv concret: o ofertă, o noutate, o reamintire de sezon.",IF($L21="A scăzut","Întreabă-l dacă a împărțit comenzile cu altcineva. De obicei asta s-a întâmplat.",IF($L21="Nemulțumit","Citește ce a spus în 11_CLIENTI. Rezolvă exact acel lucru, apoi sună-l să-i confirmi. Știi deja cauza — nu mai e nevoie să o cauți.",IF($L21="Marjă mică","Verifică ce discount are și cât te costă să-l servești. Poate merită renegociat.",IF($L21="În creștere","Întreabă-l ce altceva i-ar mai trebui. Acum e momentul, nu peste șase luni.",IF($L21="Fără activitate","Client în listă, dar fără vânzări în perioadă. Verifică dacă mai e client.","Nimic urgent. Ține-l cald."))))))))</f>
        <v/>
      </c>
      <c r="N21" s="68">
        <f>IF($A21="","",IFERROR(IF($L21="Nu mai cumpără",$D21,IF($L21="Adormit",$D21,IF($L21="A scăzut",MAX(0,$D21-$C21),IF($L21="Marjă mică",MAX(0,$C21*('02_SETARI'!$B$16-$G21)),$C21*0.15)))),""))</f>
        <v/>
      </c>
      <c r="O21">
        <f>IF(OR($A21="",$C21="",N($C21)&lt;=0),"",$C21+ROW()/1000000)</f>
        <v/>
      </c>
    </row>
    <row r="22">
      <c r="A22" s="67">
        <f>IF('11_CLIENTI'!$A22="","",'11_CLIENTI'!$A22)</f>
        <v/>
      </c>
      <c r="B22" s="67">
        <f>IF($A22="","",IFERROR(INDEX('11_CLIENTI'!$B$5:$B$124,MATCH($A22,'11_CLIENTI'!$A$5:$A$124,0)),""))</f>
        <v/>
      </c>
      <c r="C22" s="68">
        <f>IF($A22="","",SUMIFS('10_VANZARI'!$E$5:$E$604,'10_VANZARI'!$B$5:$B$604,$A22,'10_VANZARI'!$A$5:$A$604,"&gt;="&amp;'02_SETARI'!$B$5,'10_VANZARI'!$A$5:$A$604,"&lt;="&amp;'02_SETARI'!$B$6))</f>
        <v/>
      </c>
      <c r="D22" s="68">
        <f>IF($A22="","",SUMIFS('10_VANZARI'!$E$5:$E$604,'10_VANZARI'!$B$5:$B$604,$A22,'10_VANZARI'!$A$5:$A$604,"&gt;="&amp;'02_SETARI'!$B$7,'10_VANZARI'!$A$5:$A$604,"&lt;="&amp;'02_SETARI'!$B$8))</f>
        <v/>
      </c>
      <c r="E22" s="69">
        <f>IF($A22="","",IFERROR(IF($D22=0,"",($C22-$D22)/ABS($D22)),""))</f>
        <v/>
      </c>
      <c r="F22" s="68">
        <f>IF($A22="","",SUMIFS('10_VANZARI'!$G$5:$G$604,'10_VANZARI'!$B$5:$B$604,$A22,'10_VANZARI'!$A$5:$A$604,"&gt;="&amp;'02_SETARI'!$B$5,'10_VANZARI'!$A$5:$A$604,"&lt;="&amp;'02_SETARI'!$B$6))</f>
        <v/>
      </c>
      <c r="G22" s="69">
        <f>IF($A22="","",IFERROR($F22/$C22,""))</f>
        <v/>
      </c>
      <c r="H22" s="69">
        <f>IF($A22="","",IFERROR($C22/SUMIFS('10_VANZARI'!$E$5:$E$604,'10_VANZARI'!$A$5:$A$604,"&gt;="&amp;'02_SETARI'!$B$5,'10_VANZARI'!$A$5:$A$604,"&lt;="&amp;'02_SETARI'!$B$6),""))</f>
        <v/>
      </c>
      <c r="I22" s="70">
        <f>IF($A22="","",IFERROR(IF(SUMPRODUCT(MAX(('10_VANZARI'!$B$5:$B$604=$A22)*('10_VANZARI'!$E$5:$E$604&lt;&gt;"")*'10_VANZARI'!$A$5:$A$604))=0,"",SUMPRODUCT(MAX(('10_VANZARI'!$B$5:$B$604=$A22)*('10_VANZARI'!$E$5:$E$604&lt;&gt;"")*'10_VANZARI'!$A$5:$A$604))),""))</f>
        <v/>
      </c>
      <c r="J22" s="68">
        <f>IF(OR($A22="",$I22=""),"",'02_SETARI'!$B$19-$I22)</f>
        <v/>
      </c>
      <c r="K22" s="68">
        <f>IF($A22="","",IFERROR(IF(INDEX('11_CLIENTI'!$D$5:$D$124,MATCH($A22,'11_CLIENTI'!$A$5:$A$124,0))="","",INDEX('11_CLIENTI'!$D$5:$D$124,MATCH($A22,'11_CLIENTI'!$A$5:$A$124,0))),""))</f>
        <v/>
      </c>
      <c r="L22" s="67">
        <f>IF($A22="","",IF(AND($K22&lt;&gt;"",$K22&lt;='02_SETARI'!$B$18),"Nemulțumit",IF(AND($D22&gt;0,$C22=0),"Nu mai cumpără",IF(AND($J22&lt;&gt;"",$J22&gt;'02_SETARI'!$B$17,$D22&gt;0),"Adormit",IF(AND($E22&lt;&gt;"",$E22&lt;='02_SETARI'!$B$15),"A scăzut",IF(AND($C22&gt;0,$G22&lt;&gt;"",$G22&lt;'02_SETARI'!$B$16),"Marjă mică",IF(AND($E22&lt;&gt;"",$E22&gt;=0.2),"În creștere",IF($C22=0,"Fără activitate","Merge bine"))))))))</f>
        <v/>
      </c>
      <c r="M22" s="67">
        <f>IF($A22="","",IF($L22="Nu mai cumpără","Sună-l săptămâna asta și întreabă direct ce s-a schimbat. Nu trimite email.",IF($L22="Adormit","Sună-l cu un motiv concret: o ofertă, o noutate, o reamintire de sezon.",IF($L22="A scăzut","Întreabă-l dacă a împărțit comenzile cu altcineva. De obicei asta s-a întâmplat.",IF($L22="Nemulțumit","Citește ce a spus în 11_CLIENTI. Rezolvă exact acel lucru, apoi sună-l să-i confirmi. Știi deja cauza — nu mai e nevoie să o cauți.",IF($L22="Marjă mică","Verifică ce discount are și cât te costă să-l servești. Poate merită renegociat.",IF($L22="În creștere","Întreabă-l ce altceva i-ar mai trebui. Acum e momentul, nu peste șase luni.",IF($L22="Fără activitate","Client în listă, dar fără vânzări în perioadă. Verifică dacă mai e client.","Nimic urgent. Ține-l cald."))))))))</f>
        <v/>
      </c>
      <c r="N22" s="68">
        <f>IF($A22="","",IFERROR(IF($L22="Nu mai cumpără",$D22,IF($L22="Adormit",$D22,IF($L22="A scăzut",MAX(0,$D22-$C22),IF($L22="Marjă mică",MAX(0,$C22*('02_SETARI'!$B$16-$G22)),$C22*0.15)))),""))</f>
        <v/>
      </c>
      <c r="O22">
        <f>IF(OR($A22="",$C22="",N($C22)&lt;=0),"",$C22+ROW()/1000000)</f>
        <v/>
      </c>
    </row>
    <row r="23">
      <c r="A23" s="67">
        <f>IF('11_CLIENTI'!$A23="","",'11_CLIENTI'!$A23)</f>
        <v/>
      </c>
      <c r="B23" s="67">
        <f>IF($A23="","",IFERROR(INDEX('11_CLIENTI'!$B$5:$B$124,MATCH($A23,'11_CLIENTI'!$A$5:$A$124,0)),""))</f>
        <v/>
      </c>
      <c r="C23" s="68">
        <f>IF($A23="","",SUMIFS('10_VANZARI'!$E$5:$E$604,'10_VANZARI'!$B$5:$B$604,$A23,'10_VANZARI'!$A$5:$A$604,"&gt;="&amp;'02_SETARI'!$B$5,'10_VANZARI'!$A$5:$A$604,"&lt;="&amp;'02_SETARI'!$B$6))</f>
        <v/>
      </c>
      <c r="D23" s="68">
        <f>IF($A23="","",SUMIFS('10_VANZARI'!$E$5:$E$604,'10_VANZARI'!$B$5:$B$604,$A23,'10_VANZARI'!$A$5:$A$604,"&gt;="&amp;'02_SETARI'!$B$7,'10_VANZARI'!$A$5:$A$604,"&lt;="&amp;'02_SETARI'!$B$8))</f>
        <v/>
      </c>
      <c r="E23" s="69">
        <f>IF($A23="","",IFERROR(IF($D23=0,"",($C23-$D23)/ABS($D23)),""))</f>
        <v/>
      </c>
      <c r="F23" s="68">
        <f>IF($A23="","",SUMIFS('10_VANZARI'!$G$5:$G$604,'10_VANZARI'!$B$5:$B$604,$A23,'10_VANZARI'!$A$5:$A$604,"&gt;="&amp;'02_SETARI'!$B$5,'10_VANZARI'!$A$5:$A$604,"&lt;="&amp;'02_SETARI'!$B$6))</f>
        <v/>
      </c>
      <c r="G23" s="69">
        <f>IF($A23="","",IFERROR($F23/$C23,""))</f>
        <v/>
      </c>
      <c r="H23" s="69">
        <f>IF($A23="","",IFERROR($C23/SUMIFS('10_VANZARI'!$E$5:$E$604,'10_VANZARI'!$A$5:$A$604,"&gt;="&amp;'02_SETARI'!$B$5,'10_VANZARI'!$A$5:$A$604,"&lt;="&amp;'02_SETARI'!$B$6),""))</f>
        <v/>
      </c>
      <c r="I23" s="70">
        <f>IF($A23="","",IFERROR(IF(SUMPRODUCT(MAX(('10_VANZARI'!$B$5:$B$604=$A23)*('10_VANZARI'!$E$5:$E$604&lt;&gt;"")*'10_VANZARI'!$A$5:$A$604))=0,"",SUMPRODUCT(MAX(('10_VANZARI'!$B$5:$B$604=$A23)*('10_VANZARI'!$E$5:$E$604&lt;&gt;"")*'10_VANZARI'!$A$5:$A$604))),""))</f>
        <v/>
      </c>
      <c r="J23" s="68">
        <f>IF(OR($A23="",$I23=""),"",'02_SETARI'!$B$19-$I23)</f>
        <v/>
      </c>
      <c r="K23" s="68">
        <f>IF($A23="","",IFERROR(IF(INDEX('11_CLIENTI'!$D$5:$D$124,MATCH($A23,'11_CLIENTI'!$A$5:$A$124,0))="","",INDEX('11_CLIENTI'!$D$5:$D$124,MATCH($A23,'11_CLIENTI'!$A$5:$A$124,0))),""))</f>
        <v/>
      </c>
      <c r="L23" s="67">
        <f>IF($A23="","",IF(AND($K23&lt;&gt;"",$K23&lt;='02_SETARI'!$B$18),"Nemulțumit",IF(AND($D23&gt;0,$C23=0),"Nu mai cumpără",IF(AND($J23&lt;&gt;"",$J23&gt;'02_SETARI'!$B$17,$D23&gt;0),"Adormit",IF(AND($E23&lt;&gt;"",$E23&lt;='02_SETARI'!$B$15),"A scăzut",IF(AND($C23&gt;0,$G23&lt;&gt;"",$G23&lt;'02_SETARI'!$B$16),"Marjă mică",IF(AND($E23&lt;&gt;"",$E23&gt;=0.2),"În creștere",IF($C23=0,"Fără activitate","Merge bine"))))))))</f>
        <v/>
      </c>
      <c r="M23" s="67">
        <f>IF($A23="","",IF($L23="Nu mai cumpără","Sună-l săptămâna asta și întreabă direct ce s-a schimbat. Nu trimite email.",IF($L23="Adormit","Sună-l cu un motiv concret: o ofertă, o noutate, o reamintire de sezon.",IF($L23="A scăzut","Întreabă-l dacă a împărțit comenzile cu altcineva. De obicei asta s-a întâmplat.",IF($L23="Nemulțumit","Citește ce a spus în 11_CLIENTI. Rezolvă exact acel lucru, apoi sună-l să-i confirmi. Știi deja cauza — nu mai e nevoie să o cauți.",IF($L23="Marjă mică","Verifică ce discount are și cât te costă să-l servești. Poate merită renegociat.",IF($L23="În creștere","Întreabă-l ce altceva i-ar mai trebui. Acum e momentul, nu peste șase luni.",IF($L23="Fără activitate","Client în listă, dar fără vânzări în perioadă. Verifică dacă mai e client.","Nimic urgent. Ține-l cald."))))))))</f>
        <v/>
      </c>
      <c r="N23" s="68">
        <f>IF($A23="","",IFERROR(IF($L23="Nu mai cumpără",$D23,IF($L23="Adormit",$D23,IF($L23="A scăzut",MAX(0,$D23-$C23),IF($L23="Marjă mică",MAX(0,$C23*('02_SETARI'!$B$16-$G23)),$C23*0.15)))),""))</f>
        <v/>
      </c>
      <c r="O23">
        <f>IF(OR($A23="",$C23="",N($C23)&lt;=0),"",$C23+ROW()/1000000)</f>
        <v/>
      </c>
    </row>
    <row r="24">
      <c r="A24" s="67">
        <f>IF('11_CLIENTI'!$A24="","",'11_CLIENTI'!$A24)</f>
        <v/>
      </c>
      <c r="B24" s="67">
        <f>IF($A24="","",IFERROR(INDEX('11_CLIENTI'!$B$5:$B$124,MATCH($A24,'11_CLIENTI'!$A$5:$A$124,0)),""))</f>
        <v/>
      </c>
      <c r="C24" s="68">
        <f>IF($A24="","",SUMIFS('10_VANZARI'!$E$5:$E$604,'10_VANZARI'!$B$5:$B$604,$A24,'10_VANZARI'!$A$5:$A$604,"&gt;="&amp;'02_SETARI'!$B$5,'10_VANZARI'!$A$5:$A$604,"&lt;="&amp;'02_SETARI'!$B$6))</f>
        <v/>
      </c>
      <c r="D24" s="68">
        <f>IF($A24="","",SUMIFS('10_VANZARI'!$E$5:$E$604,'10_VANZARI'!$B$5:$B$604,$A24,'10_VANZARI'!$A$5:$A$604,"&gt;="&amp;'02_SETARI'!$B$7,'10_VANZARI'!$A$5:$A$604,"&lt;="&amp;'02_SETARI'!$B$8))</f>
        <v/>
      </c>
      <c r="E24" s="69">
        <f>IF($A24="","",IFERROR(IF($D24=0,"",($C24-$D24)/ABS($D24)),""))</f>
        <v/>
      </c>
      <c r="F24" s="68">
        <f>IF($A24="","",SUMIFS('10_VANZARI'!$G$5:$G$604,'10_VANZARI'!$B$5:$B$604,$A24,'10_VANZARI'!$A$5:$A$604,"&gt;="&amp;'02_SETARI'!$B$5,'10_VANZARI'!$A$5:$A$604,"&lt;="&amp;'02_SETARI'!$B$6))</f>
        <v/>
      </c>
      <c r="G24" s="69">
        <f>IF($A24="","",IFERROR($F24/$C24,""))</f>
        <v/>
      </c>
      <c r="H24" s="69">
        <f>IF($A24="","",IFERROR($C24/SUMIFS('10_VANZARI'!$E$5:$E$604,'10_VANZARI'!$A$5:$A$604,"&gt;="&amp;'02_SETARI'!$B$5,'10_VANZARI'!$A$5:$A$604,"&lt;="&amp;'02_SETARI'!$B$6),""))</f>
        <v/>
      </c>
      <c r="I24" s="70">
        <f>IF($A24="","",IFERROR(IF(SUMPRODUCT(MAX(('10_VANZARI'!$B$5:$B$604=$A24)*('10_VANZARI'!$E$5:$E$604&lt;&gt;"")*'10_VANZARI'!$A$5:$A$604))=0,"",SUMPRODUCT(MAX(('10_VANZARI'!$B$5:$B$604=$A24)*('10_VANZARI'!$E$5:$E$604&lt;&gt;"")*'10_VANZARI'!$A$5:$A$604))),""))</f>
        <v/>
      </c>
      <c r="J24" s="68">
        <f>IF(OR($A24="",$I24=""),"",'02_SETARI'!$B$19-$I24)</f>
        <v/>
      </c>
      <c r="K24" s="68">
        <f>IF($A24="","",IFERROR(IF(INDEX('11_CLIENTI'!$D$5:$D$124,MATCH($A24,'11_CLIENTI'!$A$5:$A$124,0))="","",INDEX('11_CLIENTI'!$D$5:$D$124,MATCH($A24,'11_CLIENTI'!$A$5:$A$124,0))),""))</f>
        <v/>
      </c>
      <c r="L24" s="67">
        <f>IF($A24="","",IF(AND($K24&lt;&gt;"",$K24&lt;='02_SETARI'!$B$18),"Nemulțumit",IF(AND($D24&gt;0,$C24=0),"Nu mai cumpără",IF(AND($J24&lt;&gt;"",$J24&gt;'02_SETARI'!$B$17,$D24&gt;0),"Adormit",IF(AND($E24&lt;&gt;"",$E24&lt;='02_SETARI'!$B$15),"A scăzut",IF(AND($C24&gt;0,$G24&lt;&gt;"",$G24&lt;'02_SETARI'!$B$16),"Marjă mică",IF(AND($E24&lt;&gt;"",$E24&gt;=0.2),"În creștere",IF($C24=0,"Fără activitate","Merge bine"))))))))</f>
        <v/>
      </c>
      <c r="M24" s="67">
        <f>IF($A24="","",IF($L24="Nu mai cumpără","Sună-l săptămâna asta și întreabă direct ce s-a schimbat. Nu trimite email.",IF($L24="Adormit","Sună-l cu un motiv concret: o ofertă, o noutate, o reamintire de sezon.",IF($L24="A scăzut","Întreabă-l dacă a împărțit comenzile cu altcineva. De obicei asta s-a întâmplat.",IF($L24="Nemulțumit","Citește ce a spus în 11_CLIENTI. Rezolvă exact acel lucru, apoi sună-l să-i confirmi. Știi deja cauza — nu mai e nevoie să o cauți.",IF($L24="Marjă mică","Verifică ce discount are și cât te costă să-l servești. Poate merită renegociat.",IF($L24="În creștere","Întreabă-l ce altceva i-ar mai trebui. Acum e momentul, nu peste șase luni.",IF($L24="Fără activitate","Client în listă, dar fără vânzări în perioadă. Verifică dacă mai e client.","Nimic urgent. Ține-l cald."))))))))</f>
        <v/>
      </c>
      <c r="N24" s="68">
        <f>IF($A24="","",IFERROR(IF($L24="Nu mai cumpără",$D24,IF($L24="Adormit",$D24,IF($L24="A scăzut",MAX(0,$D24-$C24),IF($L24="Marjă mică",MAX(0,$C24*('02_SETARI'!$B$16-$G24)),$C24*0.15)))),""))</f>
        <v/>
      </c>
      <c r="O24">
        <f>IF(OR($A24="",$C24="",N($C24)&lt;=0),"",$C24+ROW()/1000000)</f>
        <v/>
      </c>
    </row>
    <row r="25">
      <c r="A25" s="67">
        <f>IF('11_CLIENTI'!$A25="","",'11_CLIENTI'!$A25)</f>
        <v/>
      </c>
      <c r="B25" s="67">
        <f>IF($A25="","",IFERROR(INDEX('11_CLIENTI'!$B$5:$B$124,MATCH($A25,'11_CLIENTI'!$A$5:$A$124,0)),""))</f>
        <v/>
      </c>
      <c r="C25" s="68">
        <f>IF($A25="","",SUMIFS('10_VANZARI'!$E$5:$E$604,'10_VANZARI'!$B$5:$B$604,$A25,'10_VANZARI'!$A$5:$A$604,"&gt;="&amp;'02_SETARI'!$B$5,'10_VANZARI'!$A$5:$A$604,"&lt;="&amp;'02_SETARI'!$B$6))</f>
        <v/>
      </c>
      <c r="D25" s="68">
        <f>IF($A25="","",SUMIFS('10_VANZARI'!$E$5:$E$604,'10_VANZARI'!$B$5:$B$604,$A25,'10_VANZARI'!$A$5:$A$604,"&gt;="&amp;'02_SETARI'!$B$7,'10_VANZARI'!$A$5:$A$604,"&lt;="&amp;'02_SETARI'!$B$8))</f>
        <v/>
      </c>
      <c r="E25" s="69">
        <f>IF($A25="","",IFERROR(IF($D25=0,"",($C25-$D25)/ABS($D25)),""))</f>
        <v/>
      </c>
      <c r="F25" s="68">
        <f>IF($A25="","",SUMIFS('10_VANZARI'!$G$5:$G$604,'10_VANZARI'!$B$5:$B$604,$A25,'10_VANZARI'!$A$5:$A$604,"&gt;="&amp;'02_SETARI'!$B$5,'10_VANZARI'!$A$5:$A$604,"&lt;="&amp;'02_SETARI'!$B$6))</f>
        <v/>
      </c>
      <c r="G25" s="69">
        <f>IF($A25="","",IFERROR($F25/$C25,""))</f>
        <v/>
      </c>
      <c r="H25" s="69">
        <f>IF($A25="","",IFERROR($C25/SUMIFS('10_VANZARI'!$E$5:$E$604,'10_VANZARI'!$A$5:$A$604,"&gt;="&amp;'02_SETARI'!$B$5,'10_VANZARI'!$A$5:$A$604,"&lt;="&amp;'02_SETARI'!$B$6),""))</f>
        <v/>
      </c>
      <c r="I25" s="70">
        <f>IF($A25="","",IFERROR(IF(SUMPRODUCT(MAX(('10_VANZARI'!$B$5:$B$604=$A25)*('10_VANZARI'!$E$5:$E$604&lt;&gt;"")*'10_VANZARI'!$A$5:$A$604))=0,"",SUMPRODUCT(MAX(('10_VANZARI'!$B$5:$B$604=$A25)*('10_VANZARI'!$E$5:$E$604&lt;&gt;"")*'10_VANZARI'!$A$5:$A$604))),""))</f>
        <v/>
      </c>
      <c r="J25" s="68">
        <f>IF(OR($A25="",$I25=""),"",'02_SETARI'!$B$19-$I25)</f>
        <v/>
      </c>
      <c r="K25" s="68">
        <f>IF($A25="","",IFERROR(IF(INDEX('11_CLIENTI'!$D$5:$D$124,MATCH($A25,'11_CLIENTI'!$A$5:$A$124,0))="","",INDEX('11_CLIENTI'!$D$5:$D$124,MATCH($A25,'11_CLIENTI'!$A$5:$A$124,0))),""))</f>
        <v/>
      </c>
      <c r="L25" s="67">
        <f>IF($A25="","",IF(AND($K25&lt;&gt;"",$K25&lt;='02_SETARI'!$B$18),"Nemulțumit",IF(AND($D25&gt;0,$C25=0),"Nu mai cumpără",IF(AND($J25&lt;&gt;"",$J25&gt;'02_SETARI'!$B$17,$D25&gt;0),"Adormit",IF(AND($E25&lt;&gt;"",$E25&lt;='02_SETARI'!$B$15),"A scăzut",IF(AND($C25&gt;0,$G25&lt;&gt;"",$G25&lt;'02_SETARI'!$B$16),"Marjă mică",IF(AND($E25&lt;&gt;"",$E25&gt;=0.2),"În creștere",IF($C25=0,"Fără activitate","Merge bine"))))))))</f>
        <v/>
      </c>
      <c r="M25" s="67">
        <f>IF($A25="","",IF($L25="Nu mai cumpără","Sună-l săptămâna asta și întreabă direct ce s-a schimbat. Nu trimite email.",IF($L25="Adormit","Sună-l cu un motiv concret: o ofertă, o noutate, o reamintire de sezon.",IF($L25="A scăzut","Întreabă-l dacă a împărțit comenzile cu altcineva. De obicei asta s-a întâmplat.",IF($L25="Nemulțumit","Citește ce a spus în 11_CLIENTI. Rezolvă exact acel lucru, apoi sună-l să-i confirmi. Știi deja cauza — nu mai e nevoie să o cauți.",IF($L25="Marjă mică","Verifică ce discount are și cât te costă să-l servești. Poate merită renegociat.",IF($L25="În creștere","Întreabă-l ce altceva i-ar mai trebui. Acum e momentul, nu peste șase luni.",IF($L25="Fără activitate","Client în listă, dar fără vânzări în perioadă. Verifică dacă mai e client.","Nimic urgent. Ține-l cald."))))))))</f>
        <v/>
      </c>
      <c r="N25" s="68">
        <f>IF($A25="","",IFERROR(IF($L25="Nu mai cumpără",$D25,IF($L25="Adormit",$D25,IF($L25="A scăzut",MAX(0,$D25-$C25),IF($L25="Marjă mică",MAX(0,$C25*('02_SETARI'!$B$16-$G25)),$C25*0.15)))),""))</f>
        <v/>
      </c>
      <c r="O25">
        <f>IF(OR($A25="",$C25="",N($C25)&lt;=0),"",$C25+ROW()/1000000)</f>
        <v/>
      </c>
    </row>
    <row r="26">
      <c r="A26" s="67">
        <f>IF('11_CLIENTI'!$A26="","",'11_CLIENTI'!$A26)</f>
        <v/>
      </c>
      <c r="B26" s="67">
        <f>IF($A26="","",IFERROR(INDEX('11_CLIENTI'!$B$5:$B$124,MATCH($A26,'11_CLIENTI'!$A$5:$A$124,0)),""))</f>
        <v/>
      </c>
      <c r="C26" s="68">
        <f>IF($A26="","",SUMIFS('10_VANZARI'!$E$5:$E$604,'10_VANZARI'!$B$5:$B$604,$A26,'10_VANZARI'!$A$5:$A$604,"&gt;="&amp;'02_SETARI'!$B$5,'10_VANZARI'!$A$5:$A$604,"&lt;="&amp;'02_SETARI'!$B$6))</f>
        <v/>
      </c>
      <c r="D26" s="68">
        <f>IF($A26="","",SUMIFS('10_VANZARI'!$E$5:$E$604,'10_VANZARI'!$B$5:$B$604,$A26,'10_VANZARI'!$A$5:$A$604,"&gt;="&amp;'02_SETARI'!$B$7,'10_VANZARI'!$A$5:$A$604,"&lt;="&amp;'02_SETARI'!$B$8))</f>
        <v/>
      </c>
      <c r="E26" s="69">
        <f>IF($A26="","",IFERROR(IF($D26=0,"",($C26-$D26)/ABS($D26)),""))</f>
        <v/>
      </c>
      <c r="F26" s="68">
        <f>IF($A26="","",SUMIFS('10_VANZARI'!$G$5:$G$604,'10_VANZARI'!$B$5:$B$604,$A26,'10_VANZARI'!$A$5:$A$604,"&gt;="&amp;'02_SETARI'!$B$5,'10_VANZARI'!$A$5:$A$604,"&lt;="&amp;'02_SETARI'!$B$6))</f>
        <v/>
      </c>
      <c r="G26" s="69">
        <f>IF($A26="","",IFERROR($F26/$C26,""))</f>
        <v/>
      </c>
      <c r="H26" s="69">
        <f>IF($A26="","",IFERROR($C26/SUMIFS('10_VANZARI'!$E$5:$E$604,'10_VANZARI'!$A$5:$A$604,"&gt;="&amp;'02_SETARI'!$B$5,'10_VANZARI'!$A$5:$A$604,"&lt;="&amp;'02_SETARI'!$B$6),""))</f>
        <v/>
      </c>
      <c r="I26" s="70">
        <f>IF($A26="","",IFERROR(IF(SUMPRODUCT(MAX(('10_VANZARI'!$B$5:$B$604=$A26)*('10_VANZARI'!$E$5:$E$604&lt;&gt;"")*'10_VANZARI'!$A$5:$A$604))=0,"",SUMPRODUCT(MAX(('10_VANZARI'!$B$5:$B$604=$A26)*('10_VANZARI'!$E$5:$E$604&lt;&gt;"")*'10_VANZARI'!$A$5:$A$604))),""))</f>
        <v/>
      </c>
      <c r="J26" s="68">
        <f>IF(OR($A26="",$I26=""),"",'02_SETARI'!$B$19-$I26)</f>
        <v/>
      </c>
      <c r="K26" s="68">
        <f>IF($A26="","",IFERROR(IF(INDEX('11_CLIENTI'!$D$5:$D$124,MATCH($A26,'11_CLIENTI'!$A$5:$A$124,0))="","",INDEX('11_CLIENTI'!$D$5:$D$124,MATCH($A26,'11_CLIENTI'!$A$5:$A$124,0))),""))</f>
        <v/>
      </c>
      <c r="L26" s="67">
        <f>IF($A26="","",IF(AND($K26&lt;&gt;"",$K26&lt;='02_SETARI'!$B$18),"Nemulțumit",IF(AND($D26&gt;0,$C26=0),"Nu mai cumpără",IF(AND($J26&lt;&gt;"",$J26&gt;'02_SETARI'!$B$17,$D26&gt;0),"Adormit",IF(AND($E26&lt;&gt;"",$E26&lt;='02_SETARI'!$B$15),"A scăzut",IF(AND($C26&gt;0,$G26&lt;&gt;"",$G26&lt;'02_SETARI'!$B$16),"Marjă mică",IF(AND($E26&lt;&gt;"",$E26&gt;=0.2),"În creștere",IF($C26=0,"Fără activitate","Merge bine"))))))))</f>
        <v/>
      </c>
      <c r="M26" s="67">
        <f>IF($A26="","",IF($L26="Nu mai cumpără","Sună-l săptămâna asta și întreabă direct ce s-a schimbat. Nu trimite email.",IF($L26="Adormit","Sună-l cu un motiv concret: o ofertă, o noutate, o reamintire de sezon.",IF($L26="A scăzut","Întreabă-l dacă a împărțit comenzile cu altcineva. De obicei asta s-a întâmplat.",IF($L26="Nemulțumit","Citește ce a spus în 11_CLIENTI. Rezolvă exact acel lucru, apoi sună-l să-i confirmi. Știi deja cauza — nu mai e nevoie să o cauți.",IF($L26="Marjă mică","Verifică ce discount are și cât te costă să-l servești. Poate merită renegociat.",IF($L26="În creștere","Întreabă-l ce altceva i-ar mai trebui. Acum e momentul, nu peste șase luni.",IF($L26="Fără activitate","Client în listă, dar fără vânzări în perioadă. Verifică dacă mai e client.","Nimic urgent. Ține-l cald."))))))))</f>
        <v/>
      </c>
      <c r="N26" s="68">
        <f>IF($A26="","",IFERROR(IF($L26="Nu mai cumpără",$D26,IF($L26="Adormit",$D26,IF($L26="A scăzut",MAX(0,$D26-$C26),IF($L26="Marjă mică",MAX(0,$C26*('02_SETARI'!$B$16-$G26)),$C26*0.15)))),""))</f>
        <v/>
      </c>
      <c r="O26">
        <f>IF(OR($A26="",$C26="",N($C26)&lt;=0),"",$C26+ROW()/1000000)</f>
        <v/>
      </c>
    </row>
    <row r="27">
      <c r="A27" s="67">
        <f>IF('11_CLIENTI'!$A27="","",'11_CLIENTI'!$A27)</f>
        <v/>
      </c>
      <c r="B27" s="67">
        <f>IF($A27="","",IFERROR(INDEX('11_CLIENTI'!$B$5:$B$124,MATCH($A27,'11_CLIENTI'!$A$5:$A$124,0)),""))</f>
        <v/>
      </c>
      <c r="C27" s="68">
        <f>IF($A27="","",SUMIFS('10_VANZARI'!$E$5:$E$604,'10_VANZARI'!$B$5:$B$604,$A27,'10_VANZARI'!$A$5:$A$604,"&gt;="&amp;'02_SETARI'!$B$5,'10_VANZARI'!$A$5:$A$604,"&lt;="&amp;'02_SETARI'!$B$6))</f>
        <v/>
      </c>
      <c r="D27" s="68">
        <f>IF($A27="","",SUMIFS('10_VANZARI'!$E$5:$E$604,'10_VANZARI'!$B$5:$B$604,$A27,'10_VANZARI'!$A$5:$A$604,"&gt;="&amp;'02_SETARI'!$B$7,'10_VANZARI'!$A$5:$A$604,"&lt;="&amp;'02_SETARI'!$B$8))</f>
        <v/>
      </c>
      <c r="E27" s="69">
        <f>IF($A27="","",IFERROR(IF($D27=0,"",($C27-$D27)/ABS($D27)),""))</f>
        <v/>
      </c>
      <c r="F27" s="68">
        <f>IF($A27="","",SUMIFS('10_VANZARI'!$G$5:$G$604,'10_VANZARI'!$B$5:$B$604,$A27,'10_VANZARI'!$A$5:$A$604,"&gt;="&amp;'02_SETARI'!$B$5,'10_VANZARI'!$A$5:$A$604,"&lt;="&amp;'02_SETARI'!$B$6))</f>
        <v/>
      </c>
      <c r="G27" s="69">
        <f>IF($A27="","",IFERROR($F27/$C27,""))</f>
        <v/>
      </c>
      <c r="H27" s="69">
        <f>IF($A27="","",IFERROR($C27/SUMIFS('10_VANZARI'!$E$5:$E$604,'10_VANZARI'!$A$5:$A$604,"&gt;="&amp;'02_SETARI'!$B$5,'10_VANZARI'!$A$5:$A$604,"&lt;="&amp;'02_SETARI'!$B$6),""))</f>
        <v/>
      </c>
      <c r="I27" s="70">
        <f>IF($A27="","",IFERROR(IF(SUMPRODUCT(MAX(('10_VANZARI'!$B$5:$B$604=$A27)*('10_VANZARI'!$E$5:$E$604&lt;&gt;"")*'10_VANZARI'!$A$5:$A$604))=0,"",SUMPRODUCT(MAX(('10_VANZARI'!$B$5:$B$604=$A27)*('10_VANZARI'!$E$5:$E$604&lt;&gt;"")*'10_VANZARI'!$A$5:$A$604))),""))</f>
        <v/>
      </c>
      <c r="J27" s="68">
        <f>IF(OR($A27="",$I27=""),"",'02_SETARI'!$B$19-$I27)</f>
        <v/>
      </c>
      <c r="K27" s="68">
        <f>IF($A27="","",IFERROR(IF(INDEX('11_CLIENTI'!$D$5:$D$124,MATCH($A27,'11_CLIENTI'!$A$5:$A$124,0))="","",INDEX('11_CLIENTI'!$D$5:$D$124,MATCH($A27,'11_CLIENTI'!$A$5:$A$124,0))),""))</f>
        <v/>
      </c>
      <c r="L27" s="67">
        <f>IF($A27="","",IF(AND($K27&lt;&gt;"",$K27&lt;='02_SETARI'!$B$18),"Nemulțumit",IF(AND($D27&gt;0,$C27=0),"Nu mai cumpără",IF(AND($J27&lt;&gt;"",$J27&gt;'02_SETARI'!$B$17,$D27&gt;0),"Adormit",IF(AND($E27&lt;&gt;"",$E27&lt;='02_SETARI'!$B$15),"A scăzut",IF(AND($C27&gt;0,$G27&lt;&gt;"",$G27&lt;'02_SETARI'!$B$16),"Marjă mică",IF(AND($E27&lt;&gt;"",$E27&gt;=0.2),"În creștere",IF($C27=0,"Fără activitate","Merge bine"))))))))</f>
        <v/>
      </c>
      <c r="M27" s="67">
        <f>IF($A27="","",IF($L27="Nu mai cumpără","Sună-l săptămâna asta și întreabă direct ce s-a schimbat. Nu trimite email.",IF($L27="Adormit","Sună-l cu un motiv concret: o ofertă, o noutate, o reamintire de sezon.",IF($L27="A scăzut","Întreabă-l dacă a împărțit comenzile cu altcineva. De obicei asta s-a întâmplat.",IF($L27="Nemulțumit","Citește ce a spus în 11_CLIENTI. Rezolvă exact acel lucru, apoi sună-l să-i confirmi. Știi deja cauza — nu mai e nevoie să o cauți.",IF($L27="Marjă mică","Verifică ce discount are și cât te costă să-l servești. Poate merită renegociat.",IF($L27="În creștere","Întreabă-l ce altceva i-ar mai trebui. Acum e momentul, nu peste șase luni.",IF($L27="Fără activitate","Client în listă, dar fără vânzări în perioadă. Verifică dacă mai e client.","Nimic urgent. Ține-l cald."))))))))</f>
        <v/>
      </c>
      <c r="N27" s="68">
        <f>IF($A27="","",IFERROR(IF($L27="Nu mai cumpără",$D27,IF($L27="Adormit",$D27,IF($L27="A scăzut",MAX(0,$D27-$C27),IF($L27="Marjă mică",MAX(0,$C27*('02_SETARI'!$B$16-$G27)),$C27*0.15)))),""))</f>
        <v/>
      </c>
      <c r="O27">
        <f>IF(OR($A27="",$C27="",N($C27)&lt;=0),"",$C27+ROW()/1000000)</f>
        <v/>
      </c>
    </row>
    <row r="28">
      <c r="A28" s="67">
        <f>IF('11_CLIENTI'!$A28="","",'11_CLIENTI'!$A28)</f>
        <v/>
      </c>
      <c r="B28" s="67">
        <f>IF($A28="","",IFERROR(INDEX('11_CLIENTI'!$B$5:$B$124,MATCH($A28,'11_CLIENTI'!$A$5:$A$124,0)),""))</f>
        <v/>
      </c>
      <c r="C28" s="68">
        <f>IF($A28="","",SUMIFS('10_VANZARI'!$E$5:$E$604,'10_VANZARI'!$B$5:$B$604,$A28,'10_VANZARI'!$A$5:$A$604,"&gt;="&amp;'02_SETARI'!$B$5,'10_VANZARI'!$A$5:$A$604,"&lt;="&amp;'02_SETARI'!$B$6))</f>
        <v/>
      </c>
      <c r="D28" s="68">
        <f>IF($A28="","",SUMIFS('10_VANZARI'!$E$5:$E$604,'10_VANZARI'!$B$5:$B$604,$A28,'10_VANZARI'!$A$5:$A$604,"&gt;="&amp;'02_SETARI'!$B$7,'10_VANZARI'!$A$5:$A$604,"&lt;="&amp;'02_SETARI'!$B$8))</f>
        <v/>
      </c>
      <c r="E28" s="69">
        <f>IF($A28="","",IFERROR(IF($D28=0,"",($C28-$D28)/ABS($D28)),""))</f>
        <v/>
      </c>
      <c r="F28" s="68">
        <f>IF($A28="","",SUMIFS('10_VANZARI'!$G$5:$G$604,'10_VANZARI'!$B$5:$B$604,$A28,'10_VANZARI'!$A$5:$A$604,"&gt;="&amp;'02_SETARI'!$B$5,'10_VANZARI'!$A$5:$A$604,"&lt;="&amp;'02_SETARI'!$B$6))</f>
        <v/>
      </c>
      <c r="G28" s="69">
        <f>IF($A28="","",IFERROR($F28/$C28,""))</f>
        <v/>
      </c>
      <c r="H28" s="69">
        <f>IF($A28="","",IFERROR($C28/SUMIFS('10_VANZARI'!$E$5:$E$604,'10_VANZARI'!$A$5:$A$604,"&gt;="&amp;'02_SETARI'!$B$5,'10_VANZARI'!$A$5:$A$604,"&lt;="&amp;'02_SETARI'!$B$6),""))</f>
        <v/>
      </c>
      <c r="I28" s="70">
        <f>IF($A28="","",IFERROR(IF(SUMPRODUCT(MAX(('10_VANZARI'!$B$5:$B$604=$A28)*('10_VANZARI'!$E$5:$E$604&lt;&gt;"")*'10_VANZARI'!$A$5:$A$604))=0,"",SUMPRODUCT(MAX(('10_VANZARI'!$B$5:$B$604=$A28)*('10_VANZARI'!$E$5:$E$604&lt;&gt;"")*'10_VANZARI'!$A$5:$A$604))),""))</f>
        <v/>
      </c>
      <c r="J28" s="68">
        <f>IF(OR($A28="",$I28=""),"",'02_SETARI'!$B$19-$I28)</f>
        <v/>
      </c>
      <c r="K28" s="68">
        <f>IF($A28="","",IFERROR(IF(INDEX('11_CLIENTI'!$D$5:$D$124,MATCH($A28,'11_CLIENTI'!$A$5:$A$124,0))="","",INDEX('11_CLIENTI'!$D$5:$D$124,MATCH($A28,'11_CLIENTI'!$A$5:$A$124,0))),""))</f>
        <v/>
      </c>
      <c r="L28" s="67">
        <f>IF($A28="","",IF(AND($K28&lt;&gt;"",$K28&lt;='02_SETARI'!$B$18),"Nemulțumit",IF(AND($D28&gt;0,$C28=0),"Nu mai cumpără",IF(AND($J28&lt;&gt;"",$J28&gt;'02_SETARI'!$B$17,$D28&gt;0),"Adormit",IF(AND($E28&lt;&gt;"",$E28&lt;='02_SETARI'!$B$15),"A scăzut",IF(AND($C28&gt;0,$G28&lt;&gt;"",$G28&lt;'02_SETARI'!$B$16),"Marjă mică",IF(AND($E28&lt;&gt;"",$E28&gt;=0.2),"În creștere",IF($C28=0,"Fără activitate","Merge bine"))))))))</f>
        <v/>
      </c>
      <c r="M28" s="67">
        <f>IF($A28="","",IF($L28="Nu mai cumpără","Sună-l săptămâna asta și întreabă direct ce s-a schimbat. Nu trimite email.",IF($L28="Adormit","Sună-l cu un motiv concret: o ofertă, o noutate, o reamintire de sezon.",IF($L28="A scăzut","Întreabă-l dacă a împărțit comenzile cu altcineva. De obicei asta s-a întâmplat.",IF($L28="Nemulțumit","Citește ce a spus în 11_CLIENTI. Rezolvă exact acel lucru, apoi sună-l să-i confirmi. Știi deja cauza — nu mai e nevoie să o cauți.",IF($L28="Marjă mică","Verifică ce discount are și cât te costă să-l servești. Poate merită renegociat.",IF($L28="În creștere","Întreabă-l ce altceva i-ar mai trebui. Acum e momentul, nu peste șase luni.",IF($L28="Fără activitate","Client în listă, dar fără vânzări în perioadă. Verifică dacă mai e client.","Nimic urgent. Ține-l cald."))))))))</f>
        <v/>
      </c>
      <c r="N28" s="68">
        <f>IF($A28="","",IFERROR(IF($L28="Nu mai cumpără",$D28,IF($L28="Adormit",$D28,IF($L28="A scăzut",MAX(0,$D28-$C28),IF($L28="Marjă mică",MAX(0,$C28*('02_SETARI'!$B$16-$G28)),$C28*0.15)))),""))</f>
        <v/>
      </c>
      <c r="O28">
        <f>IF(OR($A28="",$C28="",N($C28)&lt;=0),"",$C28+ROW()/1000000)</f>
        <v/>
      </c>
    </row>
    <row r="29">
      <c r="A29" s="67">
        <f>IF('11_CLIENTI'!$A29="","",'11_CLIENTI'!$A29)</f>
        <v/>
      </c>
      <c r="B29" s="67">
        <f>IF($A29="","",IFERROR(INDEX('11_CLIENTI'!$B$5:$B$124,MATCH($A29,'11_CLIENTI'!$A$5:$A$124,0)),""))</f>
        <v/>
      </c>
      <c r="C29" s="68">
        <f>IF($A29="","",SUMIFS('10_VANZARI'!$E$5:$E$604,'10_VANZARI'!$B$5:$B$604,$A29,'10_VANZARI'!$A$5:$A$604,"&gt;="&amp;'02_SETARI'!$B$5,'10_VANZARI'!$A$5:$A$604,"&lt;="&amp;'02_SETARI'!$B$6))</f>
        <v/>
      </c>
      <c r="D29" s="68">
        <f>IF($A29="","",SUMIFS('10_VANZARI'!$E$5:$E$604,'10_VANZARI'!$B$5:$B$604,$A29,'10_VANZARI'!$A$5:$A$604,"&gt;="&amp;'02_SETARI'!$B$7,'10_VANZARI'!$A$5:$A$604,"&lt;="&amp;'02_SETARI'!$B$8))</f>
        <v/>
      </c>
      <c r="E29" s="69">
        <f>IF($A29="","",IFERROR(IF($D29=0,"",($C29-$D29)/ABS($D29)),""))</f>
        <v/>
      </c>
      <c r="F29" s="68">
        <f>IF($A29="","",SUMIFS('10_VANZARI'!$G$5:$G$604,'10_VANZARI'!$B$5:$B$604,$A29,'10_VANZARI'!$A$5:$A$604,"&gt;="&amp;'02_SETARI'!$B$5,'10_VANZARI'!$A$5:$A$604,"&lt;="&amp;'02_SETARI'!$B$6))</f>
        <v/>
      </c>
      <c r="G29" s="69">
        <f>IF($A29="","",IFERROR($F29/$C29,""))</f>
        <v/>
      </c>
      <c r="H29" s="69">
        <f>IF($A29="","",IFERROR($C29/SUMIFS('10_VANZARI'!$E$5:$E$604,'10_VANZARI'!$A$5:$A$604,"&gt;="&amp;'02_SETARI'!$B$5,'10_VANZARI'!$A$5:$A$604,"&lt;="&amp;'02_SETARI'!$B$6),""))</f>
        <v/>
      </c>
      <c r="I29" s="70">
        <f>IF($A29="","",IFERROR(IF(SUMPRODUCT(MAX(('10_VANZARI'!$B$5:$B$604=$A29)*('10_VANZARI'!$E$5:$E$604&lt;&gt;"")*'10_VANZARI'!$A$5:$A$604))=0,"",SUMPRODUCT(MAX(('10_VANZARI'!$B$5:$B$604=$A29)*('10_VANZARI'!$E$5:$E$604&lt;&gt;"")*'10_VANZARI'!$A$5:$A$604))),""))</f>
        <v/>
      </c>
      <c r="J29" s="68">
        <f>IF(OR($A29="",$I29=""),"",'02_SETARI'!$B$19-$I29)</f>
        <v/>
      </c>
      <c r="K29" s="68">
        <f>IF($A29="","",IFERROR(IF(INDEX('11_CLIENTI'!$D$5:$D$124,MATCH($A29,'11_CLIENTI'!$A$5:$A$124,0))="","",INDEX('11_CLIENTI'!$D$5:$D$124,MATCH($A29,'11_CLIENTI'!$A$5:$A$124,0))),""))</f>
        <v/>
      </c>
      <c r="L29" s="67">
        <f>IF($A29="","",IF(AND($K29&lt;&gt;"",$K29&lt;='02_SETARI'!$B$18),"Nemulțumit",IF(AND($D29&gt;0,$C29=0),"Nu mai cumpără",IF(AND($J29&lt;&gt;"",$J29&gt;'02_SETARI'!$B$17,$D29&gt;0),"Adormit",IF(AND($E29&lt;&gt;"",$E29&lt;='02_SETARI'!$B$15),"A scăzut",IF(AND($C29&gt;0,$G29&lt;&gt;"",$G29&lt;'02_SETARI'!$B$16),"Marjă mică",IF(AND($E29&lt;&gt;"",$E29&gt;=0.2),"În creștere",IF($C29=0,"Fără activitate","Merge bine"))))))))</f>
        <v/>
      </c>
      <c r="M29" s="67">
        <f>IF($A29="","",IF($L29="Nu mai cumpără","Sună-l săptămâna asta și întreabă direct ce s-a schimbat. Nu trimite email.",IF($L29="Adormit","Sună-l cu un motiv concret: o ofertă, o noutate, o reamintire de sezon.",IF($L29="A scăzut","Întreabă-l dacă a împărțit comenzile cu altcineva. De obicei asta s-a întâmplat.",IF($L29="Nemulțumit","Citește ce a spus în 11_CLIENTI. Rezolvă exact acel lucru, apoi sună-l să-i confirmi. Știi deja cauza — nu mai e nevoie să o cauți.",IF($L29="Marjă mică","Verifică ce discount are și cât te costă să-l servești. Poate merită renegociat.",IF($L29="În creștere","Întreabă-l ce altceva i-ar mai trebui. Acum e momentul, nu peste șase luni.",IF($L29="Fără activitate","Client în listă, dar fără vânzări în perioadă. Verifică dacă mai e client.","Nimic urgent. Ține-l cald."))))))))</f>
        <v/>
      </c>
      <c r="N29" s="68">
        <f>IF($A29="","",IFERROR(IF($L29="Nu mai cumpără",$D29,IF($L29="Adormit",$D29,IF($L29="A scăzut",MAX(0,$D29-$C29),IF($L29="Marjă mică",MAX(0,$C29*('02_SETARI'!$B$16-$G29)),$C29*0.15)))),""))</f>
        <v/>
      </c>
      <c r="O29">
        <f>IF(OR($A29="",$C29="",N($C29)&lt;=0),"",$C29+ROW()/1000000)</f>
        <v/>
      </c>
    </row>
    <row r="30">
      <c r="A30" s="67">
        <f>IF('11_CLIENTI'!$A30="","",'11_CLIENTI'!$A30)</f>
        <v/>
      </c>
      <c r="B30" s="67">
        <f>IF($A30="","",IFERROR(INDEX('11_CLIENTI'!$B$5:$B$124,MATCH($A30,'11_CLIENTI'!$A$5:$A$124,0)),""))</f>
        <v/>
      </c>
      <c r="C30" s="68">
        <f>IF($A30="","",SUMIFS('10_VANZARI'!$E$5:$E$604,'10_VANZARI'!$B$5:$B$604,$A30,'10_VANZARI'!$A$5:$A$604,"&gt;="&amp;'02_SETARI'!$B$5,'10_VANZARI'!$A$5:$A$604,"&lt;="&amp;'02_SETARI'!$B$6))</f>
        <v/>
      </c>
      <c r="D30" s="68">
        <f>IF($A30="","",SUMIFS('10_VANZARI'!$E$5:$E$604,'10_VANZARI'!$B$5:$B$604,$A30,'10_VANZARI'!$A$5:$A$604,"&gt;="&amp;'02_SETARI'!$B$7,'10_VANZARI'!$A$5:$A$604,"&lt;="&amp;'02_SETARI'!$B$8))</f>
        <v/>
      </c>
      <c r="E30" s="69">
        <f>IF($A30="","",IFERROR(IF($D30=0,"",($C30-$D30)/ABS($D30)),""))</f>
        <v/>
      </c>
      <c r="F30" s="68">
        <f>IF($A30="","",SUMIFS('10_VANZARI'!$G$5:$G$604,'10_VANZARI'!$B$5:$B$604,$A30,'10_VANZARI'!$A$5:$A$604,"&gt;="&amp;'02_SETARI'!$B$5,'10_VANZARI'!$A$5:$A$604,"&lt;="&amp;'02_SETARI'!$B$6))</f>
        <v/>
      </c>
      <c r="G30" s="69">
        <f>IF($A30="","",IFERROR($F30/$C30,""))</f>
        <v/>
      </c>
      <c r="H30" s="69">
        <f>IF($A30="","",IFERROR($C30/SUMIFS('10_VANZARI'!$E$5:$E$604,'10_VANZARI'!$A$5:$A$604,"&gt;="&amp;'02_SETARI'!$B$5,'10_VANZARI'!$A$5:$A$604,"&lt;="&amp;'02_SETARI'!$B$6),""))</f>
        <v/>
      </c>
      <c r="I30" s="70">
        <f>IF($A30="","",IFERROR(IF(SUMPRODUCT(MAX(('10_VANZARI'!$B$5:$B$604=$A30)*('10_VANZARI'!$E$5:$E$604&lt;&gt;"")*'10_VANZARI'!$A$5:$A$604))=0,"",SUMPRODUCT(MAX(('10_VANZARI'!$B$5:$B$604=$A30)*('10_VANZARI'!$E$5:$E$604&lt;&gt;"")*'10_VANZARI'!$A$5:$A$604))),""))</f>
        <v/>
      </c>
      <c r="J30" s="68">
        <f>IF(OR($A30="",$I30=""),"",'02_SETARI'!$B$19-$I30)</f>
        <v/>
      </c>
      <c r="K30" s="68">
        <f>IF($A30="","",IFERROR(IF(INDEX('11_CLIENTI'!$D$5:$D$124,MATCH($A30,'11_CLIENTI'!$A$5:$A$124,0))="","",INDEX('11_CLIENTI'!$D$5:$D$124,MATCH($A30,'11_CLIENTI'!$A$5:$A$124,0))),""))</f>
        <v/>
      </c>
      <c r="L30" s="67">
        <f>IF($A30="","",IF(AND($K30&lt;&gt;"",$K30&lt;='02_SETARI'!$B$18),"Nemulțumit",IF(AND($D30&gt;0,$C30=0),"Nu mai cumpără",IF(AND($J30&lt;&gt;"",$J30&gt;'02_SETARI'!$B$17,$D30&gt;0),"Adormit",IF(AND($E30&lt;&gt;"",$E30&lt;='02_SETARI'!$B$15),"A scăzut",IF(AND($C30&gt;0,$G30&lt;&gt;"",$G30&lt;'02_SETARI'!$B$16),"Marjă mică",IF(AND($E30&lt;&gt;"",$E30&gt;=0.2),"În creștere",IF($C30=0,"Fără activitate","Merge bine"))))))))</f>
        <v/>
      </c>
      <c r="M30" s="67">
        <f>IF($A30="","",IF($L30="Nu mai cumpără","Sună-l săptămâna asta și întreabă direct ce s-a schimbat. Nu trimite email.",IF($L30="Adormit","Sună-l cu un motiv concret: o ofertă, o noutate, o reamintire de sezon.",IF($L30="A scăzut","Întreabă-l dacă a împărțit comenzile cu altcineva. De obicei asta s-a întâmplat.",IF($L30="Nemulțumit","Citește ce a spus în 11_CLIENTI. Rezolvă exact acel lucru, apoi sună-l să-i confirmi. Știi deja cauza — nu mai e nevoie să o cauți.",IF($L30="Marjă mică","Verifică ce discount are și cât te costă să-l servești. Poate merită renegociat.",IF($L30="În creștere","Întreabă-l ce altceva i-ar mai trebui. Acum e momentul, nu peste șase luni.",IF($L30="Fără activitate","Client în listă, dar fără vânzări în perioadă. Verifică dacă mai e client.","Nimic urgent. Ține-l cald."))))))))</f>
        <v/>
      </c>
      <c r="N30" s="68">
        <f>IF($A30="","",IFERROR(IF($L30="Nu mai cumpără",$D30,IF($L30="Adormit",$D30,IF($L30="A scăzut",MAX(0,$D30-$C30),IF($L30="Marjă mică",MAX(0,$C30*('02_SETARI'!$B$16-$G30)),$C30*0.15)))),""))</f>
        <v/>
      </c>
      <c r="O30">
        <f>IF(OR($A30="",$C30="",N($C30)&lt;=0),"",$C30+ROW()/1000000)</f>
        <v/>
      </c>
    </row>
    <row r="31">
      <c r="A31" s="67">
        <f>IF('11_CLIENTI'!$A31="","",'11_CLIENTI'!$A31)</f>
        <v/>
      </c>
      <c r="B31" s="67">
        <f>IF($A31="","",IFERROR(INDEX('11_CLIENTI'!$B$5:$B$124,MATCH($A31,'11_CLIENTI'!$A$5:$A$124,0)),""))</f>
        <v/>
      </c>
      <c r="C31" s="68">
        <f>IF($A31="","",SUMIFS('10_VANZARI'!$E$5:$E$604,'10_VANZARI'!$B$5:$B$604,$A31,'10_VANZARI'!$A$5:$A$604,"&gt;="&amp;'02_SETARI'!$B$5,'10_VANZARI'!$A$5:$A$604,"&lt;="&amp;'02_SETARI'!$B$6))</f>
        <v/>
      </c>
      <c r="D31" s="68">
        <f>IF($A31="","",SUMIFS('10_VANZARI'!$E$5:$E$604,'10_VANZARI'!$B$5:$B$604,$A31,'10_VANZARI'!$A$5:$A$604,"&gt;="&amp;'02_SETARI'!$B$7,'10_VANZARI'!$A$5:$A$604,"&lt;="&amp;'02_SETARI'!$B$8))</f>
        <v/>
      </c>
      <c r="E31" s="69">
        <f>IF($A31="","",IFERROR(IF($D31=0,"",($C31-$D31)/ABS($D31)),""))</f>
        <v/>
      </c>
      <c r="F31" s="68">
        <f>IF($A31="","",SUMIFS('10_VANZARI'!$G$5:$G$604,'10_VANZARI'!$B$5:$B$604,$A31,'10_VANZARI'!$A$5:$A$604,"&gt;="&amp;'02_SETARI'!$B$5,'10_VANZARI'!$A$5:$A$604,"&lt;="&amp;'02_SETARI'!$B$6))</f>
        <v/>
      </c>
      <c r="G31" s="69">
        <f>IF($A31="","",IFERROR($F31/$C31,""))</f>
        <v/>
      </c>
      <c r="H31" s="69">
        <f>IF($A31="","",IFERROR($C31/SUMIFS('10_VANZARI'!$E$5:$E$604,'10_VANZARI'!$A$5:$A$604,"&gt;="&amp;'02_SETARI'!$B$5,'10_VANZARI'!$A$5:$A$604,"&lt;="&amp;'02_SETARI'!$B$6),""))</f>
        <v/>
      </c>
      <c r="I31" s="70">
        <f>IF($A31="","",IFERROR(IF(SUMPRODUCT(MAX(('10_VANZARI'!$B$5:$B$604=$A31)*('10_VANZARI'!$E$5:$E$604&lt;&gt;"")*'10_VANZARI'!$A$5:$A$604))=0,"",SUMPRODUCT(MAX(('10_VANZARI'!$B$5:$B$604=$A31)*('10_VANZARI'!$E$5:$E$604&lt;&gt;"")*'10_VANZARI'!$A$5:$A$604))),""))</f>
        <v/>
      </c>
      <c r="J31" s="68">
        <f>IF(OR($A31="",$I31=""),"",'02_SETARI'!$B$19-$I31)</f>
        <v/>
      </c>
      <c r="K31" s="68">
        <f>IF($A31="","",IFERROR(IF(INDEX('11_CLIENTI'!$D$5:$D$124,MATCH($A31,'11_CLIENTI'!$A$5:$A$124,0))="","",INDEX('11_CLIENTI'!$D$5:$D$124,MATCH($A31,'11_CLIENTI'!$A$5:$A$124,0))),""))</f>
        <v/>
      </c>
      <c r="L31" s="67">
        <f>IF($A31="","",IF(AND($K31&lt;&gt;"",$K31&lt;='02_SETARI'!$B$18),"Nemulțumit",IF(AND($D31&gt;0,$C31=0),"Nu mai cumpără",IF(AND($J31&lt;&gt;"",$J31&gt;'02_SETARI'!$B$17,$D31&gt;0),"Adormit",IF(AND($E31&lt;&gt;"",$E31&lt;='02_SETARI'!$B$15),"A scăzut",IF(AND($C31&gt;0,$G31&lt;&gt;"",$G31&lt;'02_SETARI'!$B$16),"Marjă mică",IF(AND($E31&lt;&gt;"",$E31&gt;=0.2),"În creștere",IF($C31=0,"Fără activitate","Merge bine"))))))))</f>
        <v/>
      </c>
      <c r="M31" s="67">
        <f>IF($A31="","",IF($L31="Nu mai cumpără","Sună-l săptămâna asta și întreabă direct ce s-a schimbat. Nu trimite email.",IF($L31="Adormit","Sună-l cu un motiv concret: o ofertă, o noutate, o reamintire de sezon.",IF($L31="A scăzut","Întreabă-l dacă a împărțit comenzile cu altcineva. De obicei asta s-a întâmplat.",IF($L31="Nemulțumit","Citește ce a spus în 11_CLIENTI. Rezolvă exact acel lucru, apoi sună-l să-i confirmi. Știi deja cauza — nu mai e nevoie să o cauți.",IF($L31="Marjă mică","Verifică ce discount are și cât te costă să-l servești. Poate merită renegociat.",IF($L31="În creștere","Întreabă-l ce altceva i-ar mai trebui. Acum e momentul, nu peste șase luni.",IF($L31="Fără activitate","Client în listă, dar fără vânzări în perioadă. Verifică dacă mai e client.","Nimic urgent. Ține-l cald."))))))))</f>
        <v/>
      </c>
      <c r="N31" s="68">
        <f>IF($A31="","",IFERROR(IF($L31="Nu mai cumpără",$D31,IF($L31="Adormit",$D31,IF($L31="A scăzut",MAX(0,$D31-$C31),IF($L31="Marjă mică",MAX(0,$C31*('02_SETARI'!$B$16-$G31)),$C31*0.15)))),""))</f>
        <v/>
      </c>
      <c r="O31">
        <f>IF(OR($A31="",$C31="",N($C31)&lt;=0),"",$C31+ROW()/1000000)</f>
        <v/>
      </c>
    </row>
    <row r="32">
      <c r="A32" s="67">
        <f>IF('11_CLIENTI'!$A32="","",'11_CLIENTI'!$A32)</f>
        <v/>
      </c>
      <c r="B32" s="67">
        <f>IF($A32="","",IFERROR(INDEX('11_CLIENTI'!$B$5:$B$124,MATCH($A32,'11_CLIENTI'!$A$5:$A$124,0)),""))</f>
        <v/>
      </c>
      <c r="C32" s="68">
        <f>IF($A32="","",SUMIFS('10_VANZARI'!$E$5:$E$604,'10_VANZARI'!$B$5:$B$604,$A32,'10_VANZARI'!$A$5:$A$604,"&gt;="&amp;'02_SETARI'!$B$5,'10_VANZARI'!$A$5:$A$604,"&lt;="&amp;'02_SETARI'!$B$6))</f>
        <v/>
      </c>
      <c r="D32" s="68">
        <f>IF($A32="","",SUMIFS('10_VANZARI'!$E$5:$E$604,'10_VANZARI'!$B$5:$B$604,$A32,'10_VANZARI'!$A$5:$A$604,"&gt;="&amp;'02_SETARI'!$B$7,'10_VANZARI'!$A$5:$A$604,"&lt;="&amp;'02_SETARI'!$B$8))</f>
        <v/>
      </c>
      <c r="E32" s="69">
        <f>IF($A32="","",IFERROR(IF($D32=0,"",($C32-$D32)/ABS($D32)),""))</f>
        <v/>
      </c>
      <c r="F32" s="68">
        <f>IF($A32="","",SUMIFS('10_VANZARI'!$G$5:$G$604,'10_VANZARI'!$B$5:$B$604,$A32,'10_VANZARI'!$A$5:$A$604,"&gt;="&amp;'02_SETARI'!$B$5,'10_VANZARI'!$A$5:$A$604,"&lt;="&amp;'02_SETARI'!$B$6))</f>
        <v/>
      </c>
      <c r="G32" s="69">
        <f>IF($A32="","",IFERROR($F32/$C32,""))</f>
        <v/>
      </c>
      <c r="H32" s="69">
        <f>IF($A32="","",IFERROR($C32/SUMIFS('10_VANZARI'!$E$5:$E$604,'10_VANZARI'!$A$5:$A$604,"&gt;="&amp;'02_SETARI'!$B$5,'10_VANZARI'!$A$5:$A$604,"&lt;="&amp;'02_SETARI'!$B$6),""))</f>
        <v/>
      </c>
      <c r="I32" s="70">
        <f>IF($A32="","",IFERROR(IF(SUMPRODUCT(MAX(('10_VANZARI'!$B$5:$B$604=$A32)*('10_VANZARI'!$E$5:$E$604&lt;&gt;"")*'10_VANZARI'!$A$5:$A$604))=0,"",SUMPRODUCT(MAX(('10_VANZARI'!$B$5:$B$604=$A32)*('10_VANZARI'!$E$5:$E$604&lt;&gt;"")*'10_VANZARI'!$A$5:$A$604))),""))</f>
        <v/>
      </c>
      <c r="J32" s="68">
        <f>IF(OR($A32="",$I32=""),"",'02_SETARI'!$B$19-$I32)</f>
        <v/>
      </c>
      <c r="K32" s="68">
        <f>IF($A32="","",IFERROR(IF(INDEX('11_CLIENTI'!$D$5:$D$124,MATCH($A32,'11_CLIENTI'!$A$5:$A$124,0))="","",INDEX('11_CLIENTI'!$D$5:$D$124,MATCH($A32,'11_CLIENTI'!$A$5:$A$124,0))),""))</f>
        <v/>
      </c>
      <c r="L32" s="67">
        <f>IF($A32="","",IF(AND($K32&lt;&gt;"",$K32&lt;='02_SETARI'!$B$18),"Nemulțumit",IF(AND($D32&gt;0,$C32=0),"Nu mai cumpără",IF(AND($J32&lt;&gt;"",$J32&gt;'02_SETARI'!$B$17,$D32&gt;0),"Adormit",IF(AND($E32&lt;&gt;"",$E32&lt;='02_SETARI'!$B$15),"A scăzut",IF(AND($C32&gt;0,$G32&lt;&gt;"",$G32&lt;'02_SETARI'!$B$16),"Marjă mică",IF(AND($E32&lt;&gt;"",$E32&gt;=0.2),"În creștere",IF($C32=0,"Fără activitate","Merge bine"))))))))</f>
        <v/>
      </c>
      <c r="M32" s="67">
        <f>IF($A32="","",IF($L32="Nu mai cumpără","Sună-l săptămâna asta și întreabă direct ce s-a schimbat. Nu trimite email.",IF($L32="Adormit","Sună-l cu un motiv concret: o ofertă, o noutate, o reamintire de sezon.",IF($L32="A scăzut","Întreabă-l dacă a împărțit comenzile cu altcineva. De obicei asta s-a întâmplat.",IF($L32="Nemulțumit","Citește ce a spus în 11_CLIENTI. Rezolvă exact acel lucru, apoi sună-l să-i confirmi. Știi deja cauza — nu mai e nevoie să o cauți.",IF($L32="Marjă mică","Verifică ce discount are și cât te costă să-l servești. Poate merită renegociat.",IF($L32="În creștere","Întreabă-l ce altceva i-ar mai trebui. Acum e momentul, nu peste șase luni.",IF($L32="Fără activitate","Client în listă, dar fără vânzări în perioadă. Verifică dacă mai e client.","Nimic urgent. Ține-l cald."))))))))</f>
        <v/>
      </c>
      <c r="N32" s="68">
        <f>IF($A32="","",IFERROR(IF($L32="Nu mai cumpără",$D32,IF($L32="Adormit",$D32,IF($L32="A scăzut",MAX(0,$D32-$C32),IF($L32="Marjă mică",MAX(0,$C32*('02_SETARI'!$B$16-$G32)),$C32*0.15)))),""))</f>
        <v/>
      </c>
      <c r="O32">
        <f>IF(OR($A32="",$C32="",N($C32)&lt;=0),"",$C32+ROW()/1000000)</f>
        <v/>
      </c>
    </row>
    <row r="33">
      <c r="A33" s="67">
        <f>IF('11_CLIENTI'!$A33="","",'11_CLIENTI'!$A33)</f>
        <v/>
      </c>
      <c r="B33" s="67">
        <f>IF($A33="","",IFERROR(INDEX('11_CLIENTI'!$B$5:$B$124,MATCH($A33,'11_CLIENTI'!$A$5:$A$124,0)),""))</f>
        <v/>
      </c>
      <c r="C33" s="68">
        <f>IF($A33="","",SUMIFS('10_VANZARI'!$E$5:$E$604,'10_VANZARI'!$B$5:$B$604,$A33,'10_VANZARI'!$A$5:$A$604,"&gt;="&amp;'02_SETARI'!$B$5,'10_VANZARI'!$A$5:$A$604,"&lt;="&amp;'02_SETARI'!$B$6))</f>
        <v/>
      </c>
      <c r="D33" s="68">
        <f>IF($A33="","",SUMIFS('10_VANZARI'!$E$5:$E$604,'10_VANZARI'!$B$5:$B$604,$A33,'10_VANZARI'!$A$5:$A$604,"&gt;="&amp;'02_SETARI'!$B$7,'10_VANZARI'!$A$5:$A$604,"&lt;="&amp;'02_SETARI'!$B$8))</f>
        <v/>
      </c>
      <c r="E33" s="69">
        <f>IF($A33="","",IFERROR(IF($D33=0,"",($C33-$D33)/ABS($D33)),""))</f>
        <v/>
      </c>
      <c r="F33" s="68">
        <f>IF($A33="","",SUMIFS('10_VANZARI'!$G$5:$G$604,'10_VANZARI'!$B$5:$B$604,$A33,'10_VANZARI'!$A$5:$A$604,"&gt;="&amp;'02_SETARI'!$B$5,'10_VANZARI'!$A$5:$A$604,"&lt;="&amp;'02_SETARI'!$B$6))</f>
        <v/>
      </c>
      <c r="G33" s="69">
        <f>IF($A33="","",IFERROR($F33/$C33,""))</f>
        <v/>
      </c>
      <c r="H33" s="69">
        <f>IF($A33="","",IFERROR($C33/SUMIFS('10_VANZARI'!$E$5:$E$604,'10_VANZARI'!$A$5:$A$604,"&gt;="&amp;'02_SETARI'!$B$5,'10_VANZARI'!$A$5:$A$604,"&lt;="&amp;'02_SETARI'!$B$6),""))</f>
        <v/>
      </c>
      <c r="I33" s="70">
        <f>IF($A33="","",IFERROR(IF(SUMPRODUCT(MAX(('10_VANZARI'!$B$5:$B$604=$A33)*('10_VANZARI'!$E$5:$E$604&lt;&gt;"")*'10_VANZARI'!$A$5:$A$604))=0,"",SUMPRODUCT(MAX(('10_VANZARI'!$B$5:$B$604=$A33)*('10_VANZARI'!$E$5:$E$604&lt;&gt;"")*'10_VANZARI'!$A$5:$A$604))),""))</f>
        <v/>
      </c>
      <c r="J33" s="68">
        <f>IF(OR($A33="",$I33=""),"",'02_SETARI'!$B$19-$I33)</f>
        <v/>
      </c>
      <c r="K33" s="68">
        <f>IF($A33="","",IFERROR(IF(INDEX('11_CLIENTI'!$D$5:$D$124,MATCH($A33,'11_CLIENTI'!$A$5:$A$124,0))="","",INDEX('11_CLIENTI'!$D$5:$D$124,MATCH($A33,'11_CLIENTI'!$A$5:$A$124,0))),""))</f>
        <v/>
      </c>
      <c r="L33" s="67">
        <f>IF($A33="","",IF(AND($K33&lt;&gt;"",$K33&lt;='02_SETARI'!$B$18),"Nemulțumit",IF(AND($D33&gt;0,$C33=0),"Nu mai cumpără",IF(AND($J33&lt;&gt;"",$J33&gt;'02_SETARI'!$B$17,$D33&gt;0),"Adormit",IF(AND($E33&lt;&gt;"",$E33&lt;='02_SETARI'!$B$15),"A scăzut",IF(AND($C33&gt;0,$G33&lt;&gt;"",$G33&lt;'02_SETARI'!$B$16),"Marjă mică",IF(AND($E33&lt;&gt;"",$E33&gt;=0.2),"În creștere",IF($C33=0,"Fără activitate","Merge bine"))))))))</f>
        <v/>
      </c>
      <c r="M33" s="67">
        <f>IF($A33="","",IF($L33="Nu mai cumpără","Sună-l săptămâna asta și întreabă direct ce s-a schimbat. Nu trimite email.",IF($L33="Adormit","Sună-l cu un motiv concret: o ofertă, o noutate, o reamintire de sezon.",IF($L33="A scăzut","Întreabă-l dacă a împărțit comenzile cu altcineva. De obicei asta s-a întâmplat.",IF($L33="Nemulțumit","Citește ce a spus în 11_CLIENTI. Rezolvă exact acel lucru, apoi sună-l să-i confirmi. Știi deja cauza — nu mai e nevoie să o cauți.",IF($L33="Marjă mică","Verifică ce discount are și cât te costă să-l servești. Poate merită renegociat.",IF($L33="În creștere","Întreabă-l ce altceva i-ar mai trebui. Acum e momentul, nu peste șase luni.",IF($L33="Fără activitate","Client în listă, dar fără vânzări în perioadă. Verifică dacă mai e client.","Nimic urgent. Ține-l cald."))))))))</f>
        <v/>
      </c>
      <c r="N33" s="68">
        <f>IF($A33="","",IFERROR(IF($L33="Nu mai cumpără",$D33,IF($L33="Adormit",$D33,IF($L33="A scăzut",MAX(0,$D33-$C33),IF($L33="Marjă mică",MAX(0,$C33*('02_SETARI'!$B$16-$G33)),$C33*0.15)))),""))</f>
        <v/>
      </c>
      <c r="O33">
        <f>IF(OR($A33="",$C33="",N($C33)&lt;=0),"",$C33+ROW()/1000000)</f>
        <v/>
      </c>
    </row>
    <row r="34">
      <c r="A34" s="67">
        <f>IF('11_CLIENTI'!$A34="","",'11_CLIENTI'!$A34)</f>
        <v/>
      </c>
      <c r="B34" s="67">
        <f>IF($A34="","",IFERROR(INDEX('11_CLIENTI'!$B$5:$B$124,MATCH($A34,'11_CLIENTI'!$A$5:$A$124,0)),""))</f>
        <v/>
      </c>
      <c r="C34" s="68">
        <f>IF($A34="","",SUMIFS('10_VANZARI'!$E$5:$E$604,'10_VANZARI'!$B$5:$B$604,$A34,'10_VANZARI'!$A$5:$A$604,"&gt;="&amp;'02_SETARI'!$B$5,'10_VANZARI'!$A$5:$A$604,"&lt;="&amp;'02_SETARI'!$B$6))</f>
        <v/>
      </c>
      <c r="D34" s="68">
        <f>IF($A34="","",SUMIFS('10_VANZARI'!$E$5:$E$604,'10_VANZARI'!$B$5:$B$604,$A34,'10_VANZARI'!$A$5:$A$604,"&gt;="&amp;'02_SETARI'!$B$7,'10_VANZARI'!$A$5:$A$604,"&lt;="&amp;'02_SETARI'!$B$8))</f>
        <v/>
      </c>
      <c r="E34" s="69">
        <f>IF($A34="","",IFERROR(IF($D34=0,"",($C34-$D34)/ABS($D34)),""))</f>
        <v/>
      </c>
      <c r="F34" s="68">
        <f>IF($A34="","",SUMIFS('10_VANZARI'!$G$5:$G$604,'10_VANZARI'!$B$5:$B$604,$A34,'10_VANZARI'!$A$5:$A$604,"&gt;="&amp;'02_SETARI'!$B$5,'10_VANZARI'!$A$5:$A$604,"&lt;="&amp;'02_SETARI'!$B$6))</f>
        <v/>
      </c>
      <c r="G34" s="69">
        <f>IF($A34="","",IFERROR($F34/$C34,""))</f>
        <v/>
      </c>
      <c r="H34" s="69">
        <f>IF($A34="","",IFERROR($C34/SUMIFS('10_VANZARI'!$E$5:$E$604,'10_VANZARI'!$A$5:$A$604,"&gt;="&amp;'02_SETARI'!$B$5,'10_VANZARI'!$A$5:$A$604,"&lt;="&amp;'02_SETARI'!$B$6),""))</f>
        <v/>
      </c>
      <c r="I34" s="70">
        <f>IF($A34="","",IFERROR(IF(SUMPRODUCT(MAX(('10_VANZARI'!$B$5:$B$604=$A34)*('10_VANZARI'!$E$5:$E$604&lt;&gt;"")*'10_VANZARI'!$A$5:$A$604))=0,"",SUMPRODUCT(MAX(('10_VANZARI'!$B$5:$B$604=$A34)*('10_VANZARI'!$E$5:$E$604&lt;&gt;"")*'10_VANZARI'!$A$5:$A$604))),""))</f>
        <v/>
      </c>
      <c r="J34" s="68">
        <f>IF(OR($A34="",$I34=""),"",'02_SETARI'!$B$19-$I34)</f>
        <v/>
      </c>
      <c r="K34" s="68">
        <f>IF($A34="","",IFERROR(IF(INDEX('11_CLIENTI'!$D$5:$D$124,MATCH($A34,'11_CLIENTI'!$A$5:$A$124,0))="","",INDEX('11_CLIENTI'!$D$5:$D$124,MATCH($A34,'11_CLIENTI'!$A$5:$A$124,0))),""))</f>
        <v/>
      </c>
      <c r="L34" s="67">
        <f>IF($A34="","",IF(AND($K34&lt;&gt;"",$K34&lt;='02_SETARI'!$B$18),"Nemulțumit",IF(AND($D34&gt;0,$C34=0),"Nu mai cumpără",IF(AND($J34&lt;&gt;"",$J34&gt;'02_SETARI'!$B$17,$D34&gt;0),"Adormit",IF(AND($E34&lt;&gt;"",$E34&lt;='02_SETARI'!$B$15),"A scăzut",IF(AND($C34&gt;0,$G34&lt;&gt;"",$G34&lt;'02_SETARI'!$B$16),"Marjă mică",IF(AND($E34&lt;&gt;"",$E34&gt;=0.2),"În creștere",IF($C34=0,"Fără activitate","Merge bine"))))))))</f>
        <v/>
      </c>
      <c r="M34" s="67">
        <f>IF($A34="","",IF($L34="Nu mai cumpără","Sună-l săptămâna asta și întreabă direct ce s-a schimbat. Nu trimite email.",IF($L34="Adormit","Sună-l cu un motiv concret: o ofertă, o noutate, o reamintire de sezon.",IF($L34="A scăzut","Întreabă-l dacă a împărțit comenzile cu altcineva. De obicei asta s-a întâmplat.",IF($L34="Nemulțumit","Citește ce a spus în 11_CLIENTI. Rezolvă exact acel lucru, apoi sună-l să-i confirmi. Știi deja cauza — nu mai e nevoie să o cauți.",IF($L34="Marjă mică","Verifică ce discount are și cât te costă să-l servești. Poate merită renegociat.",IF($L34="În creștere","Întreabă-l ce altceva i-ar mai trebui. Acum e momentul, nu peste șase luni.",IF($L34="Fără activitate","Client în listă, dar fără vânzări în perioadă. Verifică dacă mai e client.","Nimic urgent. Ține-l cald."))))))))</f>
        <v/>
      </c>
      <c r="N34" s="68">
        <f>IF($A34="","",IFERROR(IF($L34="Nu mai cumpără",$D34,IF($L34="Adormit",$D34,IF($L34="A scăzut",MAX(0,$D34-$C34),IF($L34="Marjă mică",MAX(0,$C34*('02_SETARI'!$B$16-$G34)),$C34*0.15)))),""))</f>
        <v/>
      </c>
      <c r="O34">
        <f>IF(OR($A34="",$C34="",N($C34)&lt;=0),"",$C34+ROW()/1000000)</f>
        <v/>
      </c>
    </row>
    <row r="35">
      <c r="A35" s="67">
        <f>IF('11_CLIENTI'!$A35="","",'11_CLIENTI'!$A35)</f>
        <v/>
      </c>
      <c r="B35" s="67">
        <f>IF($A35="","",IFERROR(INDEX('11_CLIENTI'!$B$5:$B$124,MATCH($A35,'11_CLIENTI'!$A$5:$A$124,0)),""))</f>
        <v/>
      </c>
      <c r="C35" s="68">
        <f>IF($A35="","",SUMIFS('10_VANZARI'!$E$5:$E$604,'10_VANZARI'!$B$5:$B$604,$A35,'10_VANZARI'!$A$5:$A$604,"&gt;="&amp;'02_SETARI'!$B$5,'10_VANZARI'!$A$5:$A$604,"&lt;="&amp;'02_SETARI'!$B$6))</f>
        <v/>
      </c>
      <c r="D35" s="68">
        <f>IF($A35="","",SUMIFS('10_VANZARI'!$E$5:$E$604,'10_VANZARI'!$B$5:$B$604,$A35,'10_VANZARI'!$A$5:$A$604,"&gt;="&amp;'02_SETARI'!$B$7,'10_VANZARI'!$A$5:$A$604,"&lt;="&amp;'02_SETARI'!$B$8))</f>
        <v/>
      </c>
      <c r="E35" s="69">
        <f>IF($A35="","",IFERROR(IF($D35=0,"",($C35-$D35)/ABS($D35)),""))</f>
        <v/>
      </c>
      <c r="F35" s="68">
        <f>IF($A35="","",SUMIFS('10_VANZARI'!$G$5:$G$604,'10_VANZARI'!$B$5:$B$604,$A35,'10_VANZARI'!$A$5:$A$604,"&gt;="&amp;'02_SETARI'!$B$5,'10_VANZARI'!$A$5:$A$604,"&lt;="&amp;'02_SETARI'!$B$6))</f>
        <v/>
      </c>
      <c r="G35" s="69">
        <f>IF($A35="","",IFERROR($F35/$C35,""))</f>
        <v/>
      </c>
      <c r="H35" s="69">
        <f>IF($A35="","",IFERROR($C35/SUMIFS('10_VANZARI'!$E$5:$E$604,'10_VANZARI'!$A$5:$A$604,"&gt;="&amp;'02_SETARI'!$B$5,'10_VANZARI'!$A$5:$A$604,"&lt;="&amp;'02_SETARI'!$B$6),""))</f>
        <v/>
      </c>
      <c r="I35" s="70">
        <f>IF($A35="","",IFERROR(IF(SUMPRODUCT(MAX(('10_VANZARI'!$B$5:$B$604=$A35)*('10_VANZARI'!$E$5:$E$604&lt;&gt;"")*'10_VANZARI'!$A$5:$A$604))=0,"",SUMPRODUCT(MAX(('10_VANZARI'!$B$5:$B$604=$A35)*('10_VANZARI'!$E$5:$E$604&lt;&gt;"")*'10_VANZARI'!$A$5:$A$604))),""))</f>
        <v/>
      </c>
      <c r="J35" s="68">
        <f>IF(OR($A35="",$I35=""),"",'02_SETARI'!$B$19-$I35)</f>
        <v/>
      </c>
      <c r="K35" s="68">
        <f>IF($A35="","",IFERROR(IF(INDEX('11_CLIENTI'!$D$5:$D$124,MATCH($A35,'11_CLIENTI'!$A$5:$A$124,0))="","",INDEX('11_CLIENTI'!$D$5:$D$124,MATCH($A35,'11_CLIENTI'!$A$5:$A$124,0))),""))</f>
        <v/>
      </c>
      <c r="L35" s="67">
        <f>IF($A35="","",IF(AND($K35&lt;&gt;"",$K35&lt;='02_SETARI'!$B$18),"Nemulțumit",IF(AND($D35&gt;0,$C35=0),"Nu mai cumpără",IF(AND($J35&lt;&gt;"",$J35&gt;'02_SETARI'!$B$17,$D35&gt;0),"Adormit",IF(AND($E35&lt;&gt;"",$E35&lt;='02_SETARI'!$B$15),"A scăzut",IF(AND($C35&gt;0,$G35&lt;&gt;"",$G35&lt;'02_SETARI'!$B$16),"Marjă mică",IF(AND($E35&lt;&gt;"",$E35&gt;=0.2),"În creștere",IF($C35=0,"Fără activitate","Merge bine"))))))))</f>
        <v/>
      </c>
      <c r="M35" s="67">
        <f>IF($A35="","",IF($L35="Nu mai cumpără","Sună-l săptămâna asta și întreabă direct ce s-a schimbat. Nu trimite email.",IF($L35="Adormit","Sună-l cu un motiv concret: o ofertă, o noutate, o reamintire de sezon.",IF($L35="A scăzut","Întreabă-l dacă a împărțit comenzile cu altcineva. De obicei asta s-a întâmplat.",IF($L35="Nemulțumit","Citește ce a spus în 11_CLIENTI. Rezolvă exact acel lucru, apoi sună-l să-i confirmi. Știi deja cauza — nu mai e nevoie să o cauți.",IF($L35="Marjă mică","Verifică ce discount are și cât te costă să-l servești. Poate merită renegociat.",IF($L35="În creștere","Întreabă-l ce altceva i-ar mai trebui. Acum e momentul, nu peste șase luni.",IF($L35="Fără activitate","Client în listă, dar fără vânzări în perioadă. Verifică dacă mai e client.","Nimic urgent. Ține-l cald."))))))))</f>
        <v/>
      </c>
      <c r="N35" s="68">
        <f>IF($A35="","",IFERROR(IF($L35="Nu mai cumpără",$D35,IF($L35="Adormit",$D35,IF($L35="A scăzut",MAX(0,$D35-$C35),IF($L35="Marjă mică",MAX(0,$C35*('02_SETARI'!$B$16-$G35)),$C35*0.15)))),""))</f>
        <v/>
      </c>
      <c r="O35">
        <f>IF(OR($A35="",$C35="",N($C35)&lt;=0),"",$C35+ROW()/1000000)</f>
        <v/>
      </c>
    </row>
    <row r="36">
      <c r="A36" s="67">
        <f>IF('11_CLIENTI'!$A36="","",'11_CLIENTI'!$A36)</f>
        <v/>
      </c>
      <c r="B36" s="67">
        <f>IF($A36="","",IFERROR(INDEX('11_CLIENTI'!$B$5:$B$124,MATCH($A36,'11_CLIENTI'!$A$5:$A$124,0)),""))</f>
        <v/>
      </c>
      <c r="C36" s="68">
        <f>IF($A36="","",SUMIFS('10_VANZARI'!$E$5:$E$604,'10_VANZARI'!$B$5:$B$604,$A36,'10_VANZARI'!$A$5:$A$604,"&gt;="&amp;'02_SETARI'!$B$5,'10_VANZARI'!$A$5:$A$604,"&lt;="&amp;'02_SETARI'!$B$6))</f>
        <v/>
      </c>
      <c r="D36" s="68">
        <f>IF($A36="","",SUMIFS('10_VANZARI'!$E$5:$E$604,'10_VANZARI'!$B$5:$B$604,$A36,'10_VANZARI'!$A$5:$A$604,"&gt;="&amp;'02_SETARI'!$B$7,'10_VANZARI'!$A$5:$A$604,"&lt;="&amp;'02_SETARI'!$B$8))</f>
        <v/>
      </c>
      <c r="E36" s="69">
        <f>IF($A36="","",IFERROR(IF($D36=0,"",($C36-$D36)/ABS($D36)),""))</f>
        <v/>
      </c>
      <c r="F36" s="68">
        <f>IF($A36="","",SUMIFS('10_VANZARI'!$G$5:$G$604,'10_VANZARI'!$B$5:$B$604,$A36,'10_VANZARI'!$A$5:$A$604,"&gt;="&amp;'02_SETARI'!$B$5,'10_VANZARI'!$A$5:$A$604,"&lt;="&amp;'02_SETARI'!$B$6))</f>
        <v/>
      </c>
      <c r="G36" s="69">
        <f>IF($A36="","",IFERROR($F36/$C36,""))</f>
        <v/>
      </c>
      <c r="H36" s="69">
        <f>IF($A36="","",IFERROR($C36/SUMIFS('10_VANZARI'!$E$5:$E$604,'10_VANZARI'!$A$5:$A$604,"&gt;="&amp;'02_SETARI'!$B$5,'10_VANZARI'!$A$5:$A$604,"&lt;="&amp;'02_SETARI'!$B$6),""))</f>
        <v/>
      </c>
      <c r="I36" s="70">
        <f>IF($A36="","",IFERROR(IF(SUMPRODUCT(MAX(('10_VANZARI'!$B$5:$B$604=$A36)*('10_VANZARI'!$E$5:$E$604&lt;&gt;"")*'10_VANZARI'!$A$5:$A$604))=0,"",SUMPRODUCT(MAX(('10_VANZARI'!$B$5:$B$604=$A36)*('10_VANZARI'!$E$5:$E$604&lt;&gt;"")*'10_VANZARI'!$A$5:$A$604))),""))</f>
        <v/>
      </c>
      <c r="J36" s="68">
        <f>IF(OR($A36="",$I36=""),"",'02_SETARI'!$B$19-$I36)</f>
        <v/>
      </c>
      <c r="K36" s="68">
        <f>IF($A36="","",IFERROR(IF(INDEX('11_CLIENTI'!$D$5:$D$124,MATCH($A36,'11_CLIENTI'!$A$5:$A$124,0))="","",INDEX('11_CLIENTI'!$D$5:$D$124,MATCH($A36,'11_CLIENTI'!$A$5:$A$124,0))),""))</f>
        <v/>
      </c>
      <c r="L36" s="67">
        <f>IF($A36="","",IF(AND($K36&lt;&gt;"",$K36&lt;='02_SETARI'!$B$18),"Nemulțumit",IF(AND($D36&gt;0,$C36=0),"Nu mai cumpără",IF(AND($J36&lt;&gt;"",$J36&gt;'02_SETARI'!$B$17,$D36&gt;0),"Adormit",IF(AND($E36&lt;&gt;"",$E36&lt;='02_SETARI'!$B$15),"A scăzut",IF(AND($C36&gt;0,$G36&lt;&gt;"",$G36&lt;'02_SETARI'!$B$16),"Marjă mică",IF(AND($E36&lt;&gt;"",$E36&gt;=0.2),"În creștere",IF($C36=0,"Fără activitate","Merge bine"))))))))</f>
        <v/>
      </c>
      <c r="M36" s="67">
        <f>IF($A36="","",IF($L36="Nu mai cumpără","Sună-l săptămâna asta și întreabă direct ce s-a schimbat. Nu trimite email.",IF($L36="Adormit","Sună-l cu un motiv concret: o ofertă, o noutate, o reamintire de sezon.",IF($L36="A scăzut","Întreabă-l dacă a împărțit comenzile cu altcineva. De obicei asta s-a întâmplat.",IF($L36="Nemulțumit","Citește ce a spus în 11_CLIENTI. Rezolvă exact acel lucru, apoi sună-l să-i confirmi. Știi deja cauza — nu mai e nevoie să o cauți.",IF($L36="Marjă mică","Verifică ce discount are și cât te costă să-l servești. Poate merită renegociat.",IF($L36="În creștere","Întreabă-l ce altceva i-ar mai trebui. Acum e momentul, nu peste șase luni.",IF($L36="Fără activitate","Client în listă, dar fără vânzări în perioadă. Verifică dacă mai e client.","Nimic urgent. Ține-l cald."))))))))</f>
        <v/>
      </c>
      <c r="N36" s="68">
        <f>IF($A36="","",IFERROR(IF($L36="Nu mai cumpără",$D36,IF($L36="Adormit",$D36,IF($L36="A scăzut",MAX(0,$D36-$C36),IF($L36="Marjă mică",MAX(0,$C36*('02_SETARI'!$B$16-$G36)),$C36*0.15)))),""))</f>
        <v/>
      </c>
      <c r="O36">
        <f>IF(OR($A36="",$C36="",N($C36)&lt;=0),"",$C36+ROW()/1000000)</f>
        <v/>
      </c>
    </row>
    <row r="37">
      <c r="A37" s="67">
        <f>IF('11_CLIENTI'!$A37="","",'11_CLIENTI'!$A37)</f>
        <v/>
      </c>
      <c r="B37" s="67">
        <f>IF($A37="","",IFERROR(INDEX('11_CLIENTI'!$B$5:$B$124,MATCH($A37,'11_CLIENTI'!$A$5:$A$124,0)),""))</f>
        <v/>
      </c>
      <c r="C37" s="68">
        <f>IF($A37="","",SUMIFS('10_VANZARI'!$E$5:$E$604,'10_VANZARI'!$B$5:$B$604,$A37,'10_VANZARI'!$A$5:$A$604,"&gt;="&amp;'02_SETARI'!$B$5,'10_VANZARI'!$A$5:$A$604,"&lt;="&amp;'02_SETARI'!$B$6))</f>
        <v/>
      </c>
      <c r="D37" s="68">
        <f>IF($A37="","",SUMIFS('10_VANZARI'!$E$5:$E$604,'10_VANZARI'!$B$5:$B$604,$A37,'10_VANZARI'!$A$5:$A$604,"&gt;="&amp;'02_SETARI'!$B$7,'10_VANZARI'!$A$5:$A$604,"&lt;="&amp;'02_SETARI'!$B$8))</f>
        <v/>
      </c>
      <c r="E37" s="69">
        <f>IF($A37="","",IFERROR(IF($D37=0,"",($C37-$D37)/ABS($D37)),""))</f>
        <v/>
      </c>
      <c r="F37" s="68">
        <f>IF($A37="","",SUMIFS('10_VANZARI'!$G$5:$G$604,'10_VANZARI'!$B$5:$B$604,$A37,'10_VANZARI'!$A$5:$A$604,"&gt;="&amp;'02_SETARI'!$B$5,'10_VANZARI'!$A$5:$A$604,"&lt;="&amp;'02_SETARI'!$B$6))</f>
        <v/>
      </c>
      <c r="G37" s="69">
        <f>IF($A37="","",IFERROR($F37/$C37,""))</f>
        <v/>
      </c>
      <c r="H37" s="69">
        <f>IF($A37="","",IFERROR($C37/SUMIFS('10_VANZARI'!$E$5:$E$604,'10_VANZARI'!$A$5:$A$604,"&gt;="&amp;'02_SETARI'!$B$5,'10_VANZARI'!$A$5:$A$604,"&lt;="&amp;'02_SETARI'!$B$6),""))</f>
        <v/>
      </c>
      <c r="I37" s="70">
        <f>IF($A37="","",IFERROR(IF(SUMPRODUCT(MAX(('10_VANZARI'!$B$5:$B$604=$A37)*('10_VANZARI'!$E$5:$E$604&lt;&gt;"")*'10_VANZARI'!$A$5:$A$604))=0,"",SUMPRODUCT(MAX(('10_VANZARI'!$B$5:$B$604=$A37)*('10_VANZARI'!$E$5:$E$604&lt;&gt;"")*'10_VANZARI'!$A$5:$A$604))),""))</f>
        <v/>
      </c>
      <c r="J37" s="68">
        <f>IF(OR($A37="",$I37=""),"",'02_SETARI'!$B$19-$I37)</f>
        <v/>
      </c>
      <c r="K37" s="68">
        <f>IF($A37="","",IFERROR(IF(INDEX('11_CLIENTI'!$D$5:$D$124,MATCH($A37,'11_CLIENTI'!$A$5:$A$124,0))="","",INDEX('11_CLIENTI'!$D$5:$D$124,MATCH($A37,'11_CLIENTI'!$A$5:$A$124,0))),""))</f>
        <v/>
      </c>
      <c r="L37" s="67">
        <f>IF($A37="","",IF(AND($K37&lt;&gt;"",$K37&lt;='02_SETARI'!$B$18),"Nemulțumit",IF(AND($D37&gt;0,$C37=0),"Nu mai cumpără",IF(AND($J37&lt;&gt;"",$J37&gt;'02_SETARI'!$B$17,$D37&gt;0),"Adormit",IF(AND($E37&lt;&gt;"",$E37&lt;='02_SETARI'!$B$15),"A scăzut",IF(AND($C37&gt;0,$G37&lt;&gt;"",$G37&lt;'02_SETARI'!$B$16),"Marjă mică",IF(AND($E37&lt;&gt;"",$E37&gt;=0.2),"În creștere",IF($C37=0,"Fără activitate","Merge bine"))))))))</f>
        <v/>
      </c>
      <c r="M37" s="67">
        <f>IF($A37="","",IF($L37="Nu mai cumpără","Sună-l săptămâna asta și întreabă direct ce s-a schimbat. Nu trimite email.",IF($L37="Adormit","Sună-l cu un motiv concret: o ofertă, o noutate, o reamintire de sezon.",IF($L37="A scăzut","Întreabă-l dacă a împărțit comenzile cu altcineva. De obicei asta s-a întâmplat.",IF($L37="Nemulțumit","Citește ce a spus în 11_CLIENTI. Rezolvă exact acel lucru, apoi sună-l să-i confirmi. Știi deja cauza — nu mai e nevoie să o cauți.",IF($L37="Marjă mică","Verifică ce discount are și cât te costă să-l servești. Poate merită renegociat.",IF($L37="În creștere","Întreabă-l ce altceva i-ar mai trebui. Acum e momentul, nu peste șase luni.",IF($L37="Fără activitate","Client în listă, dar fără vânzări în perioadă. Verifică dacă mai e client.","Nimic urgent. Ține-l cald."))))))))</f>
        <v/>
      </c>
      <c r="N37" s="68">
        <f>IF($A37="","",IFERROR(IF($L37="Nu mai cumpără",$D37,IF($L37="Adormit",$D37,IF($L37="A scăzut",MAX(0,$D37-$C37),IF($L37="Marjă mică",MAX(0,$C37*('02_SETARI'!$B$16-$G37)),$C37*0.15)))),""))</f>
        <v/>
      </c>
      <c r="O37">
        <f>IF(OR($A37="",$C37="",N($C37)&lt;=0),"",$C37+ROW()/1000000)</f>
        <v/>
      </c>
    </row>
    <row r="38">
      <c r="A38" s="67">
        <f>IF('11_CLIENTI'!$A38="","",'11_CLIENTI'!$A38)</f>
        <v/>
      </c>
      <c r="B38" s="67">
        <f>IF($A38="","",IFERROR(INDEX('11_CLIENTI'!$B$5:$B$124,MATCH($A38,'11_CLIENTI'!$A$5:$A$124,0)),""))</f>
        <v/>
      </c>
      <c r="C38" s="68">
        <f>IF($A38="","",SUMIFS('10_VANZARI'!$E$5:$E$604,'10_VANZARI'!$B$5:$B$604,$A38,'10_VANZARI'!$A$5:$A$604,"&gt;="&amp;'02_SETARI'!$B$5,'10_VANZARI'!$A$5:$A$604,"&lt;="&amp;'02_SETARI'!$B$6))</f>
        <v/>
      </c>
      <c r="D38" s="68">
        <f>IF($A38="","",SUMIFS('10_VANZARI'!$E$5:$E$604,'10_VANZARI'!$B$5:$B$604,$A38,'10_VANZARI'!$A$5:$A$604,"&gt;="&amp;'02_SETARI'!$B$7,'10_VANZARI'!$A$5:$A$604,"&lt;="&amp;'02_SETARI'!$B$8))</f>
        <v/>
      </c>
      <c r="E38" s="69">
        <f>IF($A38="","",IFERROR(IF($D38=0,"",($C38-$D38)/ABS($D38)),""))</f>
        <v/>
      </c>
      <c r="F38" s="68">
        <f>IF($A38="","",SUMIFS('10_VANZARI'!$G$5:$G$604,'10_VANZARI'!$B$5:$B$604,$A38,'10_VANZARI'!$A$5:$A$604,"&gt;="&amp;'02_SETARI'!$B$5,'10_VANZARI'!$A$5:$A$604,"&lt;="&amp;'02_SETARI'!$B$6))</f>
        <v/>
      </c>
      <c r="G38" s="69">
        <f>IF($A38="","",IFERROR($F38/$C38,""))</f>
        <v/>
      </c>
      <c r="H38" s="69">
        <f>IF($A38="","",IFERROR($C38/SUMIFS('10_VANZARI'!$E$5:$E$604,'10_VANZARI'!$A$5:$A$604,"&gt;="&amp;'02_SETARI'!$B$5,'10_VANZARI'!$A$5:$A$604,"&lt;="&amp;'02_SETARI'!$B$6),""))</f>
        <v/>
      </c>
      <c r="I38" s="70">
        <f>IF($A38="","",IFERROR(IF(SUMPRODUCT(MAX(('10_VANZARI'!$B$5:$B$604=$A38)*('10_VANZARI'!$E$5:$E$604&lt;&gt;"")*'10_VANZARI'!$A$5:$A$604))=0,"",SUMPRODUCT(MAX(('10_VANZARI'!$B$5:$B$604=$A38)*('10_VANZARI'!$E$5:$E$604&lt;&gt;"")*'10_VANZARI'!$A$5:$A$604))),""))</f>
        <v/>
      </c>
      <c r="J38" s="68">
        <f>IF(OR($A38="",$I38=""),"",'02_SETARI'!$B$19-$I38)</f>
        <v/>
      </c>
      <c r="K38" s="68">
        <f>IF($A38="","",IFERROR(IF(INDEX('11_CLIENTI'!$D$5:$D$124,MATCH($A38,'11_CLIENTI'!$A$5:$A$124,0))="","",INDEX('11_CLIENTI'!$D$5:$D$124,MATCH($A38,'11_CLIENTI'!$A$5:$A$124,0))),""))</f>
        <v/>
      </c>
      <c r="L38" s="67">
        <f>IF($A38="","",IF(AND($K38&lt;&gt;"",$K38&lt;='02_SETARI'!$B$18),"Nemulțumit",IF(AND($D38&gt;0,$C38=0),"Nu mai cumpără",IF(AND($J38&lt;&gt;"",$J38&gt;'02_SETARI'!$B$17,$D38&gt;0),"Adormit",IF(AND($E38&lt;&gt;"",$E38&lt;='02_SETARI'!$B$15),"A scăzut",IF(AND($C38&gt;0,$G38&lt;&gt;"",$G38&lt;'02_SETARI'!$B$16),"Marjă mică",IF(AND($E38&lt;&gt;"",$E38&gt;=0.2),"În creștere",IF($C38=0,"Fără activitate","Merge bine"))))))))</f>
        <v/>
      </c>
      <c r="M38" s="67">
        <f>IF($A38="","",IF($L38="Nu mai cumpără","Sună-l săptămâna asta și întreabă direct ce s-a schimbat. Nu trimite email.",IF($L38="Adormit","Sună-l cu un motiv concret: o ofertă, o noutate, o reamintire de sezon.",IF($L38="A scăzut","Întreabă-l dacă a împărțit comenzile cu altcineva. De obicei asta s-a întâmplat.",IF($L38="Nemulțumit","Citește ce a spus în 11_CLIENTI. Rezolvă exact acel lucru, apoi sună-l să-i confirmi. Știi deja cauza — nu mai e nevoie să o cauți.",IF($L38="Marjă mică","Verifică ce discount are și cât te costă să-l servești. Poate merită renegociat.",IF($L38="În creștere","Întreabă-l ce altceva i-ar mai trebui. Acum e momentul, nu peste șase luni.",IF($L38="Fără activitate","Client în listă, dar fără vânzări în perioadă. Verifică dacă mai e client.","Nimic urgent. Ține-l cald."))))))))</f>
        <v/>
      </c>
      <c r="N38" s="68">
        <f>IF($A38="","",IFERROR(IF($L38="Nu mai cumpără",$D38,IF($L38="Adormit",$D38,IF($L38="A scăzut",MAX(0,$D38-$C38),IF($L38="Marjă mică",MAX(0,$C38*('02_SETARI'!$B$16-$G38)),$C38*0.15)))),""))</f>
        <v/>
      </c>
      <c r="O38">
        <f>IF(OR($A38="",$C38="",N($C38)&lt;=0),"",$C38+ROW()/1000000)</f>
        <v/>
      </c>
    </row>
    <row r="39">
      <c r="A39" s="67">
        <f>IF('11_CLIENTI'!$A39="","",'11_CLIENTI'!$A39)</f>
        <v/>
      </c>
      <c r="B39" s="67">
        <f>IF($A39="","",IFERROR(INDEX('11_CLIENTI'!$B$5:$B$124,MATCH($A39,'11_CLIENTI'!$A$5:$A$124,0)),""))</f>
        <v/>
      </c>
      <c r="C39" s="68">
        <f>IF($A39="","",SUMIFS('10_VANZARI'!$E$5:$E$604,'10_VANZARI'!$B$5:$B$604,$A39,'10_VANZARI'!$A$5:$A$604,"&gt;="&amp;'02_SETARI'!$B$5,'10_VANZARI'!$A$5:$A$604,"&lt;="&amp;'02_SETARI'!$B$6))</f>
        <v/>
      </c>
      <c r="D39" s="68">
        <f>IF($A39="","",SUMIFS('10_VANZARI'!$E$5:$E$604,'10_VANZARI'!$B$5:$B$604,$A39,'10_VANZARI'!$A$5:$A$604,"&gt;="&amp;'02_SETARI'!$B$7,'10_VANZARI'!$A$5:$A$604,"&lt;="&amp;'02_SETARI'!$B$8))</f>
        <v/>
      </c>
      <c r="E39" s="69">
        <f>IF($A39="","",IFERROR(IF($D39=0,"",($C39-$D39)/ABS($D39)),""))</f>
        <v/>
      </c>
      <c r="F39" s="68">
        <f>IF($A39="","",SUMIFS('10_VANZARI'!$G$5:$G$604,'10_VANZARI'!$B$5:$B$604,$A39,'10_VANZARI'!$A$5:$A$604,"&gt;="&amp;'02_SETARI'!$B$5,'10_VANZARI'!$A$5:$A$604,"&lt;="&amp;'02_SETARI'!$B$6))</f>
        <v/>
      </c>
      <c r="G39" s="69">
        <f>IF($A39="","",IFERROR($F39/$C39,""))</f>
        <v/>
      </c>
      <c r="H39" s="69">
        <f>IF($A39="","",IFERROR($C39/SUMIFS('10_VANZARI'!$E$5:$E$604,'10_VANZARI'!$A$5:$A$604,"&gt;="&amp;'02_SETARI'!$B$5,'10_VANZARI'!$A$5:$A$604,"&lt;="&amp;'02_SETARI'!$B$6),""))</f>
        <v/>
      </c>
      <c r="I39" s="70">
        <f>IF($A39="","",IFERROR(IF(SUMPRODUCT(MAX(('10_VANZARI'!$B$5:$B$604=$A39)*('10_VANZARI'!$E$5:$E$604&lt;&gt;"")*'10_VANZARI'!$A$5:$A$604))=0,"",SUMPRODUCT(MAX(('10_VANZARI'!$B$5:$B$604=$A39)*('10_VANZARI'!$E$5:$E$604&lt;&gt;"")*'10_VANZARI'!$A$5:$A$604))),""))</f>
        <v/>
      </c>
      <c r="J39" s="68">
        <f>IF(OR($A39="",$I39=""),"",'02_SETARI'!$B$19-$I39)</f>
        <v/>
      </c>
      <c r="K39" s="68">
        <f>IF($A39="","",IFERROR(IF(INDEX('11_CLIENTI'!$D$5:$D$124,MATCH($A39,'11_CLIENTI'!$A$5:$A$124,0))="","",INDEX('11_CLIENTI'!$D$5:$D$124,MATCH($A39,'11_CLIENTI'!$A$5:$A$124,0))),""))</f>
        <v/>
      </c>
      <c r="L39" s="67">
        <f>IF($A39="","",IF(AND($K39&lt;&gt;"",$K39&lt;='02_SETARI'!$B$18),"Nemulțumit",IF(AND($D39&gt;0,$C39=0),"Nu mai cumpără",IF(AND($J39&lt;&gt;"",$J39&gt;'02_SETARI'!$B$17,$D39&gt;0),"Adormit",IF(AND($E39&lt;&gt;"",$E39&lt;='02_SETARI'!$B$15),"A scăzut",IF(AND($C39&gt;0,$G39&lt;&gt;"",$G39&lt;'02_SETARI'!$B$16),"Marjă mică",IF(AND($E39&lt;&gt;"",$E39&gt;=0.2),"În creștere",IF($C39=0,"Fără activitate","Merge bine"))))))))</f>
        <v/>
      </c>
      <c r="M39" s="67">
        <f>IF($A39="","",IF($L39="Nu mai cumpără","Sună-l săptămâna asta și întreabă direct ce s-a schimbat. Nu trimite email.",IF($L39="Adormit","Sună-l cu un motiv concret: o ofertă, o noutate, o reamintire de sezon.",IF($L39="A scăzut","Întreabă-l dacă a împărțit comenzile cu altcineva. De obicei asta s-a întâmplat.",IF($L39="Nemulțumit","Citește ce a spus în 11_CLIENTI. Rezolvă exact acel lucru, apoi sună-l să-i confirmi. Știi deja cauza — nu mai e nevoie să o cauți.",IF($L39="Marjă mică","Verifică ce discount are și cât te costă să-l servești. Poate merită renegociat.",IF($L39="În creștere","Întreabă-l ce altceva i-ar mai trebui. Acum e momentul, nu peste șase luni.",IF($L39="Fără activitate","Client în listă, dar fără vânzări în perioadă. Verifică dacă mai e client.","Nimic urgent. Ține-l cald."))))))))</f>
        <v/>
      </c>
      <c r="N39" s="68">
        <f>IF($A39="","",IFERROR(IF($L39="Nu mai cumpără",$D39,IF($L39="Adormit",$D39,IF($L39="A scăzut",MAX(0,$D39-$C39),IF($L39="Marjă mică",MAX(0,$C39*('02_SETARI'!$B$16-$G39)),$C39*0.15)))),""))</f>
        <v/>
      </c>
      <c r="O39">
        <f>IF(OR($A39="",$C39="",N($C39)&lt;=0),"",$C39+ROW()/1000000)</f>
        <v/>
      </c>
    </row>
    <row r="40">
      <c r="A40" s="67">
        <f>IF('11_CLIENTI'!$A40="","",'11_CLIENTI'!$A40)</f>
        <v/>
      </c>
      <c r="B40" s="67">
        <f>IF($A40="","",IFERROR(INDEX('11_CLIENTI'!$B$5:$B$124,MATCH($A40,'11_CLIENTI'!$A$5:$A$124,0)),""))</f>
        <v/>
      </c>
      <c r="C40" s="68">
        <f>IF($A40="","",SUMIFS('10_VANZARI'!$E$5:$E$604,'10_VANZARI'!$B$5:$B$604,$A40,'10_VANZARI'!$A$5:$A$604,"&gt;="&amp;'02_SETARI'!$B$5,'10_VANZARI'!$A$5:$A$604,"&lt;="&amp;'02_SETARI'!$B$6))</f>
        <v/>
      </c>
      <c r="D40" s="68">
        <f>IF($A40="","",SUMIFS('10_VANZARI'!$E$5:$E$604,'10_VANZARI'!$B$5:$B$604,$A40,'10_VANZARI'!$A$5:$A$604,"&gt;="&amp;'02_SETARI'!$B$7,'10_VANZARI'!$A$5:$A$604,"&lt;="&amp;'02_SETARI'!$B$8))</f>
        <v/>
      </c>
      <c r="E40" s="69">
        <f>IF($A40="","",IFERROR(IF($D40=0,"",($C40-$D40)/ABS($D40)),""))</f>
        <v/>
      </c>
      <c r="F40" s="68">
        <f>IF($A40="","",SUMIFS('10_VANZARI'!$G$5:$G$604,'10_VANZARI'!$B$5:$B$604,$A40,'10_VANZARI'!$A$5:$A$604,"&gt;="&amp;'02_SETARI'!$B$5,'10_VANZARI'!$A$5:$A$604,"&lt;="&amp;'02_SETARI'!$B$6))</f>
        <v/>
      </c>
      <c r="G40" s="69">
        <f>IF($A40="","",IFERROR($F40/$C40,""))</f>
        <v/>
      </c>
      <c r="H40" s="69">
        <f>IF($A40="","",IFERROR($C40/SUMIFS('10_VANZARI'!$E$5:$E$604,'10_VANZARI'!$A$5:$A$604,"&gt;="&amp;'02_SETARI'!$B$5,'10_VANZARI'!$A$5:$A$604,"&lt;="&amp;'02_SETARI'!$B$6),""))</f>
        <v/>
      </c>
      <c r="I40" s="70">
        <f>IF($A40="","",IFERROR(IF(SUMPRODUCT(MAX(('10_VANZARI'!$B$5:$B$604=$A40)*('10_VANZARI'!$E$5:$E$604&lt;&gt;"")*'10_VANZARI'!$A$5:$A$604))=0,"",SUMPRODUCT(MAX(('10_VANZARI'!$B$5:$B$604=$A40)*('10_VANZARI'!$E$5:$E$604&lt;&gt;"")*'10_VANZARI'!$A$5:$A$604))),""))</f>
        <v/>
      </c>
      <c r="J40" s="68">
        <f>IF(OR($A40="",$I40=""),"",'02_SETARI'!$B$19-$I40)</f>
        <v/>
      </c>
      <c r="K40" s="68">
        <f>IF($A40="","",IFERROR(IF(INDEX('11_CLIENTI'!$D$5:$D$124,MATCH($A40,'11_CLIENTI'!$A$5:$A$124,0))="","",INDEX('11_CLIENTI'!$D$5:$D$124,MATCH($A40,'11_CLIENTI'!$A$5:$A$124,0))),""))</f>
        <v/>
      </c>
      <c r="L40" s="67">
        <f>IF($A40="","",IF(AND($K40&lt;&gt;"",$K40&lt;='02_SETARI'!$B$18),"Nemulțumit",IF(AND($D40&gt;0,$C40=0),"Nu mai cumpără",IF(AND($J40&lt;&gt;"",$J40&gt;'02_SETARI'!$B$17,$D40&gt;0),"Adormit",IF(AND($E40&lt;&gt;"",$E40&lt;='02_SETARI'!$B$15),"A scăzut",IF(AND($C40&gt;0,$G40&lt;&gt;"",$G40&lt;'02_SETARI'!$B$16),"Marjă mică",IF(AND($E40&lt;&gt;"",$E40&gt;=0.2),"În creștere",IF($C40=0,"Fără activitate","Merge bine"))))))))</f>
        <v/>
      </c>
      <c r="M40" s="67">
        <f>IF($A40="","",IF($L40="Nu mai cumpără","Sună-l săptămâna asta și întreabă direct ce s-a schimbat. Nu trimite email.",IF($L40="Adormit","Sună-l cu un motiv concret: o ofertă, o noutate, o reamintire de sezon.",IF($L40="A scăzut","Întreabă-l dacă a împărțit comenzile cu altcineva. De obicei asta s-a întâmplat.",IF($L40="Nemulțumit","Citește ce a spus în 11_CLIENTI. Rezolvă exact acel lucru, apoi sună-l să-i confirmi. Știi deja cauza — nu mai e nevoie să o cauți.",IF($L40="Marjă mică","Verifică ce discount are și cât te costă să-l servești. Poate merită renegociat.",IF($L40="În creștere","Întreabă-l ce altceva i-ar mai trebui. Acum e momentul, nu peste șase luni.",IF($L40="Fără activitate","Client în listă, dar fără vânzări în perioadă. Verifică dacă mai e client.","Nimic urgent. Ține-l cald."))))))))</f>
        <v/>
      </c>
      <c r="N40" s="68">
        <f>IF($A40="","",IFERROR(IF($L40="Nu mai cumpără",$D40,IF($L40="Adormit",$D40,IF($L40="A scăzut",MAX(0,$D40-$C40),IF($L40="Marjă mică",MAX(0,$C40*('02_SETARI'!$B$16-$G40)),$C40*0.15)))),""))</f>
        <v/>
      </c>
      <c r="O40">
        <f>IF(OR($A40="",$C40="",N($C40)&lt;=0),"",$C40+ROW()/1000000)</f>
        <v/>
      </c>
    </row>
    <row r="41">
      <c r="A41" s="67">
        <f>IF('11_CLIENTI'!$A41="","",'11_CLIENTI'!$A41)</f>
        <v/>
      </c>
      <c r="B41" s="67">
        <f>IF($A41="","",IFERROR(INDEX('11_CLIENTI'!$B$5:$B$124,MATCH($A41,'11_CLIENTI'!$A$5:$A$124,0)),""))</f>
        <v/>
      </c>
      <c r="C41" s="68">
        <f>IF($A41="","",SUMIFS('10_VANZARI'!$E$5:$E$604,'10_VANZARI'!$B$5:$B$604,$A41,'10_VANZARI'!$A$5:$A$604,"&gt;="&amp;'02_SETARI'!$B$5,'10_VANZARI'!$A$5:$A$604,"&lt;="&amp;'02_SETARI'!$B$6))</f>
        <v/>
      </c>
      <c r="D41" s="68">
        <f>IF($A41="","",SUMIFS('10_VANZARI'!$E$5:$E$604,'10_VANZARI'!$B$5:$B$604,$A41,'10_VANZARI'!$A$5:$A$604,"&gt;="&amp;'02_SETARI'!$B$7,'10_VANZARI'!$A$5:$A$604,"&lt;="&amp;'02_SETARI'!$B$8))</f>
        <v/>
      </c>
      <c r="E41" s="69">
        <f>IF($A41="","",IFERROR(IF($D41=0,"",($C41-$D41)/ABS($D41)),""))</f>
        <v/>
      </c>
      <c r="F41" s="68">
        <f>IF($A41="","",SUMIFS('10_VANZARI'!$G$5:$G$604,'10_VANZARI'!$B$5:$B$604,$A41,'10_VANZARI'!$A$5:$A$604,"&gt;="&amp;'02_SETARI'!$B$5,'10_VANZARI'!$A$5:$A$604,"&lt;="&amp;'02_SETARI'!$B$6))</f>
        <v/>
      </c>
      <c r="G41" s="69">
        <f>IF($A41="","",IFERROR($F41/$C41,""))</f>
        <v/>
      </c>
      <c r="H41" s="69">
        <f>IF($A41="","",IFERROR($C41/SUMIFS('10_VANZARI'!$E$5:$E$604,'10_VANZARI'!$A$5:$A$604,"&gt;="&amp;'02_SETARI'!$B$5,'10_VANZARI'!$A$5:$A$604,"&lt;="&amp;'02_SETARI'!$B$6),""))</f>
        <v/>
      </c>
      <c r="I41" s="70">
        <f>IF($A41="","",IFERROR(IF(SUMPRODUCT(MAX(('10_VANZARI'!$B$5:$B$604=$A41)*('10_VANZARI'!$E$5:$E$604&lt;&gt;"")*'10_VANZARI'!$A$5:$A$604))=0,"",SUMPRODUCT(MAX(('10_VANZARI'!$B$5:$B$604=$A41)*('10_VANZARI'!$E$5:$E$604&lt;&gt;"")*'10_VANZARI'!$A$5:$A$604))),""))</f>
        <v/>
      </c>
      <c r="J41" s="68">
        <f>IF(OR($A41="",$I41=""),"",'02_SETARI'!$B$19-$I41)</f>
        <v/>
      </c>
      <c r="K41" s="68">
        <f>IF($A41="","",IFERROR(IF(INDEX('11_CLIENTI'!$D$5:$D$124,MATCH($A41,'11_CLIENTI'!$A$5:$A$124,0))="","",INDEX('11_CLIENTI'!$D$5:$D$124,MATCH($A41,'11_CLIENTI'!$A$5:$A$124,0))),""))</f>
        <v/>
      </c>
      <c r="L41" s="67">
        <f>IF($A41="","",IF(AND($K41&lt;&gt;"",$K41&lt;='02_SETARI'!$B$18),"Nemulțumit",IF(AND($D41&gt;0,$C41=0),"Nu mai cumpără",IF(AND($J41&lt;&gt;"",$J41&gt;'02_SETARI'!$B$17,$D41&gt;0),"Adormit",IF(AND($E41&lt;&gt;"",$E41&lt;='02_SETARI'!$B$15),"A scăzut",IF(AND($C41&gt;0,$G41&lt;&gt;"",$G41&lt;'02_SETARI'!$B$16),"Marjă mică",IF(AND($E41&lt;&gt;"",$E41&gt;=0.2),"În creștere",IF($C41=0,"Fără activitate","Merge bine"))))))))</f>
        <v/>
      </c>
      <c r="M41" s="67">
        <f>IF($A41="","",IF($L41="Nu mai cumpără","Sună-l săptămâna asta și întreabă direct ce s-a schimbat. Nu trimite email.",IF($L41="Adormit","Sună-l cu un motiv concret: o ofertă, o noutate, o reamintire de sezon.",IF($L41="A scăzut","Întreabă-l dacă a împărțit comenzile cu altcineva. De obicei asta s-a întâmplat.",IF($L41="Nemulțumit","Citește ce a spus în 11_CLIENTI. Rezolvă exact acel lucru, apoi sună-l să-i confirmi. Știi deja cauza — nu mai e nevoie să o cauți.",IF($L41="Marjă mică","Verifică ce discount are și cât te costă să-l servești. Poate merită renegociat.",IF($L41="În creștere","Întreabă-l ce altceva i-ar mai trebui. Acum e momentul, nu peste șase luni.",IF($L41="Fără activitate","Client în listă, dar fără vânzări în perioadă. Verifică dacă mai e client.","Nimic urgent. Ține-l cald."))))))))</f>
        <v/>
      </c>
      <c r="N41" s="68">
        <f>IF($A41="","",IFERROR(IF($L41="Nu mai cumpără",$D41,IF($L41="Adormit",$D41,IF($L41="A scăzut",MAX(0,$D41-$C41),IF($L41="Marjă mică",MAX(0,$C41*('02_SETARI'!$B$16-$G41)),$C41*0.15)))),""))</f>
        <v/>
      </c>
      <c r="O41">
        <f>IF(OR($A41="",$C41="",N($C41)&lt;=0),"",$C41+ROW()/1000000)</f>
        <v/>
      </c>
    </row>
    <row r="42">
      <c r="A42" s="67">
        <f>IF('11_CLIENTI'!$A42="","",'11_CLIENTI'!$A42)</f>
        <v/>
      </c>
      <c r="B42" s="67">
        <f>IF($A42="","",IFERROR(INDEX('11_CLIENTI'!$B$5:$B$124,MATCH($A42,'11_CLIENTI'!$A$5:$A$124,0)),""))</f>
        <v/>
      </c>
      <c r="C42" s="68">
        <f>IF($A42="","",SUMIFS('10_VANZARI'!$E$5:$E$604,'10_VANZARI'!$B$5:$B$604,$A42,'10_VANZARI'!$A$5:$A$604,"&gt;="&amp;'02_SETARI'!$B$5,'10_VANZARI'!$A$5:$A$604,"&lt;="&amp;'02_SETARI'!$B$6))</f>
        <v/>
      </c>
      <c r="D42" s="68">
        <f>IF($A42="","",SUMIFS('10_VANZARI'!$E$5:$E$604,'10_VANZARI'!$B$5:$B$604,$A42,'10_VANZARI'!$A$5:$A$604,"&gt;="&amp;'02_SETARI'!$B$7,'10_VANZARI'!$A$5:$A$604,"&lt;="&amp;'02_SETARI'!$B$8))</f>
        <v/>
      </c>
      <c r="E42" s="69">
        <f>IF($A42="","",IFERROR(IF($D42=0,"",($C42-$D42)/ABS($D42)),""))</f>
        <v/>
      </c>
      <c r="F42" s="68">
        <f>IF($A42="","",SUMIFS('10_VANZARI'!$G$5:$G$604,'10_VANZARI'!$B$5:$B$604,$A42,'10_VANZARI'!$A$5:$A$604,"&gt;="&amp;'02_SETARI'!$B$5,'10_VANZARI'!$A$5:$A$604,"&lt;="&amp;'02_SETARI'!$B$6))</f>
        <v/>
      </c>
      <c r="G42" s="69">
        <f>IF($A42="","",IFERROR($F42/$C42,""))</f>
        <v/>
      </c>
      <c r="H42" s="69">
        <f>IF($A42="","",IFERROR($C42/SUMIFS('10_VANZARI'!$E$5:$E$604,'10_VANZARI'!$A$5:$A$604,"&gt;="&amp;'02_SETARI'!$B$5,'10_VANZARI'!$A$5:$A$604,"&lt;="&amp;'02_SETARI'!$B$6),""))</f>
        <v/>
      </c>
      <c r="I42" s="70">
        <f>IF($A42="","",IFERROR(IF(SUMPRODUCT(MAX(('10_VANZARI'!$B$5:$B$604=$A42)*('10_VANZARI'!$E$5:$E$604&lt;&gt;"")*'10_VANZARI'!$A$5:$A$604))=0,"",SUMPRODUCT(MAX(('10_VANZARI'!$B$5:$B$604=$A42)*('10_VANZARI'!$E$5:$E$604&lt;&gt;"")*'10_VANZARI'!$A$5:$A$604))),""))</f>
        <v/>
      </c>
      <c r="J42" s="68">
        <f>IF(OR($A42="",$I42=""),"",'02_SETARI'!$B$19-$I42)</f>
        <v/>
      </c>
      <c r="K42" s="68">
        <f>IF($A42="","",IFERROR(IF(INDEX('11_CLIENTI'!$D$5:$D$124,MATCH($A42,'11_CLIENTI'!$A$5:$A$124,0))="","",INDEX('11_CLIENTI'!$D$5:$D$124,MATCH($A42,'11_CLIENTI'!$A$5:$A$124,0))),""))</f>
        <v/>
      </c>
      <c r="L42" s="67">
        <f>IF($A42="","",IF(AND($K42&lt;&gt;"",$K42&lt;='02_SETARI'!$B$18),"Nemulțumit",IF(AND($D42&gt;0,$C42=0),"Nu mai cumpără",IF(AND($J42&lt;&gt;"",$J42&gt;'02_SETARI'!$B$17,$D42&gt;0),"Adormit",IF(AND($E42&lt;&gt;"",$E42&lt;='02_SETARI'!$B$15),"A scăzut",IF(AND($C42&gt;0,$G42&lt;&gt;"",$G42&lt;'02_SETARI'!$B$16),"Marjă mică",IF(AND($E42&lt;&gt;"",$E42&gt;=0.2),"În creștere",IF($C42=0,"Fără activitate","Merge bine"))))))))</f>
        <v/>
      </c>
      <c r="M42" s="67">
        <f>IF($A42="","",IF($L42="Nu mai cumpără","Sună-l săptămâna asta și întreabă direct ce s-a schimbat. Nu trimite email.",IF($L42="Adormit","Sună-l cu un motiv concret: o ofertă, o noutate, o reamintire de sezon.",IF($L42="A scăzut","Întreabă-l dacă a împărțit comenzile cu altcineva. De obicei asta s-a întâmplat.",IF($L42="Nemulțumit","Citește ce a spus în 11_CLIENTI. Rezolvă exact acel lucru, apoi sună-l să-i confirmi. Știi deja cauza — nu mai e nevoie să o cauți.",IF($L42="Marjă mică","Verifică ce discount are și cât te costă să-l servești. Poate merită renegociat.",IF($L42="În creștere","Întreabă-l ce altceva i-ar mai trebui. Acum e momentul, nu peste șase luni.",IF($L42="Fără activitate","Client în listă, dar fără vânzări în perioadă. Verifică dacă mai e client.","Nimic urgent. Ține-l cald."))))))))</f>
        <v/>
      </c>
      <c r="N42" s="68">
        <f>IF($A42="","",IFERROR(IF($L42="Nu mai cumpără",$D42,IF($L42="Adormit",$D42,IF($L42="A scăzut",MAX(0,$D42-$C42),IF($L42="Marjă mică",MAX(0,$C42*('02_SETARI'!$B$16-$G42)),$C42*0.15)))),""))</f>
        <v/>
      </c>
      <c r="O42">
        <f>IF(OR($A42="",$C42="",N($C42)&lt;=0),"",$C42+ROW()/1000000)</f>
        <v/>
      </c>
    </row>
    <row r="43">
      <c r="A43" s="67">
        <f>IF('11_CLIENTI'!$A43="","",'11_CLIENTI'!$A43)</f>
        <v/>
      </c>
      <c r="B43" s="67">
        <f>IF($A43="","",IFERROR(INDEX('11_CLIENTI'!$B$5:$B$124,MATCH($A43,'11_CLIENTI'!$A$5:$A$124,0)),""))</f>
        <v/>
      </c>
      <c r="C43" s="68">
        <f>IF($A43="","",SUMIFS('10_VANZARI'!$E$5:$E$604,'10_VANZARI'!$B$5:$B$604,$A43,'10_VANZARI'!$A$5:$A$604,"&gt;="&amp;'02_SETARI'!$B$5,'10_VANZARI'!$A$5:$A$604,"&lt;="&amp;'02_SETARI'!$B$6))</f>
        <v/>
      </c>
      <c r="D43" s="68">
        <f>IF($A43="","",SUMIFS('10_VANZARI'!$E$5:$E$604,'10_VANZARI'!$B$5:$B$604,$A43,'10_VANZARI'!$A$5:$A$604,"&gt;="&amp;'02_SETARI'!$B$7,'10_VANZARI'!$A$5:$A$604,"&lt;="&amp;'02_SETARI'!$B$8))</f>
        <v/>
      </c>
      <c r="E43" s="69">
        <f>IF($A43="","",IFERROR(IF($D43=0,"",($C43-$D43)/ABS($D43)),""))</f>
        <v/>
      </c>
      <c r="F43" s="68">
        <f>IF($A43="","",SUMIFS('10_VANZARI'!$G$5:$G$604,'10_VANZARI'!$B$5:$B$604,$A43,'10_VANZARI'!$A$5:$A$604,"&gt;="&amp;'02_SETARI'!$B$5,'10_VANZARI'!$A$5:$A$604,"&lt;="&amp;'02_SETARI'!$B$6))</f>
        <v/>
      </c>
      <c r="G43" s="69">
        <f>IF($A43="","",IFERROR($F43/$C43,""))</f>
        <v/>
      </c>
      <c r="H43" s="69">
        <f>IF($A43="","",IFERROR($C43/SUMIFS('10_VANZARI'!$E$5:$E$604,'10_VANZARI'!$A$5:$A$604,"&gt;="&amp;'02_SETARI'!$B$5,'10_VANZARI'!$A$5:$A$604,"&lt;="&amp;'02_SETARI'!$B$6),""))</f>
        <v/>
      </c>
      <c r="I43" s="70">
        <f>IF($A43="","",IFERROR(IF(SUMPRODUCT(MAX(('10_VANZARI'!$B$5:$B$604=$A43)*('10_VANZARI'!$E$5:$E$604&lt;&gt;"")*'10_VANZARI'!$A$5:$A$604))=0,"",SUMPRODUCT(MAX(('10_VANZARI'!$B$5:$B$604=$A43)*('10_VANZARI'!$E$5:$E$604&lt;&gt;"")*'10_VANZARI'!$A$5:$A$604))),""))</f>
        <v/>
      </c>
      <c r="J43" s="68">
        <f>IF(OR($A43="",$I43=""),"",'02_SETARI'!$B$19-$I43)</f>
        <v/>
      </c>
      <c r="K43" s="68">
        <f>IF($A43="","",IFERROR(IF(INDEX('11_CLIENTI'!$D$5:$D$124,MATCH($A43,'11_CLIENTI'!$A$5:$A$124,0))="","",INDEX('11_CLIENTI'!$D$5:$D$124,MATCH($A43,'11_CLIENTI'!$A$5:$A$124,0))),""))</f>
        <v/>
      </c>
      <c r="L43" s="67">
        <f>IF($A43="","",IF(AND($K43&lt;&gt;"",$K43&lt;='02_SETARI'!$B$18),"Nemulțumit",IF(AND($D43&gt;0,$C43=0),"Nu mai cumpără",IF(AND($J43&lt;&gt;"",$J43&gt;'02_SETARI'!$B$17,$D43&gt;0),"Adormit",IF(AND($E43&lt;&gt;"",$E43&lt;='02_SETARI'!$B$15),"A scăzut",IF(AND($C43&gt;0,$G43&lt;&gt;"",$G43&lt;'02_SETARI'!$B$16),"Marjă mică",IF(AND($E43&lt;&gt;"",$E43&gt;=0.2),"În creștere",IF($C43=0,"Fără activitate","Merge bine"))))))))</f>
        <v/>
      </c>
      <c r="M43" s="67">
        <f>IF($A43="","",IF($L43="Nu mai cumpără","Sună-l săptămâna asta și întreabă direct ce s-a schimbat. Nu trimite email.",IF($L43="Adormit","Sună-l cu un motiv concret: o ofertă, o noutate, o reamintire de sezon.",IF($L43="A scăzut","Întreabă-l dacă a împărțit comenzile cu altcineva. De obicei asta s-a întâmplat.",IF($L43="Nemulțumit","Citește ce a spus în 11_CLIENTI. Rezolvă exact acel lucru, apoi sună-l să-i confirmi. Știi deja cauza — nu mai e nevoie să o cauți.",IF($L43="Marjă mică","Verifică ce discount are și cât te costă să-l servești. Poate merită renegociat.",IF($L43="În creștere","Întreabă-l ce altceva i-ar mai trebui. Acum e momentul, nu peste șase luni.",IF($L43="Fără activitate","Client în listă, dar fără vânzări în perioadă. Verifică dacă mai e client.","Nimic urgent. Ține-l cald."))))))))</f>
        <v/>
      </c>
      <c r="N43" s="68">
        <f>IF($A43="","",IFERROR(IF($L43="Nu mai cumpără",$D43,IF($L43="Adormit",$D43,IF($L43="A scăzut",MAX(0,$D43-$C43),IF($L43="Marjă mică",MAX(0,$C43*('02_SETARI'!$B$16-$G43)),$C43*0.15)))),""))</f>
        <v/>
      </c>
      <c r="O43">
        <f>IF(OR($A43="",$C43="",N($C43)&lt;=0),"",$C43+ROW()/1000000)</f>
        <v/>
      </c>
    </row>
    <row r="44">
      <c r="A44" s="67">
        <f>IF('11_CLIENTI'!$A44="","",'11_CLIENTI'!$A44)</f>
        <v/>
      </c>
      <c r="B44" s="67">
        <f>IF($A44="","",IFERROR(INDEX('11_CLIENTI'!$B$5:$B$124,MATCH($A44,'11_CLIENTI'!$A$5:$A$124,0)),""))</f>
        <v/>
      </c>
      <c r="C44" s="68">
        <f>IF($A44="","",SUMIFS('10_VANZARI'!$E$5:$E$604,'10_VANZARI'!$B$5:$B$604,$A44,'10_VANZARI'!$A$5:$A$604,"&gt;="&amp;'02_SETARI'!$B$5,'10_VANZARI'!$A$5:$A$604,"&lt;="&amp;'02_SETARI'!$B$6))</f>
        <v/>
      </c>
      <c r="D44" s="68">
        <f>IF($A44="","",SUMIFS('10_VANZARI'!$E$5:$E$604,'10_VANZARI'!$B$5:$B$604,$A44,'10_VANZARI'!$A$5:$A$604,"&gt;="&amp;'02_SETARI'!$B$7,'10_VANZARI'!$A$5:$A$604,"&lt;="&amp;'02_SETARI'!$B$8))</f>
        <v/>
      </c>
      <c r="E44" s="69">
        <f>IF($A44="","",IFERROR(IF($D44=0,"",($C44-$D44)/ABS($D44)),""))</f>
        <v/>
      </c>
      <c r="F44" s="68">
        <f>IF($A44="","",SUMIFS('10_VANZARI'!$G$5:$G$604,'10_VANZARI'!$B$5:$B$604,$A44,'10_VANZARI'!$A$5:$A$604,"&gt;="&amp;'02_SETARI'!$B$5,'10_VANZARI'!$A$5:$A$604,"&lt;="&amp;'02_SETARI'!$B$6))</f>
        <v/>
      </c>
      <c r="G44" s="69">
        <f>IF($A44="","",IFERROR($F44/$C44,""))</f>
        <v/>
      </c>
      <c r="H44" s="69">
        <f>IF($A44="","",IFERROR($C44/SUMIFS('10_VANZARI'!$E$5:$E$604,'10_VANZARI'!$A$5:$A$604,"&gt;="&amp;'02_SETARI'!$B$5,'10_VANZARI'!$A$5:$A$604,"&lt;="&amp;'02_SETARI'!$B$6),""))</f>
        <v/>
      </c>
      <c r="I44" s="70">
        <f>IF($A44="","",IFERROR(IF(SUMPRODUCT(MAX(('10_VANZARI'!$B$5:$B$604=$A44)*('10_VANZARI'!$E$5:$E$604&lt;&gt;"")*'10_VANZARI'!$A$5:$A$604))=0,"",SUMPRODUCT(MAX(('10_VANZARI'!$B$5:$B$604=$A44)*('10_VANZARI'!$E$5:$E$604&lt;&gt;"")*'10_VANZARI'!$A$5:$A$604))),""))</f>
        <v/>
      </c>
      <c r="J44" s="68">
        <f>IF(OR($A44="",$I44=""),"",'02_SETARI'!$B$19-$I44)</f>
        <v/>
      </c>
      <c r="K44" s="68">
        <f>IF($A44="","",IFERROR(IF(INDEX('11_CLIENTI'!$D$5:$D$124,MATCH($A44,'11_CLIENTI'!$A$5:$A$124,0))="","",INDEX('11_CLIENTI'!$D$5:$D$124,MATCH($A44,'11_CLIENTI'!$A$5:$A$124,0))),""))</f>
        <v/>
      </c>
      <c r="L44" s="67">
        <f>IF($A44="","",IF(AND($K44&lt;&gt;"",$K44&lt;='02_SETARI'!$B$18),"Nemulțumit",IF(AND($D44&gt;0,$C44=0),"Nu mai cumpără",IF(AND($J44&lt;&gt;"",$J44&gt;'02_SETARI'!$B$17,$D44&gt;0),"Adormit",IF(AND($E44&lt;&gt;"",$E44&lt;='02_SETARI'!$B$15),"A scăzut",IF(AND($C44&gt;0,$G44&lt;&gt;"",$G44&lt;'02_SETARI'!$B$16),"Marjă mică",IF(AND($E44&lt;&gt;"",$E44&gt;=0.2),"În creștere",IF($C44=0,"Fără activitate","Merge bine"))))))))</f>
        <v/>
      </c>
      <c r="M44" s="67">
        <f>IF($A44="","",IF($L44="Nu mai cumpără","Sună-l săptămâna asta și întreabă direct ce s-a schimbat. Nu trimite email.",IF($L44="Adormit","Sună-l cu un motiv concret: o ofertă, o noutate, o reamintire de sezon.",IF($L44="A scăzut","Întreabă-l dacă a împărțit comenzile cu altcineva. De obicei asta s-a întâmplat.",IF($L44="Nemulțumit","Citește ce a spus în 11_CLIENTI. Rezolvă exact acel lucru, apoi sună-l să-i confirmi. Știi deja cauza — nu mai e nevoie să o cauți.",IF($L44="Marjă mică","Verifică ce discount are și cât te costă să-l servești. Poate merită renegociat.",IF($L44="În creștere","Întreabă-l ce altceva i-ar mai trebui. Acum e momentul, nu peste șase luni.",IF($L44="Fără activitate","Client în listă, dar fără vânzări în perioadă. Verifică dacă mai e client.","Nimic urgent. Ține-l cald."))))))))</f>
        <v/>
      </c>
      <c r="N44" s="68">
        <f>IF($A44="","",IFERROR(IF($L44="Nu mai cumpără",$D44,IF($L44="Adormit",$D44,IF($L44="A scăzut",MAX(0,$D44-$C44),IF($L44="Marjă mică",MAX(0,$C44*('02_SETARI'!$B$16-$G44)),$C44*0.15)))),""))</f>
        <v/>
      </c>
      <c r="O44">
        <f>IF(OR($A44="",$C44="",N($C44)&lt;=0),"",$C44+ROW()/1000000)</f>
        <v/>
      </c>
    </row>
    <row r="45">
      <c r="A45" s="67">
        <f>IF('11_CLIENTI'!$A45="","",'11_CLIENTI'!$A45)</f>
        <v/>
      </c>
      <c r="B45" s="67">
        <f>IF($A45="","",IFERROR(INDEX('11_CLIENTI'!$B$5:$B$124,MATCH($A45,'11_CLIENTI'!$A$5:$A$124,0)),""))</f>
        <v/>
      </c>
      <c r="C45" s="68">
        <f>IF($A45="","",SUMIFS('10_VANZARI'!$E$5:$E$604,'10_VANZARI'!$B$5:$B$604,$A45,'10_VANZARI'!$A$5:$A$604,"&gt;="&amp;'02_SETARI'!$B$5,'10_VANZARI'!$A$5:$A$604,"&lt;="&amp;'02_SETARI'!$B$6))</f>
        <v/>
      </c>
      <c r="D45" s="68">
        <f>IF($A45="","",SUMIFS('10_VANZARI'!$E$5:$E$604,'10_VANZARI'!$B$5:$B$604,$A45,'10_VANZARI'!$A$5:$A$604,"&gt;="&amp;'02_SETARI'!$B$7,'10_VANZARI'!$A$5:$A$604,"&lt;="&amp;'02_SETARI'!$B$8))</f>
        <v/>
      </c>
      <c r="E45" s="69">
        <f>IF($A45="","",IFERROR(IF($D45=0,"",($C45-$D45)/ABS($D45)),""))</f>
        <v/>
      </c>
      <c r="F45" s="68">
        <f>IF($A45="","",SUMIFS('10_VANZARI'!$G$5:$G$604,'10_VANZARI'!$B$5:$B$604,$A45,'10_VANZARI'!$A$5:$A$604,"&gt;="&amp;'02_SETARI'!$B$5,'10_VANZARI'!$A$5:$A$604,"&lt;="&amp;'02_SETARI'!$B$6))</f>
        <v/>
      </c>
      <c r="G45" s="69">
        <f>IF($A45="","",IFERROR($F45/$C45,""))</f>
        <v/>
      </c>
      <c r="H45" s="69">
        <f>IF($A45="","",IFERROR($C45/SUMIFS('10_VANZARI'!$E$5:$E$604,'10_VANZARI'!$A$5:$A$604,"&gt;="&amp;'02_SETARI'!$B$5,'10_VANZARI'!$A$5:$A$604,"&lt;="&amp;'02_SETARI'!$B$6),""))</f>
        <v/>
      </c>
      <c r="I45" s="70">
        <f>IF($A45="","",IFERROR(IF(SUMPRODUCT(MAX(('10_VANZARI'!$B$5:$B$604=$A45)*('10_VANZARI'!$E$5:$E$604&lt;&gt;"")*'10_VANZARI'!$A$5:$A$604))=0,"",SUMPRODUCT(MAX(('10_VANZARI'!$B$5:$B$604=$A45)*('10_VANZARI'!$E$5:$E$604&lt;&gt;"")*'10_VANZARI'!$A$5:$A$604))),""))</f>
        <v/>
      </c>
      <c r="J45" s="68">
        <f>IF(OR($A45="",$I45=""),"",'02_SETARI'!$B$19-$I45)</f>
        <v/>
      </c>
      <c r="K45" s="68">
        <f>IF($A45="","",IFERROR(IF(INDEX('11_CLIENTI'!$D$5:$D$124,MATCH($A45,'11_CLIENTI'!$A$5:$A$124,0))="","",INDEX('11_CLIENTI'!$D$5:$D$124,MATCH($A45,'11_CLIENTI'!$A$5:$A$124,0))),""))</f>
        <v/>
      </c>
      <c r="L45" s="67">
        <f>IF($A45="","",IF(AND($K45&lt;&gt;"",$K45&lt;='02_SETARI'!$B$18),"Nemulțumit",IF(AND($D45&gt;0,$C45=0),"Nu mai cumpără",IF(AND($J45&lt;&gt;"",$J45&gt;'02_SETARI'!$B$17,$D45&gt;0),"Adormit",IF(AND($E45&lt;&gt;"",$E45&lt;='02_SETARI'!$B$15),"A scăzut",IF(AND($C45&gt;0,$G45&lt;&gt;"",$G45&lt;'02_SETARI'!$B$16),"Marjă mică",IF(AND($E45&lt;&gt;"",$E45&gt;=0.2),"În creștere",IF($C45=0,"Fără activitate","Merge bine"))))))))</f>
        <v/>
      </c>
      <c r="M45" s="67">
        <f>IF($A45="","",IF($L45="Nu mai cumpără","Sună-l săptămâna asta și întreabă direct ce s-a schimbat. Nu trimite email.",IF($L45="Adormit","Sună-l cu un motiv concret: o ofertă, o noutate, o reamintire de sezon.",IF($L45="A scăzut","Întreabă-l dacă a împărțit comenzile cu altcineva. De obicei asta s-a întâmplat.",IF($L45="Nemulțumit","Citește ce a spus în 11_CLIENTI. Rezolvă exact acel lucru, apoi sună-l să-i confirmi. Știi deja cauza — nu mai e nevoie să o cauți.",IF($L45="Marjă mică","Verifică ce discount are și cât te costă să-l servești. Poate merită renegociat.",IF($L45="În creștere","Întreabă-l ce altceva i-ar mai trebui. Acum e momentul, nu peste șase luni.",IF($L45="Fără activitate","Client în listă, dar fără vânzări în perioadă. Verifică dacă mai e client.","Nimic urgent. Ține-l cald."))))))))</f>
        <v/>
      </c>
      <c r="N45" s="68">
        <f>IF($A45="","",IFERROR(IF($L45="Nu mai cumpără",$D45,IF($L45="Adormit",$D45,IF($L45="A scăzut",MAX(0,$D45-$C45),IF($L45="Marjă mică",MAX(0,$C45*('02_SETARI'!$B$16-$G45)),$C45*0.15)))),""))</f>
        <v/>
      </c>
      <c r="O45">
        <f>IF(OR($A45="",$C45="",N($C45)&lt;=0),"",$C45+ROW()/1000000)</f>
        <v/>
      </c>
    </row>
    <row r="46">
      <c r="A46" s="67">
        <f>IF('11_CLIENTI'!$A46="","",'11_CLIENTI'!$A46)</f>
        <v/>
      </c>
      <c r="B46" s="67">
        <f>IF($A46="","",IFERROR(INDEX('11_CLIENTI'!$B$5:$B$124,MATCH($A46,'11_CLIENTI'!$A$5:$A$124,0)),""))</f>
        <v/>
      </c>
      <c r="C46" s="68">
        <f>IF($A46="","",SUMIFS('10_VANZARI'!$E$5:$E$604,'10_VANZARI'!$B$5:$B$604,$A46,'10_VANZARI'!$A$5:$A$604,"&gt;="&amp;'02_SETARI'!$B$5,'10_VANZARI'!$A$5:$A$604,"&lt;="&amp;'02_SETARI'!$B$6))</f>
        <v/>
      </c>
      <c r="D46" s="68">
        <f>IF($A46="","",SUMIFS('10_VANZARI'!$E$5:$E$604,'10_VANZARI'!$B$5:$B$604,$A46,'10_VANZARI'!$A$5:$A$604,"&gt;="&amp;'02_SETARI'!$B$7,'10_VANZARI'!$A$5:$A$604,"&lt;="&amp;'02_SETARI'!$B$8))</f>
        <v/>
      </c>
      <c r="E46" s="69">
        <f>IF($A46="","",IFERROR(IF($D46=0,"",($C46-$D46)/ABS($D46)),""))</f>
        <v/>
      </c>
      <c r="F46" s="68">
        <f>IF($A46="","",SUMIFS('10_VANZARI'!$G$5:$G$604,'10_VANZARI'!$B$5:$B$604,$A46,'10_VANZARI'!$A$5:$A$604,"&gt;="&amp;'02_SETARI'!$B$5,'10_VANZARI'!$A$5:$A$604,"&lt;="&amp;'02_SETARI'!$B$6))</f>
        <v/>
      </c>
      <c r="G46" s="69">
        <f>IF($A46="","",IFERROR($F46/$C46,""))</f>
        <v/>
      </c>
      <c r="H46" s="69">
        <f>IF($A46="","",IFERROR($C46/SUMIFS('10_VANZARI'!$E$5:$E$604,'10_VANZARI'!$A$5:$A$604,"&gt;="&amp;'02_SETARI'!$B$5,'10_VANZARI'!$A$5:$A$604,"&lt;="&amp;'02_SETARI'!$B$6),""))</f>
        <v/>
      </c>
      <c r="I46" s="70">
        <f>IF($A46="","",IFERROR(IF(SUMPRODUCT(MAX(('10_VANZARI'!$B$5:$B$604=$A46)*('10_VANZARI'!$E$5:$E$604&lt;&gt;"")*'10_VANZARI'!$A$5:$A$604))=0,"",SUMPRODUCT(MAX(('10_VANZARI'!$B$5:$B$604=$A46)*('10_VANZARI'!$E$5:$E$604&lt;&gt;"")*'10_VANZARI'!$A$5:$A$604))),""))</f>
        <v/>
      </c>
      <c r="J46" s="68">
        <f>IF(OR($A46="",$I46=""),"",'02_SETARI'!$B$19-$I46)</f>
        <v/>
      </c>
      <c r="K46" s="68">
        <f>IF($A46="","",IFERROR(IF(INDEX('11_CLIENTI'!$D$5:$D$124,MATCH($A46,'11_CLIENTI'!$A$5:$A$124,0))="","",INDEX('11_CLIENTI'!$D$5:$D$124,MATCH($A46,'11_CLIENTI'!$A$5:$A$124,0))),""))</f>
        <v/>
      </c>
      <c r="L46" s="67">
        <f>IF($A46="","",IF(AND($K46&lt;&gt;"",$K46&lt;='02_SETARI'!$B$18),"Nemulțumit",IF(AND($D46&gt;0,$C46=0),"Nu mai cumpără",IF(AND($J46&lt;&gt;"",$J46&gt;'02_SETARI'!$B$17,$D46&gt;0),"Adormit",IF(AND($E46&lt;&gt;"",$E46&lt;='02_SETARI'!$B$15),"A scăzut",IF(AND($C46&gt;0,$G46&lt;&gt;"",$G46&lt;'02_SETARI'!$B$16),"Marjă mică",IF(AND($E46&lt;&gt;"",$E46&gt;=0.2),"În creștere",IF($C46=0,"Fără activitate","Merge bine"))))))))</f>
        <v/>
      </c>
      <c r="M46" s="67">
        <f>IF($A46="","",IF($L46="Nu mai cumpără","Sună-l săptămâna asta și întreabă direct ce s-a schimbat. Nu trimite email.",IF($L46="Adormit","Sună-l cu un motiv concret: o ofertă, o noutate, o reamintire de sezon.",IF($L46="A scăzut","Întreabă-l dacă a împărțit comenzile cu altcineva. De obicei asta s-a întâmplat.",IF($L46="Nemulțumit","Citește ce a spus în 11_CLIENTI. Rezolvă exact acel lucru, apoi sună-l să-i confirmi. Știi deja cauza — nu mai e nevoie să o cauți.",IF($L46="Marjă mică","Verifică ce discount are și cât te costă să-l servești. Poate merită renegociat.",IF($L46="În creștere","Întreabă-l ce altceva i-ar mai trebui. Acum e momentul, nu peste șase luni.",IF($L46="Fără activitate","Client în listă, dar fără vânzări în perioadă. Verifică dacă mai e client.","Nimic urgent. Ține-l cald."))))))))</f>
        <v/>
      </c>
      <c r="N46" s="68">
        <f>IF($A46="","",IFERROR(IF($L46="Nu mai cumpără",$D46,IF($L46="Adormit",$D46,IF($L46="A scăzut",MAX(0,$D46-$C46),IF($L46="Marjă mică",MAX(0,$C46*('02_SETARI'!$B$16-$G46)),$C46*0.15)))),""))</f>
        <v/>
      </c>
      <c r="O46">
        <f>IF(OR($A46="",$C46="",N($C46)&lt;=0),"",$C46+ROW()/1000000)</f>
        <v/>
      </c>
    </row>
    <row r="47">
      <c r="A47" s="67">
        <f>IF('11_CLIENTI'!$A47="","",'11_CLIENTI'!$A47)</f>
        <v/>
      </c>
      <c r="B47" s="67">
        <f>IF($A47="","",IFERROR(INDEX('11_CLIENTI'!$B$5:$B$124,MATCH($A47,'11_CLIENTI'!$A$5:$A$124,0)),""))</f>
        <v/>
      </c>
      <c r="C47" s="68">
        <f>IF($A47="","",SUMIFS('10_VANZARI'!$E$5:$E$604,'10_VANZARI'!$B$5:$B$604,$A47,'10_VANZARI'!$A$5:$A$604,"&gt;="&amp;'02_SETARI'!$B$5,'10_VANZARI'!$A$5:$A$604,"&lt;="&amp;'02_SETARI'!$B$6))</f>
        <v/>
      </c>
      <c r="D47" s="68">
        <f>IF($A47="","",SUMIFS('10_VANZARI'!$E$5:$E$604,'10_VANZARI'!$B$5:$B$604,$A47,'10_VANZARI'!$A$5:$A$604,"&gt;="&amp;'02_SETARI'!$B$7,'10_VANZARI'!$A$5:$A$604,"&lt;="&amp;'02_SETARI'!$B$8))</f>
        <v/>
      </c>
      <c r="E47" s="69">
        <f>IF($A47="","",IFERROR(IF($D47=0,"",($C47-$D47)/ABS($D47)),""))</f>
        <v/>
      </c>
      <c r="F47" s="68">
        <f>IF($A47="","",SUMIFS('10_VANZARI'!$G$5:$G$604,'10_VANZARI'!$B$5:$B$604,$A47,'10_VANZARI'!$A$5:$A$604,"&gt;="&amp;'02_SETARI'!$B$5,'10_VANZARI'!$A$5:$A$604,"&lt;="&amp;'02_SETARI'!$B$6))</f>
        <v/>
      </c>
      <c r="G47" s="69">
        <f>IF($A47="","",IFERROR($F47/$C47,""))</f>
        <v/>
      </c>
      <c r="H47" s="69">
        <f>IF($A47="","",IFERROR($C47/SUMIFS('10_VANZARI'!$E$5:$E$604,'10_VANZARI'!$A$5:$A$604,"&gt;="&amp;'02_SETARI'!$B$5,'10_VANZARI'!$A$5:$A$604,"&lt;="&amp;'02_SETARI'!$B$6),""))</f>
        <v/>
      </c>
      <c r="I47" s="70">
        <f>IF($A47="","",IFERROR(IF(SUMPRODUCT(MAX(('10_VANZARI'!$B$5:$B$604=$A47)*('10_VANZARI'!$E$5:$E$604&lt;&gt;"")*'10_VANZARI'!$A$5:$A$604))=0,"",SUMPRODUCT(MAX(('10_VANZARI'!$B$5:$B$604=$A47)*('10_VANZARI'!$E$5:$E$604&lt;&gt;"")*'10_VANZARI'!$A$5:$A$604))),""))</f>
        <v/>
      </c>
      <c r="J47" s="68">
        <f>IF(OR($A47="",$I47=""),"",'02_SETARI'!$B$19-$I47)</f>
        <v/>
      </c>
      <c r="K47" s="68">
        <f>IF($A47="","",IFERROR(IF(INDEX('11_CLIENTI'!$D$5:$D$124,MATCH($A47,'11_CLIENTI'!$A$5:$A$124,0))="","",INDEX('11_CLIENTI'!$D$5:$D$124,MATCH($A47,'11_CLIENTI'!$A$5:$A$124,0))),""))</f>
        <v/>
      </c>
      <c r="L47" s="67">
        <f>IF($A47="","",IF(AND($K47&lt;&gt;"",$K47&lt;='02_SETARI'!$B$18),"Nemulțumit",IF(AND($D47&gt;0,$C47=0),"Nu mai cumpără",IF(AND($J47&lt;&gt;"",$J47&gt;'02_SETARI'!$B$17,$D47&gt;0),"Adormit",IF(AND($E47&lt;&gt;"",$E47&lt;='02_SETARI'!$B$15),"A scăzut",IF(AND($C47&gt;0,$G47&lt;&gt;"",$G47&lt;'02_SETARI'!$B$16),"Marjă mică",IF(AND($E47&lt;&gt;"",$E47&gt;=0.2),"În creștere",IF($C47=0,"Fără activitate","Merge bine"))))))))</f>
        <v/>
      </c>
      <c r="M47" s="67">
        <f>IF($A47="","",IF($L47="Nu mai cumpără","Sună-l săptămâna asta și întreabă direct ce s-a schimbat. Nu trimite email.",IF($L47="Adormit","Sună-l cu un motiv concret: o ofertă, o noutate, o reamintire de sezon.",IF($L47="A scăzut","Întreabă-l dacă a împărțit comenzile cu altcineva. De obicei asta s-a întâmplat.",IF($L47="Nemulțumit","Citește ce a spus în 11_CLIENTI. Rezolvă exact acel lucru, apoi sună-l să-i confirmi. Știi deja cauza — nu mai e nevoie să o cauți.",IF($L47="Marjă mică","Verifică ce discount are și cât te costă să-l servești. Poate merită renegociat.",IF($L47="În creștere","Întreabă-l ce altceva i-ar mai trebui. Acum e momentul, nu peste șase luni.",IF($L47="Fără activitate","Client în listă, dar fără vânzări în perioadă. Verifică dacă mai e client.","Nimic urgent. Ține-l cald."))))))))</f>
        <v/>
      </c>
      <c r="N47" s="68">
        <f>IF($A47="","",IFERROR(IF($L47="Nu mai cumpără",$D47,IF($L47="Adormit",$D47,IF($L47="A scăzut",MAX(0,$D47-$C47),IF($L47="Marjă mică",MAX(0,$C47*('02_SETARI'!$B$16-$G47)),$C47*0.15)))),""))</f>
        <v/>
      </c>
      <c r="O47">
        <f>IF(OR($A47="",$C47="",N($C47)&lt;=0),"",$C47+ROW()/1000000)</f>
        <v/>
      </c>
    </row>
    <row r="48">
      <c r="A48" s="67">
        <f>IF('11_CLIENTI'!$A48="","",'11_CLIENTI'!$A48)</f>
        <v/>
      </c>
      <c r="B48" s="67">
        <f>IF($A48="","",IFERROR(INDEX('11_CLIENTI'!$B$5:$B$124,MATCH($A48,'11_CLIENTI'!$A$5:$A$124,0)),""))</f>
        <v/>
      </c>
      <c r="C48" s="68">
        <f>IF($A48="","",SUMIFS('10_VANZARI'!$E$5:$E$604,'10_VANZARI'!$B$5:$B$604,$A48,'10_VANZARI'!$A$5:$A$604,"&gt;="&amp;'02_SETARI'!$B$5,'10_VANZARI'!$A$5:$A$604,"&lt;="&amp;'02_SETARI'!$B$6))</f>
        <v/>
      </c>
      <c r="D48" s="68">
        <f>IF($A48="","",SUMIFS('10_VANZARI'!$E$5:$E$604,'10_VANZARI'!$B$5:$B$604,$A48,'10_VANZARI'!$A$5:$A$604,"&gt;="&amp;'02_SETARI'!$B$7,'10_VANZARI'!$A$5:$A$604,"&lt;="&amp;'02_SETARI'!$B$8))</f>
        <v/>
      </c>
      <c r="E48" s="69">
        <f>IF($A48="","",IFERROR(IF($D48=0,"",($C48-$D48)/ABS($D48)),""))</f>
        <v/>
      </c>
      <c r="F48" s="68">
        <f>IF($A48="","",SUMIFS('10_VANZARI'!$G$5:$G$604,'10_VANZARI'!$B$5:$B$604,$A48,'10_VANZARI'!$A$5:$A$604,"&gt;="&amp;'02_SETARI'!$B$5,'10_VANZARI'!$A$5:$A$604,"&lt;="&amp;'02_SETARI'!$B$6))</f>
        <v/>
      </c>
      <c r="G48" s="69">
        <f>IF($A48="","",IFERROR($F48/$C48,""))</f>
        <v/>
      </c>
      <c r="H48" s="69">
        <f>IF($A48="","",IFERROR($C48/SUMIFS('10_VANZARI'!$E$5:$E$604,'10_VANZARI'!$A$5:$A$604,"&gt;="&amp;'02_SETARI'!$B$5,'10_VANZARI'!$A$5:$A$604,"&lt;="&amp;'02_SETARI'!$B$6),""))</f>
        <v/>
      </c>
      <c r="I48" s="70">
        <f>IF($A48="","",IFERROR(IF(SUMPRODUCT(MAX(('10_VANZARI'!$B$5:$B$604=$A48)*('10_VANZARI'!$E$5:$E$604&lt;&gt;"")*'10_VANZARI'!$A$5:$A$604))=0,"",SUMPRODUCT(MAX(('10_VANZARI'!$B$5:$B$604=$A48)*('10_VANZARI'!$E$5:$E$604&lt;&gt;"")*'10_VANZARI'!$A$5:$A$604))),""))</f>
        <v/>
      </c>
      <c r="J48" s="68">
        <f>IF(OR($A48="",$I48=""),"",'02_SETARI'!$B$19-$I48)</f>
        <v/>
      </c>
      <c r="K48" s="68">
        <f>IF($A48="","",IFERROR(IF(INDEX('11_CLIENTI'!$D$5:$D$124,MATCH($A48,'11_CLIENTI'!$A$5:$A$124,0))="","",INDEX('11_CLIENTI'!$D$5:$D$124,MATCH($A48,'11_CLIENTI'!$A$5:$A$124,0))),""))</f>
        <v/>
      </c>
      <c r="L48" s="67">
        <f>IF($A48="","",IF(AND($K48&lt;&gt;"",$K48&lt;='02_SETARI'!$B$18),"Nemulțumit",IF(AND($D48&gt;0,$C48=0),"Nu mai cumpără",IF(AND($J48&lt;&gt;"",$J48&gt;'02_SETARI'!$B$17,$D48&gt;0),"Adormit",IF(AND($E48&lt;&gt;"",$E48&lt;='02_SETARI'!$B$15),"A scăzut",IF(AND($C48&gt;0,$G48&lt;&gt;"",$G48&lt;'02_SETARI'!$B$16),"Marjă mică",IF(AND($E48&lt;&gt;"",$E48&gt;=0.2),"În creștere",IF($C48=0,"Fără activitate","Merge bine"))))))))</f>
        <v/>
      </c>
      <c r="M48" s="67">
        <f>IF($A48="","",IF($L48="Nu mai cumpără","Sună-l săptămâna asta și întreabă direct ce s-a schimbat. Nu trimite email.",IF($L48="Adormit","Sună-l cu un motiv concret: o ofertă, o noutate, o reamintire de sezon.",IF($L48="A scăzut","Întreabă-l dacă a împărțit comenzile cu altcineva. De obicei asta s-a întâmplat.",IF($L48="Nemulțumit","Citește ce a spus în 11_CLIENTI. Rezolvă exact acel lucru, apoi sună-l să-i confirmi. Știi deja cauza — nu mai e nevoie să o cauți.",IF($L48="Marjă mică","Verifică ce discount are și cât te costă să-l servești. Poate merită renegociat.",IF($L48="În creștere","Întreabă-l ce altceva i-ar mai trebui. Acum e momentul, nu peste șase luni.",IF($L48="Fără activitate","Client în listă, dar fără vânzări în perioadă. Verifică dacă mai e client.","Nimic urgent. Ține-l cald."))))))))</f>
        <v/>
      </c>
      <c r="N48" s="68">
        <f>IF($A48="","",IFERROR(IF($L48="Nu mai cumpără",$D48,IF($L48="Adormit",$D48,IF($L48="A scăzut",MAX(0,$D48-$C48),IF($L48="Marjă mică",MAX(0,$C48*('02_SETARI'!$B$16-$G48)),$C48*0.15)))),""))</f>
        <v/>
      </c>
      <c r="O48">
        <f>IF(OR($A48="",$C48="",N($C48)&lt;=0),"",$C48+ROW()/1000000)</f>
        <v/>
      </c>
    </row>
    <row r="49">
      <c r="A49" s="67">
        <f>IF('11_CLIENTI'!$A49="","",'11_CLIENTI'!$A49)</f>
        <v/>
      </c>
      <c r="B49" s="67">
        <f>IF($A49="","",IFERROR(INDEX('11_CLIENTI'!$B$5:$B$124,MATCH($A49,'11_CLIENTI'!$A$5:$A$124,0)),""))</f>
        <v/>
      </c>
      <c r="C49" s="68">
        <f>IF($A49="","",SUMIFS('10_VANZARI'!$E$5:$E$604,'10_VANZARI'!$B$5:$B$604,$A49,'10_VANZARI'!$A$5:$A$604,"&gt;="&amp;'02_SETARI'!$B$5,'10_VANZARI'!$A$5:$A$604,"&lt;="&amp;'02_SETARI'!$B$6))</f>
        <v/>
      </c>
      <c r="D49" s="68">
        <f>IF($A49="","",SUMIFS('10_VANZARI'!$E$5:$E$604,'10_VANZARI'!$B$5:$B$604,$A49,'10_VANZARI'!$A$5:$A$604,"&gt;="&amp;'02_SETARI'!$B$7,'10_VANZARI'!$A$5:$A$604,"&lt;="&amp;'02_SETARI'!$B$8))</f>
        <v/>
      </c>
      <c r="E49" s="69">
        <f>IF($A49="","",IFERROR(IF($D49=0,"",($C49-$D49)/ABS($D49)),""))</f>
        <v/>
      </c>
      <c r="F49" s="68">
        <f>IF($A49="","",SUMIFS('10_VANZARI'!$G$5:$G$604,'10_VANZARI'!$B$5:$B$604,$A49,'10_VANZARI'!$A$5:$A$604,"&gt;="&amp;'02_SETARI'!$B$5,'10_VANZARI'!$A$5:$A$604,"&lt;="&amp;'02_SETARI'!$B$6))</f>
        <v/>
      </c>
      <c r="G49" s="69">
        <f>IF($A49="","",IFERROR($F49/$C49,""))</f>
        <v/>
      </c>
      <c r="H49" s="69">
        <f>IF($A49="","",IFERROR($C49/SUMIFS('10_VANZARI'!$E$5:$E$604,'10_VANZARI'!$A$5:$A$604,"&gt;="&amp;'02_SETARI'!$B$5,'10_VANZARI'!$A$5:$A$604,"&lt;="&amp;'02_SETARI'!$B$6),""))</f>
        <v/>
      </c>
      <c r="I49" s="70">
        <f>IF($A49="","",IFERROR(IF(SUMPRODUCT(MAX(('10_VANZARI'!$B$5:$B$604=$A49)*('10_VANZARI'!$E$5:$E$604&lt;&gt;"")*'10_VANZARI'!$A$5:$A$604))=0,"",SUMPRODUCT(MAX(('10_VANZARI'!$B$5:$B$604=$A49)*('10_VANZARI'!$E$5:$E$604&lt;&gt;"")*'10_VANZARI'!$A$5:$A$604))),""))</f>
        <v/>
      </c>
      <c r="J49" s="68">
        <f>IF(OR($A49="",$I49=""),"",'02_SETARI'!$B$19-$I49)</f>
        <v/>
      </c>
      <c r="K49" s="68">
        <f>IF($A49="","",IFERROR(IF(INDEX('11_CLIENTI'!$D$5:$D$124,MATCH($A49,'11_CLIENTI'!$A$5:$A$124,0))="","",INDEX('11_CLIENTI'!$D$5:$D$124,MATCH($A49,'11_CLIENTI'!$A$5:$A$124,0))),""))</f>
        <v/>
      </c>
      <c r="L49" s="67">
        <f>IF($A49="","",IF(AND($K49&lt;&gt;"",$K49&lt;='02_SETARI'!$B$18),"Nemulțumit",IF(AND($D49&gt;0,$C49=0),"Nu mai cumpără",IF(AND($J49&lt;&gt;"",$J49&gt;'02_SETARI'!$B$17,$D49&gt;0),"Adormit",IF(AND($E49&lt;&gt;"",$E49&lt;='02_SETARI'!$B$15),"A scăzut",IF(AND($C49&gt;0,$G49&lt;&gt;"",$G49&lt;'02_SETARI'!$B$16),"Marjă mică",IF(AND($E49&lt;&gt;"",$E49&gt;=0.2),"În creștere",IF($C49=0,"Fără activitate","Merge bine"))))))))</f>
        <v/>
      </c>
      <c r="M49" s="67">
        <f>IF($A49="","",IF($L49="Nu mai cumpără","Sună-l săptămâna asta și întreabă direct ce s-a schimbat. Nu trimite email.",IF($L49="Adormit","Sună-l cu un motiv concret: o ofertă, o noutate, o reamintire de sezon.",IF($L49="A scăzut","Întreabă-l dacă a împărțit comenzile cu altcineva. De obicei asta s-a întâmplat.",IF($L49="Nemulțumit","Citește ce a spus în 11_CLIENTI. Rezolvă exact acel lucru, apoi sună-l să-i confirmi. Știi deja cauza — nu mai e nevoie să o cauți.",IF($L49="Marjă mică","Verifică ce discount are și cât te costă să-l servești. Poate merită renegociat.",IF($L49="În creștere","Întreabă-l ce altceva i-ar mai trebui. Acum e momentul, nu peste șase luni.",IF($L49="Fără activitate","Client în listă, dar fără vânzări în perioadă. Verifică dacă mai e client.","Nimic urgent. Ține-l cald."))))))))</f>
        <v/>
      </c>
      <c r="N49" s="68">
        <f>IF($A49="","",IFERROR(IF($L49="Nu mai cumpără",$D49,IF($L49="Adormit",$D49,IF($L49="A scăzut",MAX(0,$D49-$C49),IF($L49="Marjă mică",MAX(0,$C49*('02_SETARI'!$B$16-$G49)),$C49*0.15)))),""))</f>
        <v/>
      </c>
      <c r="O49">
        <f>IF(OR($A49="",$C49="",N($C49)&lt;=0),"",$C49+ROW()/1000000)</f>
        <v/>
      </c>
    </row>
    <row r="50">
      <c r="A50" s="67">
        <f>IF('11_CLIENTI'!$A50="","",'11_CLIENTI'!$A50)</f>
        <v/>
      </c>
      <c r="B50" s="67">
        <f>IF($A50="","",IFERROR(INDEX('11_CLIENTI'!$B$5:$B$124,MATCH($A50,'11_CLIENTI'!$A$5:$A$124,0)),""))</f>
        <v/>
      </c>
      <c r="C50" s="68">
        <f>IF($A50="","",SUMIFS('10_VANZARI'!$E$5:$E$604,'10_VANZARI'!$B$5:$B$604,$A50,'10_VANZARI'!$A$5:$A$604,"&gt;="&amp;'02_SETARI'!$B$5,'10_VANZARI'!$A$5:$A$604,"&lt;="&amp;'02_SETARI'!$B$6))</f>
        <v/>
      </c>
      <c r="D50" s="68">
        <f>IF($A50="","",SUMIFS('10_VANZARI'!$E$5:$E$604,'10_VANZARI'!$B$5:$B$604,$A50,'10_VANZARI'!$A$5:$A$604,"&gt;="&amp;'02_SETARI'!$B$7,'10_VANZARI'!$A$5:$A$604,"&lt;="&amp;'02_SETARI'!$B$8))</f>
        <v/>
      </c>
      <c r="E50" s="69">
        <f>IF($A50="","",IFERROR(IF($D50=0,"",($C50-$D50)/ABS($D50)),""))</f>
        <v/>
      </c>
      <c r="F50" s="68">
        <f>IF($A50="","",SUMIFS('10_VANZARI'!$G$5:$G$604,'10_VANZARI'!$B$5:$B$604,$A50,'10_VANZARI'!$A$5:$A$604,"&gt;="&amp;'02_SETARI'!$B$5,'10_VANZARI'!$A$5:$A$604,"&lt;="&amp;'02_SETARI'!$B$6))</f>
        <v/>
      </c>
      <c r="G50" s="69">
        <f>IF($A50="","",IFERROR($F50/$C50,""))</f>
        <v/>
      </c>
      <c r="H50" s="69">
        <f>IF($A50="","",IFERROR($C50/SUMIFS('10_VANZARI'!$E$5:$E$604,'10_VANZARI'!$A$5:$A$604,"&gt;="&amp;'02_SETARI'!$B$5,'10_VANZARI'!$A$5:$A$604,"&lt;="&amp;'02_SETARI'!$B$6),""))</f>
        <v/>
      </c>
      <c r="I50" s="70">
        <f>IF($A50="","",IFERROR(IF(SUMPRODUCT(MAX(('10_VANZARI'!$B$5:$B$604=$A50)*('10_VANZARI'!$E$5:$E$604&lt;&gt;"")*'10_VANZARI'!$A$5:$A$604))=0,"",SUMPRODUCT(MAX(('10_VANZARI'!$B$5:$B$604=$A50)*('10_VANZARI'!$E$5:$E$604&lt;&gt;"")*'10_VANZARI'!$A$5:$A$604))),""))</f>
        <v/>
      </c>
      <c r="J50" s="68">
        <f>IF(OR($A50="",$I50=""),"",'02_SETARI'!$B$19-$I50)</f>
        <v/>
      </c>
      <c r="K50" s="68">
        <f>IF($A50="","",IFERROR(IF(INDEX('11_CLIENTI'!$D$5:$D$124,MATCH($A50,'11_CLIENTI'!$A$5:$A$124,0))="","",INDEX('11_CLIENTI'!$D$5:$D$124,MATCH($A50,'11_CLIENTI'!$A$5:$A$124,0))),""))</f>
        <v/>
      </c>
      <c r="L50" s="67">
        <f>IF($A50="","",IF(AND($K50&lt;&gt;"",$K50&lt;='02_SETARI'!$B$18),"Nemulțumit",IF(AND($D50&gt;0,$C50=0),"Nu mai cumpără",IF(AND($J50&lt;&gt;"",$J50&gt;'02_SETARI'!$B$17,$D50&gt;0),"Adormit",IF(AND($E50&lt;&gt;"",$E50&lt;='02_SETARI'!$B$15),"A scăzut",IF(AND($C50&gt;0,$G50&lt;&gt;"",$G50&lt;'02_SETARI'!$B$16),"Marjă mică",IF(AND($E50&lt;&gt;"",$E50&gt;=0.2),"În creștere",IF($C50=0,"Fără activitate","Merge bine"))))))))</f>
        <v/>
      </c>
      <c r="M50" s="67">
        <f>IF($A50="","",IF($L50="Nu mai cumpără","Sună-l săptămâna asta și întreabă direct ce s-a schimbat. Nu trimite email.",IF($L50="Adormit","Sună-l cu un motiv concret: o ofertă, o noutate, o reamintire de sezon.",IF($L50="A scăzut","Întreabă-l dacă a împărțit comenzile cu altcineva. De obicei asta s-a întâmplat.",IF($L50="Nemulțumit","Citește ce a spus în 11_CLIENTI. Rezolvă exact acel lucru, apoi sună-l să-i confirmi. Știi deja cauza — nu mai e nevoie să o cauți.",IF($L50="Marjă mică","Verifică ce discount are și cât te costă să-l servești. Poate merită renegociat.",IF($L50="În creștere","Întreabă-l ce altceva i-ar mai trebui. Acum e momentul, nu peste șase luni.",IF($L50="Fără activitate","Client în listă, dar fără vânzări în perioadă. Verifică dacă mai e client.","Nimic urgent. Ține-l cald."))))))))</f>
        <v/>
      </c>
      <c r="N50" s="68">
        <f>IF($A50="","",IFERROR(IF($L50="Nu mai cumpără",$D50,IF($L50="Adormit",$D50,IF($L50="A scăzut",MAX(0,$D50-$C50),IF($L50="Marjă mică",MAX(0,$C50*('02_SETARI'!$B$16-$G50)),$C50*0.15)))),""))</f>
        <v/>
      </c>
      <c r="O50">
        <f>IF(OR($A50="",$C50="",N($C50)&lt;=0),"",$C50+ROW()/1000000)</f>
        <v/>
      </c>
    </row>
    <row r="51">
      <c r="A51" s="67">
        <f>IF('11_CLIENTI'!$A51="","",'11_CLIENTI'!$A51)</f>
        <v/>
      </c>
      <c r="B51" s="67">
        <f>IF($A51="","",IFERROR(INDEX('11_CLIENTI'!$B$5:$B$124,MATCH($A51,'11_CLIENTI'!$A$5:$A$124,0)),""))</f>
        <v/>
      </c>
      <c r="C51" s="68">
        <f>IF($A51="","",SUMIFS('10_VANZARI'!$E$5:$E$604,'10_VANZARI'!$B$5:$B$604,$A51,'10_VANZARI'!$A$5:$A$604,"&gt;="&amp;'02_SETARI'!$B$5,'10_VANZARI'!$A$5:$A$604,"&lt;="&amp;'02_SETARI'!$B$6))</f>
        <v/>
      </c>
      <c r="D51" s="68">
        <f>IF($A51="","",SUMIFS('10_VANZARI'!$E$5:$E$604,'10_VANZARI'!$B$5:$B$604,$A51,'10_VANZARI'!$A$5:$A$604,"&gt;="&amp;'02_SETARI'!$B$7,'10_VANZARI'!$A$5:$A$604,"&lt;="&amp;'02_SETARI'!$B$8))</f>
        <v/>
      </c>
      <c r="E51" s="69">
        <f>IF($A51="","",IFERROR(IF($D51=0,"",($C51-$D51)/ABS($D51)),""))</f>
        <v/>
      </c>
      <c r="F51" s="68">
        <f>IF($A51="","",SUMIFS('10_VANZARI'!$G$5:$G$604,'10_VANZARI'!$B$5:$B$604,$A51,'10_VANZARI'!$A$5:$A$604,"&gt;="&amp;'02_SETARI'!$B$5,'10_VANZARI'!$A$5:$A$604,"&lt;="&amp;'02_SETARI'!$B$6))</f>
        <v/>
      </c>
      <c r="G51" s="69">
        <f>IF($A51="","",IFERROR($F51/$C51,""))</f>
        <v/>
      </c>
      <c r="H51" s="69">
        <f>IF($A51="","",IFERROR($C51/SUMIFS('10_VANZARI'!$E$5:$E$604,'10_VANZARI'!$A$5:$A$604,"&gt;="&amp;'02_SETARI'!$B$5,'10_VANZARI'!$A$5:$A$604,"&lt;="&amp;'02_SETARI'!$B$6),""))</f>
        <v/>
      </c>
      <c r="I51" s="70">
        <f>IF($A51="","",IFERROR(IF(SUMPRODUCT(MAX(('10_VANZARI'!$B$5:$B$604=$A51)*('10_VANZARI'!$E$5:$E$604&lt;&gt;"")*'10_VANZARI'!$A$5:$A$604))=0,"",SUMPRODUCT(MAX(('10_VANZARI'!$B$5:$B$604=$A51)*('10_VANZARI'!$E$5:$E$604&lt;&gt;"")*'10_VANZARI'!$A$5:$A$604))),""))</f>
        <v/>
      </c>
      <c r="J51" s="68">
        <f>IF(OR($A51="",$I51=""),"",'02_SETARI'!$B$19-$I51)</f>
        <v/>
      </c>
      <c r="K51" s="68">
        <f>IF($A51="","",IFERROR(IF(INDEX('11_CLIENTI'!$D$5:$D$124,MATCH($A51,'11_CLIENTI'!$A$5:$A$124,0))="","",INDEX('11_CLIENTI'!$D$5:$D$124,MATCH($A51,'11_CLIENTI'!$A$5:$A$124,0))),""))</f>
        <v/>
      </c>
      <c r="L51" s="67">
        <f>IF($A51="","",IF(AND($K51&lt;&gt;"",$K51&lt;='02_SETARI'!$B$18),"Nemulțumit",IF(AND($D51&gt;0,$C51=0),"Nu mai cumpără",IF(AND($J51&lt;&gt;"",$J51&gt;'02_SETARI'!$B$17,$D51&gt;0),"Adormit",IF(AND($E51&lt;&gt;"",$E51&lt;='02_SETARI'!$B$15),"A scăzut",IF(AND($C51&gt;0,$G51&lt;&gt;"",$G51&lt;'02_SETARI'!$B$16),"Marjă mică",IF(AND($E51&lt;&gt;"",$E51&gt;=0.2),"În creștere",IF($C51=0,"Fără activitate","Merge bine"))))))))</f>
        <v/>
      </c>
      <c r="M51" s="67">
        <f>IF($A51="","",IF($L51="Nu mai cumpără","Sună-l săptămâna asta și întreabă direct ce s-a schimbat. Nu trimite email.",IF($L51="Adormit","Sună-l cu un motiv concret: o ofertă, o noutate, o reamintire de sezon.",IF($L51="A scăzut","Întreabă-l dacă a împărțit comenzile cu altcineva. De obicei asta s-a întâmplat.",IF($L51="Nemulțumit","Citește ce a spus în 11_CLIENTI. Rezolvă exact acel lucru, apoi sună-l să-i confirmi. Știi deja cauza — nu mai e nevoie să o cauți.",IF($L51="Marjă mică","Verifică ce discount are și cât te costă să-l servești. Poate merită renegociat.",IF($L51="În creștere","Întreabă-l ce altceva i-ar mai trebui. Acum e momentul, nu peste șase luni.",IF($L51="Fără activitate","Client în listă, dar fără vânzări în perioadă. Verifică dacă mai e client.","Nimic urgent. Ține-l cald."))))))))</f>
        <v/>
      </c>
      <c r="N51" s="68">
        <f>IF($A51="","",IFERROR(IF($L51="Nu mai cumpără",$D51,IF($L51="Adormit",$D51,IF($L51="A scăzut",MAX(0,$D51-$C51),IF($L51="Marjă mică",MAX(0,$C51*('02_SETARI'!$B$16-$G51)),$C51*0.15)))),""))</f>
        <v/>
      </c>
      <c r="O51">
        <f>IF(OR($A51="",$C51="",N($C51)&lt;=0),"",$C51+ROW()/1000000)</f>
        <v/>
      </c>
    </row>
    <row r="52">
      <c r="A52" s="67">
        <f>IF('11_CLIENTI'!$A52="","",'11_CLIENTI'!$A52)</f>
        <v/>
      </c>
      <c r="B52" s="67">
        <f>IF($A52="","",IFERROR(INDEX('11_CLIENTI'!$B$5:$B$124,MATCH($A52,'11_CLIENTI'!$A$5:$A$124,0)),""))</f>
        <v/>
      </c>
      <c r="C52" s="68">
        <f>IF($A52="","",SUMIFS('10_VANZARI'!$E$5:$E$604,'10_VANZARI'!$B$5:$B$604,$A52,'10_VANZARI'!$A$5:$A$604,"&gt;="&amp;'02_SETARI'!$B$5,'10_VANZARI'!$A$5:$A$604,"&lt;="&amp;'02_SETARI'!$B$6))</f>
        <v/>
      </c>
      <c r="D52" s="68">
        <f>IF($A52="","",SUMIFS('10_VANZARI'!$E$5:$E$604,'10_VANZARI'!$B$5:$B$604,$A52,'10_VANZARI'!$A$5:$A$604,"&gt;="&amp;'02_SETARI'!$B$7,'10_VANZARI'!$A$5:$A$604,"&lt;="&amp;'02_SETARI'!$B$8))</f>
        <v/>
      </c>
      <c r="E52" s="69">
        <f>IF($A52="","",IFERROR(IF($D52=0,"",($C52-$D52)/ABS($D52)),""))</f>
        <v/>
      </c>
      <c r="F52" s="68">
        <f>IF($A52="","",SUMIFS('10_VANZARI'!$G$5:$G$604,'10_VANZARI'!$B$5:$B$604,$A52,'10_VANZARI'!$A$5:$A$604,"&gt;="&amp;'02_SETARI'!$B$5,'10_VANZARI'!$A$5:$A$604,"&lt;="&amp;'02_SETARI'!$B$6))</f>
        <v/>
      </c>
      <c r="G52" s="69">
        <f>IF($A52="","",IFERROR($F52/$C52,""))</f>
        <v/>
      </c>
      <c r="H52" s="69">
        <f>IF($A52="","",IFERROR($C52/SUMIFS('10_VANZARI'!$E$5:$E$604,'10_VANZARI'!$A$5:$A$604,"&gt;="&amp;'02_SETARI'!$B$5,'10_VANZARI'!$A$5:$A$604,"&lt;="&amp;'02_SETARI'!$B$6),""))</f>
        <v/>
      </c>
      <c r="I52" s="70">
        <f>IF($A52="","",IFERROR(IF(SUMPRODUCT(MAX(('10_VANZARI'!$B$5:$B$604=$A52)*('10_VANZARI'!$E$5:$E$604&lt;&gt;"")*'10_VANZARI'!$A$5:$A$604))=0,"",SUMPRODUCT(MAX(('10_VANZARI'!$B$5:$B$604=$A52)*('10_VANZARI'!$E$5:$E$604&lt;&gt;"")*'10_VANZARI'!$A$5:$A$604))),""))</f>
        <v/>
      </c>
      <c r="J52" s="68">
        <f>IF(OR($A52="",$I52=""),"",'02_SETARI'!$B$19-$I52)</f>
        <v/>
      </c>
      <c r="K52" s="68">
        <f>IF($A52="","",IFERROR(IF(INDEX('11_CLIENTI'!$D$5:$D$124,MATCH($A52,'11_CLIENTI'!$A$5:$A$124,0))="","",INDEX('11_CLIENTI'!$D$5:$D$124,MATCH($A52,'11_CLIENTI'!$A$5:$A$124,0))),""))</f>
        <v/>
      </c>
      <c r="L52" s="67">
        <f>IF($A52="","",IF(AND($K52&lt;&gt;"",$K52&lt;='02_SETARI'!$B$18),"Nemulțumit",IF(AND($D52&gt;0,$C52=0),"Nu mai cumpără",IF(AND($J52&lt;&gt;"",$J52&gt;'02_SETARI'!$B$17,$D52&gt;0),"Adormit",IF(AND($E52&lt;&gt;"",$E52&lt;='02_SETARI'!$B$15),"A scăzut",IF(AND($C52&gt;0,$G52&lt;&gt;"",$G52&lt;'02_SETARI'!$B$16),"Marjă mică",IF(AND($E52&lt;&gt;"",$E52&gt;=0.2),"În creștere",IF($C52=0,"Fără activitate","Merge bine"))))))))</f>
        <v/>
      </c>
      <c r="M52" s="67">
        <f>IF($A52="","",IF($L52="Nu mai cumpără","Sună-l săptămâna asta și întreabă direct ce s-a schimbat. Nu trimite email.",IF($L52="Adormit","Sună-l cu un motiv concret: o ofertă, o noutate, o reamintire de sezon.",IF($L52="A scăzut","Întreabă-l dacă a împărțit comenzile cu altcineva. De obicei asta s-a întâmplat.",IF($L52="Nemulțumit","Citește ce a spus în 11_CLIENTI. Rezolvă exact acel lucru, apoi sună-l să-i confirmi. Știi deja cauza — nu mai e nevoie să o cauți.",IF($L52="Marjă mică","Verifică ce discount are și cât te costă să-l servești. Poate merită renegociat.",IF($L52="În creștere","Întreabă-l ce altceva i-ar mai trebui. Acum e momentul, nu peste șase luni.",IF($L52="Fără activitate","Client în listă, dar fără vânzări în perioadă. Verifică dacă mai e client.","Nimic urgent. Ține-l cald."))))))))</f>
        <v/>
      </c>
      <c r="N52" s="68">
        <f>IF($A52="","",IFERROR(IF($L52="Nu mai cumpără",$D52,IF($L52="Adormit",$D52,IF($L52="A scăzut",MAX(0,$D52-$C52),IF($L52="Marjă mică",MAX(0,$C52*('02_SETARI'!$B$16-$G52)),$C52*0.15)))),""))</f>
        <v/>
      </c>
      <c r="O52">
        <f>IF(OR($A52="",$C52="",N($C52)&lt;=0),"",$C52+ROW()/1000000)</f>
        <v/>
      </c>
    </row>
    <row r="53">
      <c r="A53" s="67">
        <f>IF('11_CLIENTI'!$A53="","",'11_CLIENTI'!$A53)</f>
        <v/>
      </c>
      <c r="B53" s="67">
        <f>IF($A53="","",IFERROR(INDEX('11_CLIENTI'!$B$5:$B$124,MATCH($A53,'11_CLIENTI'!$A$5:$A$124,0)),""))</f>
        <v/>
      </c>
      <c r="C53" s="68">
        <f>IF($A53="","",SUMIFS('10_VANZARI'!$E$5:$E$604,'10_VANZARI'!$B$5:$B$604,$A53,'10_VANZARI'!$A$5:$A$604,"&gt;="&amp;'02_SETARI'!$B$5,'10_VANZARI'!$A$5:$A$604,"&lt;="&amp;'02_SETARI'!$B$6))</f>
        <v/>
      </c>
      <c r="D53" s="68">
        <f>IF($A53="","",SUMIFS('10_VANZARI'!$E$5:$E$604,'10_VANZARI'!$B$5:$B$604,$A53,'10_VANZARI'!$A$5:$A$604,"&gt;="&amp;'02_SETARI'!$B$7,'10_VANZARI'!$A$5:$A$604,"&lt;="&amp;'02_SETARI'!$B$8))</f>
        <v/>
      </c>
      <c r="E53" s="69">
        <f>IF($A53="","",IFERROR(IF($D53=0,"",($C53-$D53)/ABS($D53)),""))</f>
        <v/>
      </c>
      <c r="F53" s="68">
        <f>IF($A53="","",SUMIFS('10_VANZARI'!$G$5:$G$604,'10_VANZARI'!$B$5:$B$604,$A53,'10_VANZARI'!$A$5:$A$604,"&gt;="&amp;'02_SETARI'!$B$5,'10_VANZARI'!$A$5:$A$604,"&lt;="&amp;'02_SETARI'!$B$6))</f>
        <v/>
      </c>
      <c r="G53" s="69">
        <f>IF($A53="","",IFERROR($F53/$C53,""))</f>
        <v/>
      </c>
      <c r="H53" s="69">
        <f>IF($A53="","",IFERROR($C53/SUMIFS('10_VANZARI'!$E$5:$E$604,'10_VANZARI'!$A$5:$A$604,"&gt;="&amp;'02_SETARI'!$B$5,'10_VANZARI'!$A$5:$A$604,"&lt;="&amp;'02_SETARI'!$B$6),""))</f>
        <v/>
      </c>
      <c r="I53" s="70">
        <f>IF($A53="","",IFERROR(IF(SUMPRODUCT(MAX(('10_VANZARI'!$B$5:$B$604=$A53)*('10_VANZARI'!$E$5:$E$604&lt;&gt;"")*'10_VANZARI'!$A$5:$A$604))=0,"",SUMPRODUCT(MAX(('10_VANZARI'!$B$5:$B$604=$A53)*('10_VANZARI'!$E$5:$E$604&lt;&gt;"")*'10_VANZARI'!$A$5:$A$604))),""))</f>
        <v/>
      </c>
      <c r="J53" s="68">
        <f>IF(OR($A53="",$I53=""),"",'02_SETARI'!$B$19-$I53)</f>
        <v/>
      </c>
      <c r="K53" s="68">
        <f>IF($A53="","",IFERROR(IF(INDEX('11_CLIENTI'!$D$5:$D$124,MATCH($A53,'11_CLIENTI'!$A$5:$A$124,0))="","",INDEX('11_CLIENTI'!$D$5:$D$124,MATCH($A53,'11_CLIENTI'!$A$5:$A$124,0))),""))</f>
        <v/>
      </c>
      <c r="L53" s="67">
        <f>IF($A53="","",IF(AND($K53&lt;&gt;"",$K53&lt;='02_SETARI'!$B$18),"Nemulțumit",IF(AND($D53&gt;0,$C53=0),"Nu mai cumpără",IF(AND($J53&lt;&gt;"",$J53&gt;'02_SETARI'!$B$17,$D53&gt;0),"Adormit",IF(AND($E53&lt;&gt;"",$E53&lt;='02_SETARI'!$B$15),"A scăzut",IF(AND($C53&gt;0,$G53&lt;&gt;"",$G53&lt;'02_SETARI'!$B$16),"Marjă mică",IF(AND($E53&lt;&gt;"",$E53&gt;=0.2),"În creștere",IF($C53=0,"Fără activitate","Merge bine"))))))))</f>
        <v/>
      </c>
      <c r="M53" s="67">
        <f>IF($A53="","",IF($L53="Nu mai cumpără","Sună-l săptămâna asta și întreabă direct ce s-a schimbat. Nu trimite email.",IF($L53="Adormit","Sună-l cu un motiv concret: o ofertă, o noutate, o reamintire de sezon.",IF($L53="A scăzut","Întreabă-l dacă a împărțit comenzile cu altcineva. De obicei asta s-a întâmplat.",IF($L53="Nemulțumit","Citește ce a spus în 11_CLIENTI. Rezolvă exact acel lucru, apoi sună-l să-i confirmi. Știi deja cauza — nu mai e nevoie să o cauți.",IF($L53="Marjă mică","Verifică ce discount are și cât te costă să-l servești. Poate merită renegociat.",IF($L53="În creștere","Întreabă-l ce altceva i-ar mai trebui. Acum e momentul, nu peste șase luni.",IF($L53="Fără activitate","Client în listă, dar fără vânzări în perioadă. Verifică dacă mai e client.","Nimic urgent. Ține-l cald."))))))))</f>
        <v/>
      </c>
      <c r="N53" s="68">
        <f>IF($A53="","",IFERROR(IF($L53="Nu mai cumpără",$D53,IF($L53="Adormit",$D53,IF($L53="A scăzut",MAX(0,$D53-$C53),IF($L53="Marjă mică",MAX(0,$C53*('02_SETARI'!$B$16-$G53)),$C53*0.15)))),""))</f>
        <v/>
      </c>
      <c r="O53">
        <f>IF(OR($A53="",$C53="",N($C53)&lt;=0),"",$C53+ROW()/1000000)</f>
        <v/>
      </c>
    </row>
    <row r="54">
      <c r="A54" s="67">
        <f>IF('11_CLIENTI'!$A54="","",'11_CLIENTI'!$A54)</f>
        <v/>
      </c>
      <c r="B54" s="67">
        <f>IF($A54="","",IFERROR(INDEX('11_CLIENTI'!$B$5:$B$124,MATCH($A54,'11_CLIENTI'!$A$5:$A$124,0)),""))</f>
        <v/>
      </c>
      <c r="C54" s="68">
        <f>IF($A54="","",SUMIFS('10_VANZARI'!$E$5:$E$604,'10_VANZARI'!$B$5:$B$604,$A54,'10_VANZARI'!$A$5:$A$604,"&gt;="&amp;'02_SETARI'!$B$5,'10_VANZARI'!$A$5:$A$604,"&lt;="&amp;'02_SETARI'!$B$6))</f>
        <v/>
      </c>
      <c r="D54" s="68">
        <f>IF($A54="","",SUMIFS('10_VANZARI'!$E$5:$E$604,'10_VANZARI'!$B$5:$B$604,$A54,'10_VANZARI'!$A$5:$A$604,"&gt;="&amp;'02_SETARI'!$B$7,'10_VANZARI'!$A$5:$A$604,"&lt;="&amp;'02_SETARI'!$B$8))</f>
        <v/>
      </c>
      <c r="E54" s="69">
        <f>IF($A54="","",IFERROR(IF($D54=0,"",($C54-$D54)/ABS($D54)),""))</f>
        <v/>
      </c>
      <c r="F54" s="68">
        <f>IF($A54="","",SUMIFS('10_VANZARI'!$G$5:$G$604,'10_VANZARI'!$B$5:$B$604,$A54,'10_VANZARI'!$A$5:$A$604,"&gt;="&amp;'02_SETARI'!$B$5,'10_VANZARI'!$A$5:$A$604,"&lt;="&amp;'02_SETARI'!$B$6))</f>
        <v/>
      </c>
      <c r="G54" s="69">
        <f>IF($A54="","",IFERROR($F54/$C54,""))</f>
        <v/>
      </c>
      <c r="H54" s="69">
        <f>IF($A54="","",IFERROR($C54/SUMIFS('10_VANZARI'!$E$5:$E$604,'10_VANZARI'!$A$5:$A$604,"&gt;="&amp;'02_SETARI'!$B$5,'10_VANZARI'!$A$5:$A$604,"&lt;="&amp;'02_SETARI'!$B$6),""))</f>
        <v/>
      </c>
      <c r="I54" s="70">
        <f>IF($A54="","",IFERROR(IF(SUMPRODUCT(MAX(('10_VANZARI'!$B$5:$B$604=$A54)*('10_VANZARI'!$E$5:$E$604&lt;&gt;"")*'10_VANZARI'!$A$5:$A$604))=0,"",SUMPRODUCT(MAX(('10_VANZARI'!$B$5:$B$604=$A54)*('10_VANZARI'!$E$5:$E$604&lt;&gt;"")*'10_VANZARI'!$A$5:$A$604))),""))</f>
        <v/>
      </c>
      <c r="J54" s="68">
        <f>IF(OR($A54="",$I54=""),"",'02_SETARI'!$B$19-$I54)</f>
        <v/>
      </c>
      <c r="K54" s="68">
        <f>IF($A54="","",IFERROR(IF(INDEX('11_CLIENTI'!$D$5:$D$124,MATCH($A54,'11_CLIENTI'!$A$5:$A$124,0))="","",INDEX('11_CLIENTI'!$D$5:$D$124,MATCH($A54,'11_CLIENTI'!$A$5:$A$124,0))),""))</f>
        <v/>
      </c>
      <c r="L54" s="67">
        <f>IF($A54="","",IF(AND($K54&lt;&gt;"",$K54&lt;='02_SETARI'!$B$18),"Nemulțumit",IF(AND($D54&gt;0,$C54=0),"Nu mai cumpără",IF(AND($J54&lt;&gt;"",$J54&gt;'02_SETARI'!$B$17,$D54&gt;0),"Adormit",IF(AND($E54&lt;&gt;"",$E54&lt;='02_SETARI'!$B$15),"A scăzut",IF(AND($C54&gt;0,$G54&lt;&gt;"",$G54&lt;'02_SETARI'!$B$16),"Marjă mică",IF(AND($E54&lt;&gt;"",$E54&gt;=0.2),"În creștere",IF($C54=0,"Fără activitate","Merge bine"))))))))</f>
        <v/>
      </c>
      <c r="M54" s="67">
        <f>IF($A54="","",IF($L54="Nu mai cumpără","Sună-l săptămâna asta și întreabă direct ce s-a schimbat. Nu trimite email.",IF($L54="Adormit","Sună-l cu un motiv concret: o ofertă, o noutate, o reamintire de sezon.",IF($L54="A scăzut","Întreabă-l dacă a împărțit comenzile cu altcineva. De obicei asta s-a întâmplat.",IF($L54="Nemulțumit","Citește ce a spus în 11_CLIENTI. Rezolvă exact acel lucru, apoi sună-l să-i confirmi. Știi deja cauza — nu mai e nevoie să o cauți.",IF($L54="Marjă mică","Verifică ce discount are și cât te costă să-l servești. Poate merită renegociat.",IF($L54="În creștere","Întreabă-l ce altceva i-ar mai trebui. Acum e momentul, nu peste șase luni.",IF($L54="Fără activitate","Client în listă, dar fără vânzări în perioadă. Verifică dacă mai e client.","Nimic urgent. Ține-l cald."))))))))</f>
        <v/>
      </c>
      <c r="N54" s="68">
        <f>IF($A54="","",IFERROR(IF($L54="Nu mai cumpără",$D54,IF($L54="Adormit",$D54,IF($L54="A scăzut",MAX(0,$D54-$C54),IF($L54="Marjă mică",MAX(0,$C54*('02_SETARI'!$B$16-$G54)),$C54*0.15)))),""))</f>
        <v/>
      </c>
      <c r="O54">
        <f>IF(OR($A54="",$C54="",N($C54)&lt;=0),"",$C54+ROW()/1000000)</f>
        <v/>
      </c>
    </row>
    <row r="55">
      <c r="A55" s="67">
        <f>IF('11_CLIENTI'!$A55="","",'11_CLIENTI'!$A55)</f>
        <v/>
      </c>
      <c r="B55" s="67">
        <f>IF($A55="","",IFERROR(INDEX('11_CLIENTI'!$B$5:$B$124,MATCH($A55,'11_CLIENTI'!$A$5:$A$124,0)),""))</f>
        <v/>
      </c>
      <c r="C55" s="68">
        <f>IF($A55="","",SUMIFS('10_VANZARI'!$E$5:$E$604,'10_VANZARI'!$B$5:$B$604,$A55,'10_VANZARI'!$A$5:$A$604,"&gt;="&amp;'02_SETARI'!$B$5,'10_VANZARI'!$A$5:$A$604,"&lt;="&amp;'02_SETARI'!$B$6))</f>
        <v/>
      </c>
      <c r="D55" s="68">
        <f>IF($A55="","",SUMIFS('10_VANZARI'!$E$5:$E$604,'10_VANZARI'!$B$5:$B$604,$A55,'10_VANZARI'!$A$5:$A$604,"&gt;="&amp;'02_SETARI'!$B$7,'10_VANZARI'!$A$5:$A$604,"&lt;="&amp;'02_SETARI'!$B$8))</f>
        <v/>
      </c>
      <c r="E55" s="69">
        <f>IF($A55="","",IFERROR(IF($D55=0,"",($C55-$D55)/ABS($D55)),""))</f>
        <v/>
      </c>
      <c r="F55" s="68">
        <f>IF($A55="","",SUMIFS('10_VANZARI'!$G$5:$G$604,'10_VANZARI'!$B$5:$B$604,$A55,'10_VANZARI'!$A$5:$A$604,"&gt;="&amp;'02_SETARI'!$B$5,'10_VANZARI'!$A$5:$A$604,"&lt;="&amp;'02_SETARI'!$B$6))</f>
        <v/>
      </c>
      <c r="G55" s="69">
        <f>IF($A55="","",IFERROR($F55/$C55,""))</f>
        <v/>
      </c>
      <c r="H55" s="69">
        <f>IF($A55="","",IFERROR($C55/SUMIFS('10_VANZARI'!$E$5:$E$604,'10_VANZARI'!$A$5:$A$604,"&gt;="&amp;'02_SETARI'!$B$5,'10_VANZARI'!$A$5:$A$604,"&lt;="&amp;'02_SETARI'!$B$6),""))</f>
        <v/>
      </c>
      <c r="I55" s="70">
        <f>IF($A55="","",IFERROR(IF(SUMPRODUCT(MAX(('10_VANZARI'!$B$5:$B$604=$A55)*('10_VANZARI'!$E$5:$E$604&lt;&gt;"")*'10_VANZARI'!$A$5:$A$604))=0,"",SUMPRODUCT(MAX(('10_VANZARI'!$B$5:$B$604=$A55)*('10_VANZARI'!$E$5:$E$604&lt;&gt;"")*'10_VANZARI'!$A$5:$A$604))),""))</f>
        <v/>
      </c>
      <c r="J55" s="68">
        <f>IF(OR($A55="",$I55=""),"",'02_SETARI'!$B$19-$I55)</f>
        <v/>
      </c>
      <c r="K55" s="68">
        <f>IF($A55="","",IFERROR(IF(INDEX('11_CLIENTI'!$D$5:$D$124,MATCH($A55,'11_CLIENTI'!$A$5:$A$124,0))="","",INDEX('11_CLIENTI'!$D$5:$D$124,MATCH($A55,'11_CLIENTI'!$A$5:$A$124,0))),""))</f>
        <v/>
      </c>
      <c r="L55" s="67">
        <f>IF($A55="","",IF(AND($K55&lt;&gt;"",$K55&lt;='02_SETARI'!$B$18),"Nemulțumit",IF(AND($D55&gt;0,$C55=0),"Nu mai cumpără",IF(AND($J55&lt;&gt;"",$J55&gt;'02_SETARI'!$B$17,$D55&gt;0),"Adormit",IF(AND($E55&lt;&gt;"",$E55&lt;='02_SETARI'!$B$15),"A scăzut",IF(AND($C55&gt;0,$G55&lt;&gt;"",$G55&lt;'02_SETARI'!$B$16),"Marjă mică",IF(AND($E55&lt;&gt;"",$E55&gt;=0.2),"În creștere",IF($C55=0,"Fără activitate","Merge bine"))))))))</f>
        <v/>
      </c>
      <c r="M55" s="67">
        <f>IF($A55="","",IF($L55="Nu mai cumpără","Sună-l săptămâna asta și întreabă direct ce s-a schimbat. Nu trimite email.",IF($L55="Adormit","Sună-l cu un motiv concret: o ofertă, o noutate, o reamintire de sezon.",IF($L55="A scăzut","Întreabă-l dacă a împărțit comenzile cu altcineva. De obicei asta s-a întâmplat.",IF($L55="Nemulțumit","Citește ce a spus în 11_CLIENTI. Rezolvă exact acel lucru, apoi sună-l să-i confirmi. Știi deja cauza — nu mai e nevoie să o cauți.",IF($L55="Marjă mică","Verifică ce discount are și cât te costă să-l servești. Poate merită renegociat.",IF($L55="În creștere","Întreabă-l ce altceva i-ar mai trebui. Acum e momentul, nu peste șase luni.",IF($L55="Fără activitate","Client în listă, dar fără vânzări în perioadă. Verifică dacă mai e client.","Nimic urgent. Ține-l cald."))))))))</f>
        <v/>
      </c>
      <c r="N55" s="68">
        <f>IF($A55="","",IFERROR(IF($L55="Nu mai cumpără",$D55,IF($L55="Adormit",$D55,IF($L55="A scăzut",MAX(0,$D55-$C55),IF($L55="Marjă mică",MAX(0,$C55*('02_SETARI'!$B$16-$G55)),$C55*0.15)))),""))</f>
        <v/>
      </c>
      <c r="O55">
        <f>IF(OR($A55="",$C55="",N($C55)&lt;=0),"",$C55+ROW()/1000000)</f>
        <v/>
      </c>
    </row>
    <row r="56">
      <c r="A56" s="67">
        <f>IF('11_CLIENTI'!$A56="","",'11_CLIENTI'!$A56)</f>
        <v/>
      </c>
      <c r="B56" s="67">
        <f>IF($A56="","",IFERROR(INDEX('11_CLIENTI'!$B$5:$B$124,MATCH($A56,'11_CLIENTI'!$A$5:$A$124,0)),""))</f>
        <v/>
      </c>
      <c r="C56" s="68">
        <f>IF($A56="","",SUMIFS('10_VANZARI'!$E$5:$E$604,'10_VANZARI'!$B$5:$B$604,$A56,'10_VANZARI'!$A$5:$A$604,"&gt;="&amp;'02_SETARI'!$B$5,'10_VANZARI'!$A$5:$A$604,"&lt;="&amp;'02_SETARI'!$B$6))</f>
        <v/>
      </c>
      <c r="D56" s="68">
        <f>IF($A56="","",SUMIFS('10_VANZARI'!$E$5:$E$604,'10_VANZARI'!$B$5:$B$604,$A56,'10_VANZARI'!$A$5:$A$604,"&gt;="&amp;'02_SETARI'!$B$7,'10_VANZARI'!$A$5:$A$604,"&lt;="&amp;'02_SETARI'!$B$8))</f>
        <v/>
      </c>
      <c r="E56" s="69">
        <f>IF($A56="","",IFERROR(IF($D56=0,"",($C56-$D56)/ABS($D56)),""))</f>
        <v/>
      </c>
      <c r="F56" s="68">
        <f>IF($A56="","",SUMIFS('10_VANZARI'!$G$5:$G$604,'10_VANZARI'!$B$5:$B$604,$A56,'10_VANZARI'!$A$5:$A$604,"&gt;="&amp;'02_SETARI'!$B$5,'10_VANZARI'!$A$5:$A$604,"&lt;="&amp;'02_SETARI'!$B$6))</f>
        <v/>
      </c>
      <c r="G56" s="69">
        <f>IF($A56="","",IFERROR($F56/$C56,""))</f>
        <v/>
      </c>
      <c r="H56" s="69">
        <f>IF($A56="","",IFERROR($C56/SUMIFS('10_VANZARI'!$E$5:$E$604,'10_VANZARI'!$A$5:$A$604,"&gt;="&amp;'02_SETARI'!$B$5,'10_VANZARI'!$A$5:$A$604,"&lt;="&amp;'02_SETARI'!$B$6),""))</f>
        <v/>
      </c>
      <c r="I56" s="70">
        <f>IF($A56="","",IFERROR(IF(SUMPRODUCT(MAX(('10_VANZARI'!$B$5:$B$604=$A56)*('10_VANZARI'!$E$5:$E$604&lt;&gt;"")*'10_VANZARI'!$A$5:$A$604))=0,"",SUMPRODUCT(MAX(('10_VANZARI'!$B$5:$B$604=$A56)*('10_VANZARI'!$E$5:$E$604&lt;&gt;"")*'10_VANZARI'!$A$5:$A$604))),""))</f>
        <v/>
      </c>
      <c r="J56" s="68">
        <f>IF(OR($A56="",$I56=""),"",'02_SETARI'!$B$19-$I56)</f>
        <v/>
      </c>
      <c r="K56" s="68">
        <f>IF($A56="","",IFERROR(IF(INDEX('11_CLIENTI'!$D$5:$D$124,MATCH($A56,'11_CLIENTI'!$A$5:$A$124,0))="","",INDEX('11_CLIENTI'!$D$5:$D$124,MATCH($A56,'11_CLIENTI'!$A$5:$A$124,0))),""))</f>
        <v/>
      </c>
      <c r="L56" s="67">
        <f>IF($A56="","",IF(AND($K56&lt;&gt;"",$K56&lt;='02_SETARI'!$B$18),"Nemulțumit",IF(AND($D56&gt;0,$C56=0),"Nu mai cumpără",IF(AND($J56&lt;&gt;"",$J56&gt;'02_SETARI'!$B$17,$D56&gt;0),"Adormit",IF(AND($E56&lt;&gt;"",$E56&lt;='02_SETARI'!$B$15),"A scăzut",IF(AND($C56&gt;0,$G56&lt;&gt;"",$G56&lt;'02_SETARI'!$B$16),"Marjă mică",IF(AND($E56&lt;&gt;"",$E56&gt;=0.2),"În creștere",IF($C56=0,"Fără activitate","Merge bine"))))))))</f>
        <v/>
      </c>
      <c r="M56" s="67">
        <f>IF($A56="","",IF($L56="Nu mai cumpără","Sună-l săptămâna asta și întreabă direct ce s-a schimbat. Nu trimite email.",IF($L56="Adormit","Sună-l cu un motiv concret: o ofertă, o noutate, o reamintire de sezon.",IF($L56="A scăzut","Întreabă-l dacă a împărțit comenzile cu altcineva. De obicei asta s-a întâmplat.",IF($L56="Nemulțumit","Citește ce a spus în 11_CLIENTI. Rezolvă exact acel lucru, apoi sună-l să-i confirmi. Știi deja cauza — nu mai e nevoie să o cauți.",IF($L56="Marjă mică","Verifică ce discount are și cât te costă să-l servești. Poate merită renegociat.",IF($L56="În creștere","Întreabă-l ce altceva i-ar mai trebui. Acum e momentul, nu peste șase luni.",IF($L56="Fără activitate","Client în listă, dar fără vânzări în perioadă. Verifică dacă mai e client.","Nimic urgent. Ține-l cald."))))))))</f>
        <v/>
      </c>
      <c r="N56" s="68">
        <f>IF($A56="","",IFERROR(IF($L56="Nu mai cumpără",$D56,IF($L56="Adormit",$D56,IF($L56="A scăzut",MAX(0,$D56-$C56),IF($L56="Marjă mică",MAX(0,$C56*('02_SETARI'!$B$16-$G56)),$C56*0.15)))),""))</f>
        <v/>
      </c>
      <c r="O56">
        <f>IF(OR($A56="",$C56="",N($C56)&lt;=0),"",$C56+ROW()/1000000)</f>
        <v/>
      </c>
    </row>
    <row r="57">
      <c r="A57" s="67">
        <f>IF('11_CLIENTI'!$A57="","",'11_CLIENTI'!$A57)</f>
        <v/>
      </c>
      <c r="B57" s="67">
        <f>IF($A57="","",IFERROR(INDEX('11_CLIENTI'!$B$5:$B$124,MATCH($A57,'11_CLIENTI'!$A$5:$A$124,0)),""))</f>
        <v/>
      </c>
      <c r="C57" s="68">
        <f>IF($A57="","",SUMIFS('10_VANZARI'!$E$5:$E$604,'10_VANZARI'!$B$5:$B$604,$A57,'10_VANZARI'!$A$5:$A$604,"&gt;="&amp;'02_SETARI'!$B$5,'10_VANZARI'!$A$5:$A$604,"&lt;="&amp;'02_SETARI'!$B$6))</f>
        <v/>
      </c>
      <c r="D57" s="68">
        <f>IF($A57="","",SUMIFS('10_VANZARI'!$E$5:$E$604,'10_VANZARI'!$B$5:$B$604,$A57,'10_VANZARI'!$A$5:$A$604,"&gt;="&amp;'02_SETARI'!$B$7,'10_VANZARI'!$A$5:$A$604,"&lt;="&amp;'02_SETARI'!$B$8))</f>
        <v/>
      </c>
      <c r="E57" s="69">
        <f>IF($A57="","",IFERROR(IF($D57=0,"",($C57-$D57)/ABS($D57)),""))</f>
        <v/>
      </c>
      <c r="F57" s="68">
        <f>IF($A57="","",SUMIFS('10_VANZARI'!$G$5:$G$604,'10_VANZARI'!$B$5:$B$604,$A57,'10_VANZARI'!$A$5:$A$604,"&gt;="&amp;'02_SETARI'!$B$5,'10_VANZARI'!$A$5:$A$604,"&lt;="&amp;'02_SETARI'!$B$6))</f>
        <v/>
      </c>
      <c r="G57" s="69">
        <f>IF($A57="","",IFERROR($F57/$C57,""))</f>
        <v/>
      </c>
      <c r="H57" s="69">
        <f>IF($A57="","",IFERROR($C57/SUMIFS('10_VANZARI'!$E$5:$E$604,'10_VANZARI'!$A$5:$A$604,"&gt;="&amp;'02_SETARI'!$B$5,'10_VANZARI'!$A$5:$A$604,"&lt;="&amp;'02_SETARI'!$B$6),""))</f>
        <v/>
      </c>
      <c r="I57" s="70">
        <f>IF($A57="","",IFERROR(IF(SUMPRODUCT(MAX(('10_VANZARI'!$B$5:$B$604=$A57)*('10_VANZARI'!$E$5:$E$604&lt;&gt;"")*'10_VANZARI'!$A$5:$A$604))=0,"",SUMPRODUCT(MAX(('10_VANZARI'!$B$5:$B$604=$A57)*('10_VANZARI'!$E$5:$E$604&lt;&gt;"")*'10_VANZARI'!$A$5:$A$604))),""))</f>
        <v/>
      </c>
      <c r="J57" s="68">
        <f>IF(OR($A57="",$I57=""),"",'02_SETARI'!$B$19-$I57)</f>
        <v/>
      </c>
      <c r="K57" s="68">
        <f>IF($A57="","",IFERROR(IF(INDEX('11_CLIENTI'!$D$5:$D$124,MATCH($A57,'11_CLIENTI'!$A$5:$A$124,0))="","",INDEX('11_CLIENTI'!$D$5:$D$124,MATCH($A57,'11_CLIENTI'!$A$5:$A$124,0))),""))</f>
        <v/>
      </c>
      <c r="L57" s="67">
        <f>IF($A57="","",IF(AND($K57&lt;&gt;"",$K57&lt;='02_SETARI'!$B$18),"Nemulțumit",IF(AND($D57&gt;0,$C57=0),"Nu mai cumpără",IF(AND($J57&lt;&gt;"",$J57&gt;'02_SETARI'!$B$17,$D57&gt;0),"Adormit",IF(AND($E57&lt;&gt;"",$E57&lt;='02_SETARI'!$B$15),"A scăzut",IF(AND($C57&gt;0,$G57&lt;&gt;"",$G57&lt;'02_SETARI'!$B$16),"Marjă mică",IF(AND($E57&lt;&gt;"",$E57&gt;=0.2),"În creștere",IF($C57=0,"Fără activitate","Merge bine"))))))))</f>
        <v/>
      </c>
      <c r="M57" s="67">
        <f>IF($A57="","",IF($L57="Nu mai cumpără","Sună-l săptămâna asta și întreabă direct ce s-a schimbat. Nu trimite email.",IF($L57="Adormit","Sună-l cu un motiv concret: o ofertă, o noutate, o reamintire de sezon.",IF($L57="A scăzut","Întreabă-l dacă a împărțit comenzile cu altcineva. De obicei asta s-a întâmplat.",IF($L57="Nemulțumit","Citește ce a spus în 11_CLIENTI. Rezolvă exact acel lucru, apoi sună-l să-i confirmi. Știi deja cauza — nu mai e nevoie să o cauți.",IF($L57="Marjă mică","Verifică ce discount are și cât te costă să-l servești. Poate merită renegociat.",IF($L57="În creștere","Întreabă-l ce altceva i-ar mai trebui. Acum e momentul, nu peste șase luni.",IF($L57="Fără activitate","Client în listă, dar fără vânzări în perioadă. Verifică dacă mai e client.","Nimic urgent. Ține-l cald."))))))))</f>
        <v/>
      </c>
      <c r="N57" s="68">
        <f>IF($A57="","",IFERROR(IF($L57="Nu mai cumpără",$D57,IF($L57="Adormit",$D57,IF($L57="A scăzut",MAX(0,$D57-$C57),IF($L57="Marjă mică",MAX(0,$C57*('02_SETARI'!$B$16-$G57)),$C57*0.15)))),""))</f>
        <v/>
      </c>
      <c r="O57">
        <f>IF(OR($A57="",$C57="",N($C57)&lt;=0),"",$C57+ROW()/1000000)</f>
        <v/>
      </c>
    </row>
    <row r="58">
      <c r="A58" s="67">
        <f>IF('11_CLIENTI'!$A58="","",'11_CLIENTI'!$A58)</f>
        <v/>
      </c>
      <c r="B58" s="67">
        <f>IF($A58="","",IFERROR(INDEX('11_CLIENTI'!$B$5:$B$124,MATCH($A58,'11_CLIENTI'!$A$5:$A$124,0)),""))</f>
        <v/>
      </c>
      <c r="C58" s="68">
        <f>IF($A58="","",SUMIFS('10_VANZARI'!$E$5:$E$604,'10_VANZARI'!$B$5:$B$604,$A58,'10_VANZARI'!$A$5:$A$604,"&gt;="&amp;'02_SETARI'!$B$5,'10_VANZARI'!$A$5:$A$604,"&lt;="&amp;'02_SETARI'!$B$6))</f>
        <v/>
      </c>
      <c r="D58" s="68">
        <f>IF($A58="","",SUMIFS('10_VANZARI'!$E$5:$E$604,'10_VANZARI'!$B$5:$B$604,$A58,'10_VANZARI'!$A$5:$A$604,"&gt;="&amp;'02_SETARI'!$B$7,'10_VANZARI'!$A$5:$A$604,"&lt;="&amp;'02_SETARI'!$B$8))</f>
        <v/>
      </c>
      <c r="E58" s="69">
        <f>IF($A58="","",IFERROR(IF($D58=0,"",($C58-$D58)/ABS($D58)),""))</f>
        <v/>
      </c>
      <c r="F58" s="68">
        <f>IF($A58="","",SUMIFS('10_VANZARI'!$G$5:$G$604,'10_VANZARI'!$B$5:$B$604,$A58,'10_VANZARI'!$A$5:$A$604,"&gt;="&amp;'02_SETARI'!$B$5,'10_VANZARI'!$A$5:$A$604,"&lt;="&amp;'02_SETARI'!$B$6))</f>
        <v/>
      </c>
      <c r="G58" s="69">
        <f>IF($A58="","",IFERROR($F58/$C58,""))</f>
        <v/>
      </c>
      <c r="H58" s="69">
        <f>IF($A58="","",IFERROR($C58/SUMIFS('10_VANZARI'!$E$5:$E$604,'10_VANZARI'!$A$5:$A$604,"&gt;="&amp;'02_SETARI'!$B$5,'10_VANZARI'!$A$5:$A$604,"&lt;="&amp;'02_SETARI'!$B$6),""))</f>
        <v/>
      </c>
      <c r="I58" s="70">
        <f>IF($A58="","",IFERROR(IF(SUMPRODUCT(MAX(('10_VANZARI'!$B$5:$B$604=$A58)*('10_VANZARI'!$E$5:$E$604&lt;&gt;"")*'10_VANZARI'!$A$5:$A$604))=0,"",SUMPRODUCT(MAX(('10_VANZARI'!$B$5:$B$604=$A58)*('10_VANZARI'!$E$5:$E$604&lt;&gt;"")*'10_VANZARI'!$A$5:$A$604))),""))</f>
        <v/>
      </c>
      <c r="J58" s="68">
        <f>IF(OR($A58="",$I58=""),"",'02_SETARI'!$B$19-$I58)</f>
        <v/>
      </c>
      <c r="K58" s="68">
        <f>IF($A58="","",IFERROR(IF(INDEX('11_CLIENTI'!$D$5:$D$124,MATCH($A58,'11_CLIENTI'!$A$5:$A$124,0))="","",INDEX('11_CLIENTI'!$D$5:$D$124,MATCH($A58,'11_CLIENTI'!$A$5:$A$124,0))),""))</f>
        <v/>
      </c>
      <c r="L58" s="67">
        <f>IF($A58="","",IF(AND($K58&lt;&gt;"",$K58&lt;='02_SETARI'!$B$18),"Nemulțumit",IF(AND($D58&gt;0,$C58=0),"Nu mai cumpără",IF(AND($J58&lt;&gt;"",$J58&gt;'02_SETARI'!$B$17,$D58&gt;0),"Adormit",IF(AND($E58&lt;&gt;"",$E58&lt;='02_SETARI'!$B$15),"A scăzut",IF(AND($C58&gt;0,$G58&lt;&gt;"",$G58&lt;'02_SETARI'!$B$16),"Marjă mică",IF(AND($E58&lt;&gt;"",$E58&gt;=0.2),"În creștere",IF($C58=0,"Fără activitate","Merge bine"))))))))</f>
        <v/>
      </c>
      <c r="M58" s="67">
        <f>IF($A58="","",IF($L58="Nu mai cumpără","Sună-l săptămâna asta și întreabă direct ce s-a schimbat. Nu trimite email.",IF($L58="Adormit","Sună-l cu un motiv concret: o ofertă, o noutate, o reamintire de sezon.",IF($L58="A scăzut","Întreabă-l dacă a împărțit comenzile cu altcineva. De obicei asta s-a întâmplat.",IF($L58="Nemulțumit","Citește ce a spus în 11_CLIENTI. Rezolvă exact acel lucru, apoi sună-l să-i confirmi. Știi deja cauza — nu mai e nevoie să o cauți.",IF($L58="Marjă mică","Verifică ce discount are și cât te costă să-l servești. Poate merită renegociat.",IF($L58="În creștere","Întreabă-l ce altceva i-ar mai trebui. Acum e momentul, nu peste șase luni.",IF($L58="Fără activitate","Client în listă, dar fără vânzări în perioadă. Verifică dacă mai e client.","Nimic urgent. Ține-l cald."))))))))</f>
        <v/>
      </c>
      <c r="N58" s="68">
        <f>IF($A58="","",IFERROR(IF($L58="Nu mai cumpără",$D58,IF($L58="Adormit",$D58,IF($L58="A scăzut",MAX(0,$D58-$C58),IF($L58="Marjă mică",MAX(0,$C58*('02_SETARI'!$B$16-$G58)),$C58*0.15)))),""))</f>
        <v/>
      </c>
      <c r="O58">
        <f>IF(OR($A58="",$C58="",N($C58)&lt;=0),"",$C58+ROW()/1000000)</f>
        <v/>
      </c>
    </row>
    <row r="59">
      <c r="A59" s="67">
        <f>IF('11_CLIENTI'!$A59="","",'11_CLIENTI'!$A59)</f>
        <v/>
      </c>
      <c r="B59" s="67">
        <f>IF($A59="","",IFERROR(INDEX('11_CLIENTI'!$B$5:$B$124,MATCH($A59,'11_CLIENTI'!$A$5:$A$124,0)),""))</f>
        <v/>
      </c>
      <c r="C59" s="68">
        <f>IF($A59="","",SUMIFS('10_VANZARI'!$E$5:$E$604,'10_VANZARI'!$B$5:$B$604,$A59,'10_VANZARI'!$A$5:$A$604,"&gt;="&amp;'02_SETARI'!$B$5,'10_VANZARI'!$A$5:$A$604,"&lt;="&amp;'02_SETARI'!$B$6))</f>
        <v/>
      </c>
      <c r="D59" s="68">
        <f>IF($A59="","",SUMIFS('10_VANZARI'!$E$5:$E$604,'10_VANZARI'!$B$5:$B$604,$A59,'10_VANZARI'!$A$5:$A$604,"&gt;="&amp;'02_SETARI'!$B$7,'10_VANZARI'!$A$5:$A$604,"&lt;="&amp;'02_SETARI'!$B$8))</f>
        <v/>
      </c>
      <c r="E59" s="69">
        <f>IF($A59="","",IFERROR(IF($D59=0,"",($C59-$D59)/ABS($D59)),""))</f>
        <v/>
      </c>
      <c r="F59" s="68">
        <f>IF($A59="","",SUMIFS('10_VANZARI'!$G$5:$G$604,'10_VANZARI'!$B$5:$B$604,$A59,'10_VANZARI'!$A$5:$A$604,"&gt;="&amp;'02_SETARI'!$B$5,'10_VANZARI'!$A$5:$A$604,"&lt;="&amp;'02_SETARI'!$B$6))</f>
        <v/>
      </c>
      <c r="G59" s="69">
        <f>IF($A59="","",IFERROR($F59/$C59,""))</f>
        <v/>
      </c>
      <c r="H59" s="69">
        <f>IF($A59="","",IFERROR($C59/SUMIFS('10_VANZARI'!$E$5:$E$604,'10_VANZARI'!$A$5:$A$604,"&gt;="&amp;'02_SETARI'!$B$5,'10_VANZARI'!$A$5:$A$604,"&lt;="&amp;'02_SETARI'!$B$6),""))</f>
        <v/>
      </c>
      <c r="I59" s="70">
        <f>IF($A59="","",IFERROR(IF(SUMPRODUCT(MAX(('10_VANZARI'!$B$5:$B$604=$A59)*('10_VANZARI'!$E$5:$E$604&lt;&gt;"")*'10_VANZARI'!$A$5:$A$604))=0,"",SUMPRODUCT(MAX(('10_VANZARI'!$B$5:$B$604=$A59)*('10_VANZARI'!$E$5:$E$604&lt;&gt;"")*'10_VANZARI'!$A$5:$A$604))),""))</f>
        <v/>
      </c>
      <c r="J59" s="68">
        <f>IF(OR($A59="",$I59=""),"",'02_SETARI'!$B$19-$I59)</f>
        <v/>
      </c>
      <c r="K59" s="68">
        <f>IF($A59="","",IFERROR(IF(INDEX('11_CLIENTI'!$D$5:$D$124,MATCH($A59,'11_CLIENTI'!$A$5:$A$124,0))="","",INDEX('11_CLIENTI'!$D$5:$D$124,MATCH($A59,'11_CLIENTI'!$A$5:$A$124,0))),""))</f>
        <v/>
      </c>
      <c r="L59" s="67">
        <f>IF($A59="","",IF(AND($K59&lt;&gt;"",$K59&lt;='02_SETARI'!$B$18),"Nemulțumit",IF(AND($D59&gt;0,$C59=0),"Nu mai cumpără",IF(AND($J59&lt;&gt;"",$J59&gt;'02_SETARI'!$B$17,$D59&gt;0),"Adormit",IF(AND($E59&lt;&gt;"",$E59&lt;='02_SETARI'!$B$15),"A scăzut",IF(AND($C59&gt;0,$G59&lt;&gt;"",$G59&lt;'02_SETARI'!$B$16),"Marjă mică",IF(AND($E59&lt;&gt;"",$E59&gt;=0.2),"În creștere",IF($C59=0,"Fără activitate","Merge bine"))))))))</f>
        <v/>
      </c>
      <c r="M59" s="67">
        <f>IF($A59="","",IF($L59="Nu mai cumpără","Sună-l săptămâna asta și întreabă direct ce s-a schimbat. Nu trimite email.",IF($L59="Adormit","Sună-l cu un motiv concret: o ofertă, o noutate, o reamintire de sezon.",IF($L59="A scăzut","Întreabă-l dacă a împărțit comenzile cu altcineva. De obicei asta s-a întâmplat.",IF($L59="Nemulțumit","Citește ce a spus în 11_CLIENTI. Rezolvă exact acel lucru, apoi sună-l să-i confirmi. Știi deja cauza — nu mai e nevoie să o cauți.",IF($L59="Marjă mică","Verifică ce discount are și cât te costă să-l servești. Poate merită renegociat.",IF($L59="În creștere","Întreabă-l ce altceva i-ar mai trebui. Acum e momentul, nu peste șase luni.",IF($L59="Fără activitate","Client în listă, dar fără vânzări în perioadă. Verifică dacă mai e client.","Nimic urgent. Ține-l cald."))))))))</f>
        <v/>
      </c>
      <c r="N59" s="68">
        <f>IF($A59="","",IFERROR(IF($L59="Nu mai cumpără",$D59,IF($L59="Adormit",$D59,IF($L59="A scăzut",MAX(0,$D59-$C59),IF($L59="Marjă mică",MAX(0,$C59*('02_SETARI'!$B$16-$G59)),$C59*0.15)))),""))</f>
        <v/>
      </c>
      <c r="O59">
        <f>IF(OR($A59="",$C59="",N($C59)&lt;=0),"",$C59+ROW()/1000000)</f>
        <v/>
      </c>
    </row>
    <row r="60">
      <c r="A60" s="67">
        <f>IF('11_CLIENTI'!$A60="","",'11_CLIENTI'!$A60)</f>
        <v/>
      </c>
      <c r="B60" s="67">
        <f>IF($A60="","",IFERROR(INDEX('11_CLIENTI'!$B$5:$B$124,MATCH($A60,'11_CLIENTI'!$A$5:$A$124,0)),""))</f>
        <v/>
      </c>
      <c r="C60" s="68">
        <f>IF($A60="","",SUMIFS('10_VANZARI'!$E$5:$E$604,'10_VANZARI'!$B$5:$B$604,$A60,'10_VANZARI'!$A$5:$A$604,"&gt;="&amp;'02_SETARI'!$B$5,'10_VANZARI'!$A$5:$A$604,"&lt;="&amp;'02_SETARI'!$B$6))</f>
        <v/>
      </c>
      <c r="D60" s="68">
        <f>IF($A60="","",SUMIFS('10_VANZARI'!$E$5:$E$604,'10_VANZARI'!$B$5:$B$604,$A60,'10_VANZARI'!$A$5:$A$604,"&gt;="&amp;'02_SETARI'!$B$7,'10_VANZARI'!$A$5:$A$604,"&lt;="&amp;'02_SETARI'!$B$8))</f>
        <v/>
      </c>
      <c r="E60" s="69">
        <f>IF($A60="","",IFERROR(IF($D60=0,"",($C60-$D60)/ABS($D60)),""))</f>
        <v/>
      </c>
      <c r="F60" s="68">
        <f>IF($A60="","",SUMIFS('10_VANZARI'!$G$5:$G$604,'10_VANZARI'!$B$5:$B$604,$A60,'10_VANZARI'!$A$5:$A$604,"&gt;="&amp;'02_SETARI'!$B$5,'10_VANZARI'!$A$5:$A$604,"&lt;="&amp;'02_SETARI'!$B$6))</f>
        <v/>
      </c>
      <c r="G60" s="69">
        <f>IF($A60="","",IFERROR($F60/$C60,""))</f>
        <v/>
      </c>
      <c r="H60" s="69">
        <f>IF($A60="","",IFERROR($C60/SUMIFS('10_VANZARI'!$E$5:$E$604,'10_VANZARI'!$A$5:$A$604,"&gt;="&amp;'02_SETARI'!$B$5,'10_VANZARI'!$A$5:$A$604,"&lt;="&amp;'02_SETARI'!$B$6),""))</f>
        <v/>
      </c>
      <c r="I60" s="70">
        <f>IF($A60="","",IFERROR(IF(SUMPRODUCT(MAX(('10_VANZARI'!$B$5:$B$604=$A60)*('10_VANZARI'!$E$5:$E$604&lt;&gt;"")*'10_VANZARI'!$A$5:$A$604))=0,"",SUMPRODUCT(MAX(('10_VANZARI'!$B$5:$B$604=$A60)*('10_VANZARI'!$E$5:$E$604&lt;&gt;"")*'10_VANZARI'!$A$5:$A$604))),""))</f>
        <v/>
      </c>
      <c r="J60" s="68">
        <f>IF(OR($A60="",$I60=""),"",'02_SETARI'!$B$19-$I60)</f>
        <v/>
      </c>
      <c r="K60" s="68">
        <f>IF($A60="","",IFERROR(IF(INDEX('11_CLIENTI'!$D$5:$D$124,MATCH($A60,'11_CLIENTI'!$A$5:$A$124,0))="","",INDEX('11_CLIENTI'!$D$5:$D$124,MATCH($A60,'11_CLIENTI'!$A$5:$A$124,0))),""))</f>
        <v/>
      </c>
      <c r="L60" s="67">
        <f>IF($A60="","",IF(AND($K60&lt;&gt;"",$K60&lt;='02_SETARI'!$B$18),"Nemulțumit",IF(AND($D60&gt;0,$C60=0),"Nu mai cumpără",IF(AND($J60&lt;&gt;"",$J60&gt;'02_SETARI'!$B$17,$D60&gt;0),"Adormit",IF(AND($E60&lt;&gt;"",$E60&lt;='02_SETARI'!$B$15),"A scăzut",IF(AND($C60&gt;0,$G60&lt;&gt;"",$G60&lt;'02_SETARI'!$B$16),"Marjă mică",IF(AND($E60&lt;&gt;"",$E60&gt;=0.2),"În creștere",IF($C60=0,"Fără activitate","Merge bine"))))))))</f>
        <v/>
      </c>
      <c r="M60" s="67">
        <f>IF($A60="","",IF($L60="Nu mai cumpără","Sună-l săptămâna asta și întreabă direct ce s-a schimbat. Nu trimite email.",IF($L60="Adormit","Sună-l cu un motiv concret: o ofertă, o noutate, o reamintire de sezon.",IF($L60="A scăzut","Întreabă-l dacă a împărțit comenzile cu altcineva. De obicei asta s-a întâmplat.",IF($L60="Nemulțumit","Citește ce a spus în 11_CLIENTI. Rezolvă exact acel lucru, apoi sună-l să-i confirmi. Știi deja cauza — nu mai e nevoie să o cauți.",IF($L60="Marjă mică","Verifică ce discount are și cât te costă să-l servești. Poate merită renegociat.",IF($L60="În creștere","Întreabă-l ce altceva i-ar mai trebui. Acum e momentul, nu peste șase luni.",IF($L60="Fără activitate","Client în listă, dar fără vânzări în perioadă. Verifică dacă mai e client.","Nimic urgent. Ține-l cald."))))))))</f>
        <v/>
      </c>
      <c r="N60" s="68">
        <f>IF($A60="","",IFERROR(IF($L60="Nu mai cumpără",$D60,IF($L60="Adormit",$D60,IF($L60="A scăzut",MAX(0,$D60-$C60),IF($L60="Marjă mică",MAX(0,$C60*('02_SETARI'!$B$16-$G60)),$C60*0.15)))),""))</f>
        <v/>
      </c>
      <c r="O60">
        <f>IF(OR($A60="",$C60="",N($C60)&lt;=0),"",$C60+ROW()/1000000)</f>
        <v/>
      </c>
    </row>
    <row r="61">
      <c r="A61" s="67">
        <f>IF('11_CLIENTI'!$A61="","",'11_CLIENTI'!$A61)</f>
        <v/>
      </c>
      <c r="B61" s="67">
        <f>IF($A61="","",IFERROR(INDEX('11_CLIENTI'!$B$5:$B$124,MATCH($A61,'11_CLIENTI'!$A$5:$A$124,0)),""))</f>
        <v/>
      </c>
      <c r="C61" s="68">
        <f>IF($A61="","",SUMIFS('10_VANZARI'!$E$5:$E$604,'10_VANZARI'!$B$5:$B$604,$A61,'10_VANZARI'!$A$5:$A$604,"&gt;="&amp;'02_SETARI'!$B$5,'10_VANZARI'!$A$5:$A$604,"&lt;="&amp;'02_SETARI'!$B$6))</f>
        <v/>
      </c>
      <c r="D61" s="68">
        <f>IF($A61="","",SUMIFS('10_VANZARI'!$E$5:$E$604,'10_VANZARI'!$B$5:$B$604,$A61,'10_VANZARI'!$A$5:$A$604,"&gt;="&amp;'02_SETARI'!$B$7,'10_VANZARI'!$A$5:$A$604,"&lt;="&amp;'02_SETARI'!$B$8))</f>
        <v/>
      </c>
      <c r="E61" s="69">
        <f>IF($A61="","",IFERROR(IF($D61=0,"",($C61-$D61)/ABS($D61)),""))</f>
        <v/>
      </c>
      <c r="F61" s="68">
        <f>IF($A61="","",SUMIFS('10_VANZARI'!$G$5:$G$604,'10_VANZARI'!$B$5:$B$604,$A61,'10_VANZARI'!$A$5:$A$604,"&gt;="&amp;'02_SETARI'!$B$5,'10_VANZARI'!$A$5:$A$604,"&lt;="&amp;'02_SETARI'!$B$6))</f>
        <v/>
      </c>
      <c r="G61" s="69">
        <f>IF($A61="","",IFERROR($F61/$C61,""))</f>
        <v/>
      </c>
      <c r="H61" s="69">
        <f>IF($A61="","",IFERROR($C61/SUMIFS('10_VANZARI'!$E$5:$E$604,'10_VANZARI'!$A$5:$A$604,"&gt;="&amp;'02_SETARI'!$B$5,'10_VANZARI'!$A$5:$A$604,"&lt;="&amp;'02_SETARI'!$B$6),""))</f>
        <v/>
      </c>
      <c r="I61" s="70">
        <f>IF($A61="","",IFERROR(IF(SUMPRODUCT(MAX(('10_VANZARI'!$B$5:$B$604=$A61)*('10_VANZARI'!$E$5:$E$604&lt;&gt;"")*'10_VANZARI'!$A$5:$A$604))=0,"",SUMPRODUCT(MAX(('10_VANZARI'!$B$5:$B$604=$A61)*('10_VANZARI'!$E$5:$E$604&lt;&gt;"")*'10_VANZARI'!$A$5:$A$604))),""))</f>
        <v/>
      </c>
      <c r="J61" s="68">
        <f>IF(OR($A61="",$I61=""),"",'02_SETARI'!$B$19-$I61)</f>
        <v/>
      </c>
      <c r="K61" s="68">
        <f>IF($A61="","",IFERROR(IF(INDEX('11_CLIENTI'!$D$5:$D$124,MATCH($A61,'11_CLIENTI'!$A$5:$A$124,0))="","",INDEX('11_CLIENTI'!$D$5:$D$124,MATCH($A61,'11_CLIENTI'!$A$5:$A$124,0))),""))</f>
        <v/>
      </c>
      <c r="L61" s="67">
        <f>IF($A61="","",IF(AND($K61&lt;&gt;"",$K61&lt;='02_SETARI'!$B$18),"Nemulțumit",IF(AND($D61&gt;0,$C61=0),"Nu mai cumpără",IF(AND($J61&lt;&gt;"",$J61&gt;'02_SETARI'!$B$17,$D61&gt;0),"Adormit",IF(AND($E61&lt;&gt;"",$E61&lt;='02_SETARI'!$B$15),"A scăzut",IF(AND($C61&gt;0,$G61&lt;&gt;"",$G61&lt;'02_SETARI'!$B$16),"Marjă mică",IF(AND($E61&lt;&gt;"",$E61&gt;=0.2),"În creștere",IF($C61=0,"Fără activitate","Merge bine"))))))))</f>
        <v/>
      </c>
      <c r="M61" s="67">
        <f>IF($A61="","",IF($L61="Nu mai cumpără","Sună-l săptămâna asta și întreabă direct ce s-a schimbat. Nu trimite email.",IF($L61="Adormit","Sună-l cu un motiv concret: o ofertă, o noutate, o reamintire de sezon.",IF($L61="A scăzut","Întreabă-l dacă a împărțit comenzile cu altcineva. De obicei asta s-a întâmplat.",IF($L61="Nemulțumit","Citește ce a spus în 11_CLIENTI. Rezolvă exact acel lucru, apoi sună-l să-i confirmi. Știi deja cauza — nu mai e nevoie să o cauți.",IF($L61="Marjă mică","Verifică ce discount are și cât te costă să-l servești. Poate merită renegociat.",IF($L61="În creștere","Întreabă-l ce altceva i-ar mai trebui. Acum e momentul, nu peste șase luni.",IF($L61="Fără activitate","Client în listă, dar fără vânzări în perioadă. Verifică dacă mai e client.","Nimic urgent. Ține-l cald."))))))))</f>
        <v/>
      </c>
      <c r="N61" s="68">
        <f>IF($A61="","",IFERROR(IF($L61="Nu mai cumpără",$D61,IF($L61="Adormit",$D61,IF($L61="A scăzut",MAX(0,$D61-$C61),IF($L61="Marjă mică",MAX(0,$C61*('02_SETARI'!$B$16-$G61)),$C61*0.15)))),""))</f>
        <v/>
      </c>
      <c r="O61">
        <f>IF(OR($A61="",$C61="",N($C61)&lt;=0),"",$C61+ROW()/1000000)</f>
        <v/>
      </c>
    </row>
    <row r="62">
      <c r="A62" s="67">
        <f>IF('11_CLIENTI'!$A62="","",'11_CLIENTI'!$A62)</f>
        <v/>
      </c>
      <c r="B62" s="67">
        <f>IF($A62="","",IFERROR(INDEX('11_CLIENTI'!$B$5:$B$124,MATCH($A62,'11_CLIENTI'!$A$5:$A$124,0)),""))</f>
        <v/>
      </c>
      <c r="C62" s="68">
        <f>IF($A62="","",SUMIFS('10_VANZARI'!$E$5:$E$604,'10_VANZARI'!$B$5:$B$604,$A62,'10_VANZARI'!$A$5:$A$604,"&gt;="&amp;'02_SETARI'!$B$5,'10_VANZARI'!$A$5:$A$604,"&lt;="&amp;'02_SETARI'!$B$6))</f>
        <v/>
      </c>
      <c r="D62" s="68">
        <f>IF($A62="","",SUMIFS('10_VANZARI'!$E$5:$E$604,'10_VANZARI'!$B$5:$B$604,$A62,'10_VANZARI'!$A$5:$A$604,"&gt;="&amp;'02_SETARI'!$B$7,'10_VANZARI'!$A$5:$A$604,"&lt;="&amp;'02_SETARI'!$B$8))</f>
        <v/>
      </c>
      <c r="E62" s="69">
        <f>IF($A62="","",IFERROR(IF($D62=0,"",($C62-$D62)/ABS($D62)),""))</f>
        <v/>
      </c>
      <c r="F62" s="68">
        <f>IF($A62="","",SUMIFS('10_VANZARI'!$G$5:$G$604,'10_VANZARI'!$B$5:$B$604,$A62,'10_VANZARI'!$A$5:$A$604,"&gt;="&amp;'02_SETARI'!$B$5,'10_VANZARI'!$A$5:$A$604,"&lt;="&amp;'02_SETARI'!$B$6))</f>
        <v/>
      </c>
      <c r="G62" s="69">
        <f>IF($A62="","",IFERROR($F62/$C62,""))</f>
        <v/>
      </c>
      <c r="H62" s="69">
        <f>IF($A62="","",IFERROR($C62/SUMIFS('10_VANZARI'!$E$5:$E$604,'10_VANZARI'!$A$5:$A$604,"&gt;="&amp;'02_SETARI'!$B$5,'10_VANZARI'!$A$5:$A$604,"&lt;="&amp;'02_SETARI'!$B$6),""))</f>
        <v/>
      </c>
      <c r="I62" s="70">
        <f>IF($A62="","",IFERROR(IF(SUMPRODUCT(MAX(('10_VANZARI'!$B$5:$B$604=$A62)*('10_VANZARI'!$E$5:$E$604&lt;&gt;"")*'10_VANZARI'!$A$5:$A$604))=0,"",SUMPRODUCT(MAX(('10_VANZARI'!$B$5:$B$604=$A62)*('10_VANZARI'!$E$5:$E$604&lt;&gt;"")*'10_VANZARI'!$A$5:$A$604))),""))</f>
        <v/>
      </c>
      <c r="J62" s="68">
        <f>IF(OR($A62="",$I62=""),"",'02_SETARI'!$B$19-$I62)</f>
        <v/>
      </c>
      <c r="K62" s="68">
        <f>IF($A62="","",IFERROR(IF(INDEX('11_CLIENTI'!$D$5:$D$124,MATCH($A62,'11_CLIENTI'!$A$5:$A$124,0))="","",INDEX('11_CLIENTI'!$D$5:$D$124,MATCH($A62,'11_CLIENTI'!$A$5:$A$124,0))),""))</f>
        <v/>
      </c>
      <c r="L62" s="67">
        <f>IF($A62="","",IF(AND($K62&lt;&gt;"",$K62&lt;='02_SETARI'!$B$18),"Nemulțumit",IF(AND($D62&gt;0,$C62=0),"Nu mai cumpără",IF(AND($J62&lt;&gt;"",$J62&gt;'02_SETARI'!$B$17,$D62&gt;0),"Adormit",IF(AND($E62&lt;&gt;"",$E62&lt;='02_SETARI'!$B$15),"A scăzut",IF(AND($C62&gt;0,$G62&lt;&gt;"",$G62&lt;'02_SETARI'!$B$16),"Marjă mică",IF(AND($E62&lt;&gt;"",$E62&gt;=0.2),"În creștere",IF($C62=0,"Fără activitate","Merge bine"))))))))</f>
        <v/>
      </c>
      <c r="M62" s="67">
        <f>IF($A62="","",IF($L62="Nu mai cumpără","Sună-l săptămâna asta și întreabă direct ce s-a schimbat. Nu trimite email.",IF($L62="Adormit","Sună-l cu un motiv concret: o ofertă, o noutate, o reamintire de sezon.",IF($L62="A scăzut","Întreabă-l dacă a împărțit comenzile cu altcineva. De obicei asta s-a întâmplat.",IF($L62="Nemulțumit","Citește ce a spus în 11_CLIENTI. Rezolvă exact acel lucru, apoi sună-l să-i confirmi. Știi deja cauza — nu mai e nevoie să o cauți.",IF($L62="Marjă mică","Verifică ce discount are și cât te costă să-l servești. Poate merită renegociat.",IF($L62="În creștere","Întreabă-l ce altceva i-ar mai trebui. Acum e momentul, nu peste șase luni.",IF($L62="Fără activitate","Client în listă, dar fără vânzări în perioadă. Verifică dacă mai e client.","Nimic urgent. Ține-l cald."))))))))</f>
        <v/>
      </c>
      <c r="N62" s="68">
        <f>IF($A62="","",IFERROR(IF($L62="Nu mai cumpără",$D62,IF($L62="Adormit",$D62,IF($L62="A scăzut",MAX(0,$D62-$C62),IF($L62="Marjă mică",MAX(0,$C62*('02_SETARI'!$B$16-$G62)),$C62*0.15)))),""))</f>
        <v/>
      </c>
      <c r="O62">
        <f>IF(OR($A62="",$C62="",N($C62)&lt;=0),"",$C62+ROW()/1000000)</f>
        <v/>
      </c>
    </row>
    <row r="63">
      <c r="A63" s="67">
        <f>IF('11_CLIENTI'!$A63="","",'11_CLIENTI'!$A63)</f>
        <v/>
      </c>
      <c r="B63" s="67">
        <f>IF($A63="","",IFERROR(INDEX('11_CLIENTI'!$B$5:$B$124,MATCH($A63,'11_CLIENTI'!$A$5:$A$124,0)),""))</f>
        <v/>
      </c>
      <c r="C63" s="68">
        <f>IF($A63="","",SUMIFS('10_VANZARI'!$E$5:$E$604,'10_VANZARI'!$B$5:$B$604,$A63,'10_VANZARI'!$A$5:$A$604,"&gt;="&amp;'02_SETARI'!$B$5,'10_VANZARI'!$A$5:$A$604,"&lt;="&amp;'02_SETARI'!$B$6))</f>
        <v/>
      </c>
      <c r="D63" s="68">
        <f>IF($A63="","",SUMIFS('10_VANZARI'!$E$5:$E$604,'10_VANZARI'!$B$5:$B$604,$A63,'10_VANZARI'!$A$5:$A$604,"&gt;="&amp;'02_SETARI'!$B$7,'10_VANZARI'!$A$5:$A$604,"&lt;="&amp;'02_SETARI'!$B$8))</f>
        <v/>
      </c>
      <c r="E63" s="69">
        <f>IF($A63="","",IFERROR(IF($D63=0,"",($C63-$D63)/ABS($D63)),""))</f>
        <v/>
      </c>
      <c r="F63" s="68">
        <f>IF($A63="","",SUMIFS('10_VANZARI'!$G$5:$G$604,'10_VANZARI'!$B$5:$B$604,$A63,'10_VANZARI'!$A$5:$A$604,"&gt;="&amp;'02_SETARI'!$B$5,'10_VANZARI'!$A$5:$A$604,"&lt;="&amp;'02_SETARI'!$B$6))</f>
        <v/>
      </c>
      <c r="G63" s="69">
        <f>IF($A63="","",IFERROR($F63/$C63,""))</f>
        <v/>
      </c>
      <c r="H63" s="69">
        <f>IF($A63="","",IFERROR($C63/SUMIFS('10_VANZARI'!$E$5:$E$604,'10_VANZARI'!$A$5:$A$604,"&gt;="&amp;'02_SETARI'!$B$5,'10_VANZARI'!$A$5:$A$604,"&lt;="&amp;'02_SETARI'!$B$6),""))</f>
        <v/>
      </c>
      <c r="I63" s="70">
        <f>IF($A63="","",IFERROR(IF(SUMPRODUCT(MAX(('10_VANZARI'!$B$5:$B$604=$A63)*('10_VANZARI'!$E$5:$E$604&lt;&gt;"")*'10_VANZARI'!$A$5:$A$604))=0,"",SUMPRODUCT(MAX(('10_VANZARI'!$B$5:$B$604=$A63)*('10_VANZARI'!$E$5:$E$604&lt;&gt;"")*'10_VANZARI'!$A$5:$A$604))),""))</f>
        <v/>
      </c>
      <c r="J63" s="68">
        <f>IF(OR($A63="",$I63=""),"",'02_SETARI'!$B$19-$I63)</f>
        <v/>
      </c>
      <c r="K63" s="68">
        <f>IF($A63="","",IFERROR(IF(INDEX('11_CLIENTI'!$D$5:$D$124,MATCH($A63,'11_CLIENTI'!$A$5:$A$124,0))="","",INDEX('11_CLIENTI'!$D$5:$D$124,MATCH($A63,'11_CLIENTI'!$A$5:$A$124,0))),""))</f>
        <v/>
      </c>
      <c r="L63" s="67">
        <f>IF($A63="","",IF(AND($K63&lt;&gt;"",$K63&lt;='02_SETARI'!$B$18),"Nemulțumit",IF(AND($D63&gt;0,$C63=0),"Nu mai cumpără",IF(AND($J63&lt;&gt;"",$J63&gt;'02_SETARI'!$B$17,$D63&gt;0),"Adormit",IF(AND($E63&lt;&gt;"",$E63&lt;='02_SETARI'!$B$15),"A scăzut",IF(AND($C63&gt;0,$G63&lt;&gt;"",$G63&lt;'02_SETARI'!$B$16),"Marjă mică",IF(AND($E63&lt;&gt;"",$E63&gt;=0.2),"În creștere",IF($C63=0,"Fără activitate","Merge bine"))))))))</f>
        <v/>
      </c>
      <c r="M63" s="67">
        <f>IF($A63="","",IF($L63="Nu mai cumpără","Sună-l săptămâna asta și întreabă direct ce s-a schimbat. Nu trimite email.",IF($L63="Adormit","Sună-l cu un motiv concret: o ofertă, o noutate, o reamintire de sezon.",IF($L63="A scăzut","Întreabă-l dacă a împărțit comenzile cu altcineva. De obicei asta s-a întâmplat.",IF($L63="Nemulțumit","Citește ce a spus în 11_CLIENTI. Rezolvă exact acel lucru, apoi sună-l să-i confirmi. Știi deja cauza — nu mai e nevoie să o cauți.",IF($L63="Marjă mică","Verifică ce discount are și cât te costă să-l servești. Poate merită renegociat.",IF($L63="În creștere","Întreabă-l ce altceva i-ar mai trebui. Acum e momentul, nu peste șase luni.",IF($L63="Fără activitate","Client în listă, dar fără vânzări în perioadă. Verifică dacă mai e client.","Nimic urgent. Ține-l cald."))))))))</f>
        <v/>
      </c>
      <c r="N63" s="68">
        <f>IF($A63="","",IFERROR(IF($L63="Nu mai cumpără",$D63,IF($L63="Adormit",$D63,IF($L63="A scăzut",MAX(0,$D63-$C63),IF($L63="Marjă mică",MAX(0,$C63*('02_SETARI'!$B$16-$G63)),$C63*0.15)))),""))</f>
        <v/>
      </c>
      <c r="O63">
        <f>IF(OR($A63="",$C63="",N($C63)&lt;=0),"",$C63+ROW()/1000000)</f>
        <v/>
      </c>
    </row>
    <row r="64">
      <c r="A64" s="67">
        <f>IF('11_CLIENTI'!$A64="","",'11_CLIENTI'!$A64)</f>
        <v/>
      </c>
      <c r="B64" s="67">
        <f>IF($A64="","",IFERROR(INDEX('11_CLIENTI'!$B$5:$B$124,MATCH($A64,'11_CLIENTI'!$A$5:$A$124,0)),""))</f>
        <v/>
      </c>
      <c r="C64" s="68">
        <f>IF($A64="","",SUMIFS('10_VANZARI'!$E$5:$E$604,'10_VANZARI'!$B$5:$B$604,$A64,'10_VANZARI'!$A$5:$A$604,"&gt;="&amp;'02_SETARI'!$B$5,'10_VANZARI'!$A$5:$A$604,"&lt;="&amp;'02_SETARI'!$B$6))</f>
        <v/>
      </c>
      <c r="D64" s="68">
        <f>IF($A64="","",SUMIFS('10_VANZARI'!$E$5:$E$604,'10_VANZARI'!$B$5:$B$604,$A64,'10_VANZARI'!$A$5:$A$604,"&gt;="&amp;'02_SETARI'!$B$7,'10_VANZARI'!$A$5:$A$604,"&lt;="&amp;'02_SETARI'!$B$8))</f>
        <v/>
      </c>
      <c r="E64" s="69">
        <f>IF($A64="","",IFERROR(IF($D64=0,"",($C64-$D64)/ABS($D64)),""))</f>
        <v/>
      </c>
      <c r="F64" s="68">
        <f>IF($A64="","",SUMIFS('10_VANZARI'!$G$5:$G$604,'10_VANZARI'!$B$5:$B$604,$A64,'10_VANZARI'!$A$5:$A$604,"&gt;="&amp;'02_SETARI'!$B$5,'10_VANZARI'!$A$5:$A$604,"&lt;="&amp;'02_SETARI'!$B$6))</f>
        <v/>
      </c>
      <c r="G64" s="69">
        <f>IF($A64="","",IFERROR($F64/$C64,""))</f>
        <v/>
      </c>
      <c r="H64" s="69">
        <f>IF($A64="","",IFERROR($C64/SUMIFS('10_VANZARI'!$E$5:$E$604,'10_VANZARI'!$A$5:$A$604,"&gt;="&amp;'02_SETARI'!$B$5,'10_VANZARI'!$A$5:$A$604,"&lt;="&amp;'02_SETARI'!$B$6),""))</f>
        <v/>
      </c>
      <c r="I64" s="70">
        <f>IF($A64="","",IFERROR(IF(SUMPRODUCT(MAX(('10_VANZARI'!$B$5:$B$604=$A64)*('10_VANZARI'!$E$5:$E$604&lt;&gt;"")*'10_VANZARI'!$A$5:$A$604))=0,"",SUMPRODUCT(MAX(('10_VANZARI'!$B$5:$B$604=$A64)*('10_VANZARI'!$E$5:$E$604&lt;&gt;"")*'10_VANZARI'!$A$5:$A$604))),""))</f>
        <v/>
      </c>
      <c r="J64" s="68">
        <f>IF(OR($A64="",$I64=""),"",'02_SETARI'!$B$19-$I64)</f>
        <v/>
      </c>
      <c r="K64" s="68">
        <f>IF($A64="","",IFERROR(IF(INDEX('11_CLIENTI'!$D$5:$D$124,MATCH($A64,'11_CLIENTI'!$A$5:$A$124,0))="","",INDEX('11_CLIENTI'!$D$5:$D$124,MATCH($A64,'11_CLIENTI'!$A$5:$A$124,0))),""))</f>
        <v/>
      </c>
      <c r="L64" s="67">
        <f>IF($A64="","",IF(AND($K64&lt;&gt;"",$K64&lt;='02_SETARI'!$B$18),"Nemulțumit",IF(AND($D64&gt;0,$C64=0),"Nu mai cumpără",IF(AND($J64&lt;&gt;"",$J64&gt;'02_SETARI'!$B$17,$D64&gt;0),"Adormit",IF(AND($E64&lt;&gt;"",$E64&lt;='02_SETARI'!$B$15),"A scăzut",IF(AND($C64&gt;0,$G64&lt;&gt;"",$G64&lt;'02_SETARI'!$B$16),"Marjă mică",IF(AND($E64&lt;&gt;"",$E64&gt;=0.2),"În creștere",IF($C64=0,"Fără activitate","Merge bine"))))))))</f>
        <v/>
      </c>
      <c r="M64" s="67">
        <f>IF($A64="","",IF($L64="Nu mai cumpără","Sună-l săptămâna asta și întreabă direct ce s-a schimbat. Nu trimite email.",IF($L64="Adormit","Sună-l cu un motiv concret: o ofertă, o noutate, o reamintire de sezon.",IF($L64="A scăzut","Întreabă-l dacă a împărțit comenzile cu altcineva. De obicei asta s-a întâmplat.",IF($L64="Nemulțumit","Citește ce a spus în 11_CLIENTI. Rezolvă exact acel lucru, apoi sună-l să-i confirmi. Știi deja cauza — nu mai e nevoie să o cauți.",IF($L64="Marjă mică","Verifică ce discount are și cât te costă să-l servești. Poate merită renegociat.",IF($L64="În creștere","Întreabă-l ce altceva i-ar mai trebui. Acum e momentul, nu peste șase luni.",IF($L64="Fără activitate","Client în listă, dar fără vânzări în perioadă. Verifică dacă mai e client.","Nimic urgent. Ține-l cald."))))))))</f>
        <v/>
      </c>
      <c r="N64" s="68">
        <f>IF($A64="","",IFERROR(IF($L64="Nu mai cumpără",$D64,IF($L64="Adormit",$D64,IF($L64="A scăzut",MAX(0,$D64-$C64),IF($L64="Marjă mică",MAX(0,$C64*('02_SETARI'!$B$16-$G64)),$C64*0.15)))),""))</f>
        <v/>
      </c>
      <c r="O64">
        <f>IF(OR($A64="",$C64="",N($C64)&lt;=0),"",$C64+ROW()/1000000)</f>
        <v/>
      </c>
    </row>
    <row r="65">
      <c r="A65" s="67">
        <f>IF('11_CLIENTI'!$A65="","",'11_CLIENTI'!$A65)</f>
        <v/>
      </c>
      <c r="B65" s="67">
        <f>IF($A65="","",IFERROR(INDEX('11_CLIENTI'!$B$5:$B$124,MATCH($A65,'11_CLIENTI'!$A$5:$A$124,0)),""))</f>
        <v/>
      </c>
      <c r="C65" s="68">
        <f>IF($A65="","",SUMIFS('10_VANZARI'!$E$5:$E$604,'10_VANZARI'!$B$5:$B$604,$A65,'10_VANZARI'!$A$5:$A$604,"&gt;="&amp;'02_SETARI'!$B$5,'10_VANZARI'!$A$5:$A$604,"&lt;="&amp;'02_SETARI'!$B$6))</f>
        <v/>
      </c>
      <c r="D65" s="68">
        <f>IF($A65="","",SUMIFS('10_VANZARI'!$E$5:$E$604,'10_VANZARI'!$B$5:$B$604,$A65,'10_VANZARI'!$A$5:$A$604,"&gt;="&amp;'02_SETARI'!$B$7,'10_VANZARI'!$A$5:$A$604,"&lt;="&amp;'02_SETARI'!$B$8))</f>
        <v/>
      </c>
      <c r="E65" s="69">
        <f>IF($A65="","",IFERROR(IF($D65=0,"",($C65-$D65)/ABS($D65)),""))</f>
        <v/>
      </c>
      <c r="F65" s="68">
        <f>IF($A65="","",SUMIFS('10_VANZARI'!$G$5:$G$604,'10_VANZARI'!$B$5:$B$604,$A65,'10_VANZARI'!$A$5:$A$604,"&gt;="&amp;'02_SETARI'!$B$5,'10_VANZARI'!$A$5:$A$604,"&lt;="&amp;'02_SETARI'!$B$6))</f>
        <v/>
      </c>
      <c r="G65" s="69">
        <f>IF($A65="","",IFERROR($F65/$C65,""))</f>
        <v/>
      </c>
      <c r="H65" s="69">
        <f>IF($A65="","",IFERROR($C65/SUMIFS('10_VANZARI'!$E$5:$E$604,'10_VANZARI'!$A$5:$A$604,"&gt;="&amp;'02_SETARI'!$B$5,'10_VANZARI'!$A$5:$A$604,"&lt;="&amp;'02_SETARI'!$B$6),""))</f>
        <v/>
      </c>
      <c r="I65" s="70">
        <f>IF($A65="","",IFERROR(IF(SUMPRODUCT(MAX(('10_VANZARI'!$B$5:$B$604=$A65)*('10_VANZARI'!$E$5:$E$604&lt;&gt;"")*'10_VANZARI'!$A$5:$A$604))=0,"",SUMPRODUCT(MAX(('10_VANZARI'!$B$5:$B$604=$A65)*('10_VANZARI'!$E$5:$E$604&lt;&gt;"")*'10_VANZARI'!$A$5:$A$604))),""))</f>
        <v/>
      </c>
      <c r="J65" s="68">
        <f>IF(OR($A65="",$I65=""),"",'02_SETARI'!$B$19-$I65)</f>
        <v/>
      </c>
      <c r="K65" s="68">
        <f>IF($A65="","",IFERROR(IF(INDEX('11_CLIENTI'!$D$5:$D$124,MATCH($A65,'11_CLIENTI'!$A$5:$A$124,0))="","",INDEX('11_CLIENTI'!$D$5:$D$124,MATCH($A65,'11_CLIENTI'!$A$5:$A$124,0))),""))</f>
        <v/>
      </c>
      <c r="L65" s="67">
        <f>IF($A65="","",IF(AND($K65&lt;&gt;"",$K65&lt;='02_SETARI'!$B$18),"Nemulțumit",IF(AND($D65&gt;0,$C65=0),"Nu mai cumpără",IF(AND($J65&lt;&gt;"",$J65&gt;'02_SETARI'!$B$17,$D65&gt;0),"Adormit",IF(AND($E65&lt;&gt;"",$E65&lt;='02_SETARI'!$B$15),"A scăzut",IF(AND($C65&gt;0,$G65&lt;&gt;"",$G65&lt;'02_SETARI'!$B$16),"Marjă mică",IF(AND($E65&lt;&gt;"",$E65&gt;=0.2),"În creștere",IF($C65=0,"Fără activitate","Merge bine"))))))))</f>
        <v/>
      </c>
      <c r="M65" s="67">
        <f>IF($A65="","",IF($L65="Nu mai cumpără","Sună-l săptămâna asta și întreabă direct ce s-a schimbat. Nu trimite email.",IF($L65="Adormit","Sună-l cu un motiv concret: o ofertă, o noutate, o reamintire de sezon.",IF($L65="A scăzut","Întreabă-l dacă a împărțit comenzile cu altcineva. De obicei asta s-a întâmplat.",IF($L65="Nemulțumit","Citește ce a spus în 11_CLIENTI. Rezolvă exact acel lucru, apoi sună-l să-i confirmi. Știi deja cauza — nu mai e nevoie să o cauți.",IF($L65="Marjă mică","Verifică ce discount are și cât te costă să-l servești. Poate merită renegociat.",IF($L65="În creștere","Întreabă-l ce altceva i-ar mai trebui. Acum e momentul, nu peste șase luni.",IF($L65="Fără activitate","Client în listă, dar fără vânzări în perioadă. Verifică dacă mai e client.","Nimic urgent. Ține-l cald."))))))))</f>
        <v/>
      </c>
      <c r="N65" s="68">
        <f>IF($A65="","",IFERROR(IF($L65="Nu mai cumpără",$D65,IF($L65="Adormit",$D65,IF($L65="A scăzut",MAX(0,$D65-$C65),IF($L65="Marjă mică",MAX(0,$C65*('02_SETARI'!$B$16-$G65)),$C65*0.15)))),""))</f>
        <v/>
      </c>
      <c r="O65">
        <f>IF(OR($A65="",$C65="",N($C65)&lt;=0),"",$C65+ROW()/1000000)</f>
        <v/>
      </c>
    </row>
    <row r="66">
      <c r="A66" s="67">
        <f>IF('11_CLIENTI'!$A66="","",'11_CLIENTI'!$A66)</f>
        <v/>
      </c>
      <c r="B66" s="67">
        <f>IF($A66="","",IFERROR(INDEX('11_CLIENTI'!$B$5:$B$124,MATCH($A66,'11_CLIENTI'!$A$5:$A$124,0)),""))</f>
        <v/>
      </c>
      <c r="C66" s="68">
        <f>IF($A66="","",SUMIFS('10_VANZARI'!$E$5:$E$604,'10_VANZARI'!$B$5:$B$604,$A66,'10_VANZARI'!$A$5:$A$604,"&gt;="&amp;'02_SETARI'!$B$5,'10_VANZARI'!$A$5:$A$604,"&lt;="&amp;'02_SETARI'!$B$6))</f>
        <v/>
      </c>
      <c r="D66" s="68">
        <f>IF($A66="","",SUMIFS('10_VANZARI'!$E$5:$E$604,'10_VANZARI'!$B$5:$B$604,$A66,'10_VANZARI'!$A$5:$A$604,"&gt;="&amp;'02_SETARI'!$B$7,'10_VANZARI'!$A$5:$A$604,"&lt;="&amp;'02_SETARI'!$B$8))</f>
        <v/>
      </c>
      <c r="E66" s="69">
        <f>IF($A66="","",IFERROR(IF($D66=0,"",($C66-$D66)/ABS($D66)),""))</f>
        <v/>
      </c>
      <c r="F66" s="68">
        <f>IF($A66="","",SUMIFS('10_VANZARI'!$G$5:$G$604,'10_VANZARI'!$B$5:$B$604,$A66,'10_VANZARI'!$A$5:$A$604,"&gt;="&amp;'02_SETARI'!$B$5,'10_VANZARI'!$A$5:$A$604,"&lt;="&amp;'02_SETARI'!$B$6))</f>
        <v/>
      </c>
      <c r="G66" s="69">
        <f>IF($A66="","",IFERROR($F66/$C66,""))</f>
        <v/>
      </c>
      <c r="H66" s="69">
        <f>IF($A66="","",IFERROR($C66/SUMIFS('10_VANZARI'!$E$5:$E$604,'10_VANZARI'!$A$5:$A$604,"&gt;="&amp;'02_SETARI'!$B$5,'10_VANZARI'!$A$5:$A$604,"&lt;="&amp;'02_SETARI'!$B$6),""))</f>
        <v/>
      </c>
      <c r="I66" s="70">
        <f>IF($A66="","",IFERROR(IF(SUMPRODUCT(MAX(('10_VANZARI'!$B$5:$B$604=$A66)*('10_VANZARI'!$E$5:$E$604&lt;&gt;"")*'10_VANZARI'!$A$5:$A$604))=0,"",SUMPRODUCT(MAX(('10_VANZARI'!$B$5:$B$604=$A66)*('10_VANZARI'!$E$5:$E$604&lt;&gt;"")*'10_VANZARI'!$A$5:$A$604))),""))</f>
        <v/>
      </c>
      <c r="J66" s="68">
        <f>IF(OR($A66="",$I66=""),"",'02_SETARI'!$B$19-$I66)</f>
        <v/>
      </c>
      <c r="K66" s="68">
        <f>IF($A66="","",IFERROR(IF(INDEX('11_CLIENTI'!$D$5:$D$124,MATCH($A66,'11_CLIENTI'!$A$5:$A$124,0))="","",INDEX('11_CLIENTI'!$D$5:$D$124,MATCH($A66,'11_CLIENTI'!$A$5:$A$124,0))),""))</f>
        <v/>
      </c>
      <c r="L66" s="67">
        <f>IF($A66="","",IF(AND($K66&lt;&gt;"",$K66&lt;='02_SETARI'!$B$18),"Nemulțumit",IF(AND($D66&gt;0,$C66=0),"Nu mai cumpără",IF(AND($J66&lt;&gt;"",$J66&gt;'02_SETARI'!$B$17,$D66&gt;0),"Adormit",IF(AND($E66&lt;&gt;"",$E66&lt;='02_SETARI'!$B$15),"A scăzut",IF(AND($C66&gt;0,$G66&lt;&gt;"",$G66&lt;'02_SETARI'!$B$16),"Marjă mică",IF(AND($E66&lt;&gt;"",$E66&gt;=0.2),"În creștere",IF($C66=0,"Fără activitate","Merge bine"))))))))</f>
        <v/>
      </c>
      <c r="M66" s="67">
        <f>IF($A66="","",IF($L66="Nu mai cumpără","Sună-l săptămâna asta și întreabă direct ce s-a schimbat. Nu trimite email.",IF($L66="Adormit","Sună-l cu un motiv concret: o ofertă, o noutate, o reamintire de sezon.",IF($L66="A scăzut","Întreabă-l dacă a împărțit comenzile cu altcineva. De obicei asta s-a întâmplat.",IF($L66="Nemulțumit","Citește ce a spus în 11_CLIENTI. Rezolvă exact acel lucru, apoi sună-l să-i confirmi. Știi deja cauza — nu mai e nevoie să o cauți.",IF($L66="Marjă mică","Verifică ce discount are și cât te costă să-l servești. Poate merită renegociat.",IF($L66="În creștere","Întreabă-l ce altceva i-ar mai trebui. Acum e momentul, nu peste șase luni.",IF($L66="Fără activitate","Client în listă, dar fără vânzări în perioadă. Verifică dacă mai e client.","Nimic urgent. Ține-l cald."))))))))</f>
        <v/>
      </c>
      <c r="N66" s="68">
        <f>IF($A66="","",IFERROR(IF($L66="Nu mai cumpără",$D66,IF($L66="Adormit",$D66,IF($L66="A scăzut",MAX(0,$D66-$C66),IF($L66="Marjă mică",MAX(0,$C66*('02_SETARI'!$B$16-$G66)),$C66*0.15)))),""))</f>
        <v/>
      </c>
      <c r="O66">
        <f>IF(OR($A66="",$C66="",N($C66)&lt;=0),"",$C66+ROW()/1000000)</f>
        <v/>
      </c>
    </row>
    <row r="67">
      <c r="A67" s="67">
        <f>IF('11_CLIENTI'!$A67="","",'11_CLIENTI'!$A67)</f>
        <v/>
      </c>
      <c r="B67" s="67">
        <f>IF($A67="","",IFERROR(INDEX('11_CLIENTI'!$B$5:$B$124,MATCH($A67,'11_CLIENTI'!$A$5:$A$124,0)),""))</f>
        <v/>
      </c>
      <c r="C67" s="68">
        <f>IF($A67="","",SUMIFS('10_VANZARI'!$E$5:$E$604,'10_VANZARI'!$B$5:$B$604,$A67,'10_VANZARI'!$A$5:$A$604,"&gt;="&amp;'02_SETARI'!$B$5,'10_VANZARI'!$A$5:$A$604,"&lt;="&amp;'02_SETARI'!$B$6))</f>
        <v/>
      </c>
      <c r="D67" s="68">
        <f>IF($A67="","",SUMIFS('10_VANZARI'!$E$5:$E$604,'10_VANZARI'!$B$5:$B$604,$A67,'10_VANZARI'!$A$5:$A$604,"&gt;="&amp;'02_SETARI'!$B$7,'10_VANZARI'!$A$5:$A$604,"&lt;="&amp;'02_SETARI'!$B$8))</f>
        <v/>
      </c>
      <c r="E67" s="69">
        <f>IF($A67="","",IFERROR(IF($D67=0,"",($C67-$D67)/ABS($D67)),""))</f>
        <v/>
      </c>
      <c r="F67" s="68">
        <f>IF($A67="","",SUMIFS('10_VANZARI'!$G$5:$G$604,'10_VANZARI'!$B$5:$B$604,$A67,'10_VANZARI'!$A$5:$A$604,"&gt;="&amp;'02_SETARI'!$B$5,'10_VANZARI'!$A$5:$A$604,"&lt;="&amp;'02_SETARI'!$B$6))</f>
        <v/>
      </c>
      <c r="G67" s="69">
        <f>IF($A67="","",IFERROR($F67/$C67,""))</f>
        <v/>
      </c>
      <c r="H67" s="69">
        <f>IF($A67="","",IFERROR($C67/SUMIFS('10_VANZARI'!$E$5:$E$604,'10_VANZARI'!$A$5:$A$604,"&gt;="&amp;'02_SETARI'!$B$5,'10_VANZARI'!$A$5:$A$604,"&lt;="&amp;'02_SETARI'!$B$6),""))</f>
        <v/>
      </c>
      <c r="I67" s="70">
        <f>IF($A67="","",IFERROR(IF(SUMPRODUCT(MAX(('10_VANZARI'!$B$5:$B$604=$A67)*('10_VANZARI'!$E$5:$E$604&lt;&gt;"")*'10_VANZARI'!$A$5:$A$604))=0,"",SUMPRODUCT(MAX(('10_VANZARI'!$B$5:$B$604=$A67)*('10_VANZARI'!$E$5:$E$604&lt;&gt;"")*'10_VANZARI'!$A$5:$A$604))),""))</f>
        <v/>
      </c>
      <c r="J67" s="68">
        <f>IF(OR($A67="",$I67=""),"",'02_SETARI'!$B$19-$I67)</f>
        <v/>
      </c>
      <c r="K67" s="68">
        <f>IF($A67="","",IFERROR(IF(INDEX('11_CLIENTI'!$D$5:$D$124,MATCH($A67,'11_CLIENTI'!$A$5:$A$124,0))="","",INDEX('11_CLIENTI'!$D$5:$D$124,MATCH($A67,'11_CLIENTI'!$A$5:$A$124,0))),""))</f>
        <v/>
      </c>
      <c r="L67" s="67">
        <f>IF($A67="","",IF(AND($K67&lt;&gt;"",$K67&lt;='02_SETARI'!$B$18),"Nemulțumit",IF(AND($D67&gt;0,$C67=0),"Nu mai cumpără",IF(AND($J67&lt;&gt;"",$J67&gt;'02_SETARI'!$B$17,$D67&gt;0),"Adormit",IF(AND($E67&lt;&gt;"",$E67&lt;='02_SETARI'!$B$15),"A scăzut",IF(AND($C67&gt;0,$G67&lt;&gt;"",$G67&lt;'02_SETARI'!$B$16),"Marjă mică",IF(AND($E67&lt;&gt;"",$E67&gt;=0.2),"În creștere",IF($C67=0,"Fără activitate","Merge bine"))))))))</f>
        <v/>
      </c>
      <c r="M67" s="67">
        <f>IF($A67="","",IF($L67="Nu mai cumpără","Sună-l săptămâna asta și întreabă direct ce s-a schimbat. Nu trimite email.",IF($L67="Adormit","Sună-l cu un motiv concret: o ofertă, o noutate, o reamintire de sezon.",IF($L67="A scăzut","Întreabă-l dacă a împărțit comenzile cu altcineva. De obicei asta s-a întâmplat.",IF($L67="Nemulțumit","Citește ce a spus în 11_CLIENTI. Rezolvă exact acel lucru, apoi sună-l să-i confirmi. Știi deja cauza — nu mai e nevoie să o cauți.",IF($L67="Marjă mică","Verifică ce discount are și cât te costă să-l servești. Poate merită renegociat.",IF($L67="În creștere","Întreabă-l ce altceva i-ar mai trebui. Acum e momentul, nu peste șase luni.",IF($L67="Fără activitate","Client în listă, dar fără vânzări în perioadă. Verifică dacă mai e client.","Nimic urgent. Ține-l cald."))))))))</f>
        <v/>
      </c>
      <c r="N67" s="68">
        <f>IF($A67="","",IFERROR(IF($L67="Nu mai cumpără",$D67,IF($L67="Adormit",$D67,IF($L67="A scăzut",MAX(0,$D67-$C67),IF($L67="Marjă mică",MAX(0,$C67*('02_SETARI'!$B$16-$G67)),$C67*0.15)))),""))</f>
        <v/>
      </c>
      <c r="O67">
        <f>IF(OR($A67="",$C67="",N($C67)&lt;=0),"",$C67+ROW()/1000000)</f>
        <v/>
      </c>
    </row>
    <row r="68">
      <c r="A68" s="67">
        <f>IF('11_CLIENTI'!$A68="","",'11_CLIENTI'!$A68)</f>
        <v/>
      </c>
      <c r="B68" s="67">
        <f>IF($A68="","",IFERROR(INDEX('11_CLIENTI'!$B$5:$B$124,MATCH($A68,'11_CLIENTI'!$A$5:$A$124,0)),""))</f>
        <v/>
      </c>
      <c r="C68" s="68">
        <f>IF($A68="","",SUMIFS('10_VANZARI'!$E$5:$E$604,'10_VANZARI'!$B$5:$B$604,$A68,'10_VANZARI'!$A$5:$A$604,"&gt;="&amp;'02_SETARI'!$B$5,'10_VANZARI'!$A$5:$A$604,"&lt;="&amp;'02_SETARI'!$B$6))</f>
        <v/>
      </c>
      <c r="D68" s="68">
        <f>IF($A68="","",SUMIFS('10_VANZARI'!$E$5:$E$604,'10_VANZARI'!$B$5:$B$604,$A68,'10_VANZARI'!$A$5:$A$604,"&gt;="&amp;'02_SETARI'!$B$7,'10_VANZARI'!$A$5:$A$604,"&lt;="&amp;'02_SETARI'!$B$8))</f>
        <v/>
      </c>
      <c r="E68" s="69">
        <f>IF($A68="","",IFERROR(IF($D68=0,"",($C68-$D68)/ABS($D68)),""))</f>
        <v/>
      </c>
      <c r="F68" s="68">
        <f>IF($A68="","",SUMIFS('10_VANZARI'!$G$5:$G$604,'10_VANZARI'!$B$5:$B$604,$A68,'10_VANZARI'!$A$5:$A$604,"&gt;="&amp;'02_SETARI'!$B$5,'10_VANZARI'!$A$5:$A$604,"&lt;="&amp;'02_SETARI'!$B$6))</f>
        <v/>
      </c>
      <c r="G68" s="69">
        <f>IF($A68="","",IFERROR($F68/$C68,""))</f>
        <v/>
      </c>
      <c r="H68" s="69">
        <f>IF($A68="","",IFERROR($C68/SUMIFS('10_VANZARI'!$E$5:$E$604,'10_VANZARI'!$A$5:$A$604,"&gt;="&amp;'02_SETARI'!$B$5,'10_VANZARI'!$A$5:$A$604,"&lt;="&amp;'02_SETARI'!$B$6),""))</f>
        <v/>
      </c>
      <c r="I68" s="70">
        <f>IF($A68="","",IFERROR(IF(SUMPRODUCT(MAX(('10_VANZARI'!$B$5:$B$604=$A68)*('10_VANZARI'!$E$5:$E$604&lt;&gt;"")*'10_VANZARI'!$A$5:$A$604))=0,"",SUMPRODUCT(MAX(('10_VANZARI'!$B$5:$B$604=$A68)*('10_VANZARI'!$E$5:$E$604&lt;&gt;"")*'10_VANZARI'!$A$5:$A$604))),""))</f>
        <v/>
      </c>
      <c r="J68" s="68">
        <f>IF(OR($A68="",$I68=""),"",'02_SETARI'!$B$19-$I68)</f>
        <v/>
      </c>
      <c r="K68" s="68">
        <f>IF($A68="","",IFERROR(IF(INDEX('11_CLIENTI'!$D$5:$D$124,MATCH($A68,'11_CLIENTI'!$A$5:$A$124,0))="","",INDEX('11_CLIENTI'!$D$5:$D$124,MATCH($A68,'11_CLIENTI'!$A$5:$A$124,0))),""))</f>
        <v/>
      </c>
      <c r="L68" s="67">
        <f>IF($A68="","",IF(AND($K68&lt;&gt;"",$K68&lt;='02_SETARI'!$B$18),"Nemulțumit",IF(AND($D68&gt;0,$C68=0),"Nu mai cumpără",IF(AND($J68&lt;&gt;"",$J68&gt;'02_SETARI'!$B$17,$D68&gt;0),"Adormit",IF(AND($E68&lt;&gt;"",$E68&lt;='02_SETARI'!$B$15),"A scăzut",IF(AND($C68&gt;0,$G68&lt;&gt;"",$G68&lt;'02_SETARI'!$B$16),"Marjă mică",IF(AND($E68&lt;&gt;"",$E68&gt;=0.2),"În creștere",IF($C68=0,"Fără activitate","Merge bine"))))))))</f>
        <v/>
      </c>
      <c r="M68" s="67">
        <f>IF($A68="","",IF($L68="Nu mai cumpără","Sună-l săptămâna asta și întreabă direct ce s-a schimbat. Nu trimite email.",IF($L68="Adormit","Sună-l cu un motiv concret: o ofertă, o noutate, o reamintire de sezon.",IF($L68="A scăzut","Întreabă-l dacă a împărțit comenzile cu altcineva. De obicei asta s-a întâmplat.",IF($L68="Nemulțumit","Citește ce a spus în 11_CLIENTI. Rezolvă exact acel lucru, apoi sună-l să-i confirmi. Știi deja cauza — nu mai e nevoie să o cauți.",IF($L68="Marjă mică","Verifică ce discount are și cât te costă să-l servești. Poate merită renegociat.",IF($L68="În creștere","Întreabă-l ce altceva i-ar mai trebui. Acum e momentul, nu peste șase luni.",IF($L68="Fără activitate","Client în listă, dar fără vânzări în perioadă. Verifică dacă mai e client.","Nimic urgent. Ține-l cald."))))))))</f>
        <v/>
      </c>
      <c r="N68" s="68">
        <f>IF($A68="","",IFERROR(IF($L68="Nu mai cumpără",$D68,IF($L68="Adormit",$D68,IF($L68="A scăzut",MAX(0,$D68-$C68),IF($L68="Marjă mică",MAX(0,$C68*('02_SETARI'!$B$16-$G68)),$C68*0.15)))),""))</f>
        <v/>
      </c>
      <c r="O68">
        <f>IF(OR($A68="",$C68="",N($C68)&lt;=0),"",$C68+ROW()/1000000)</f>
        <v/>
      </c>
    </row>
    <row r="69">
      <c r="A69" s="67">
        <f>IF('11_CLIENTI'!$A69="","",'11_CLIENTI'!$A69)</f>
        <v/>
      </c>
      <c r="B69" s="67">
        <f>IF($A69="","",IFERROR(INDEX('11_CLIENTI'!$B$5:$B$124,MATCH($A69,'11_CLIENTI'!$A$5:$A$124,0)),""))</f>
        <v/>
      </c>
      <c r="C69" s="68">
        <f>IF($A69="","",SUMIFS('10_VANZARI'!$E$5:$E$604,'10_VANZARI'!$B$5:$B$604,$A69,'10_VANZARI'!$A$5:$A$604,"&gt;="&amp;'02_SETARI'!$B$5,'10_VANZARI'!$A$5:$A$604,"&lt;="&amp;'02_SETARI'!$B$6))</f>
        <v/>
      </c>
      <c r="D69" s="68">
        <f>IF($A69="","",SUMIFS('10_VANZARI'!$E$5:$E$604,'10_VANZARI'!$B$5:$B$604,$A69,'10_VANZARI'!$A$5:$A$604,"&gt;="&amp;'02_SETARI'!$B$7,'10_VANZARI'!$A$5:$A$604,"&lt;="&amp;'02_SETARI'!$B$8))</f>
        <v/>
      </c>
      <c r="E69" s="69">
        <f>IF($A69="","",IFERROR(IF($D69=0,"",($C69-$D69)/ABS($D69)),""))</f>
        <v/>
      </c>
      <c r="F69" s="68">
        <f>IF($A69="","",SUMIFS('10_VANZARI'!$G$5:$G$604,'10_VANZARI'!$B$5:$B$604,$A69,'10_VANZARI'!$A$5:$A$604,"&gt;="&amp;'02_SETARI'!$B$5,'10_VANZARI'!$A$5:$A$604,"&lt;="&amp;'02_SETARI'!$B$6))</f>
        <v/>
      </c>
      <c r="G69" s="69">
        <f>IF($A69="","",IFERROR($F69/$C69,""))</f>
        <v/>
      </c>
      <c r="H69" s="69">
        <f>IF($A69="","",IFERROR($C69/SUMIFS('10_VANZARI'!$E$5:$E$604,'10_VANZARI'!$A$5:$A$604,"&gt;="&amp;'02_SETARI'!$B$5,'10_VANZARI'!$A$5:$A$604,"&lt;="&amp;'02_SETARI'!$B$6),""))</f>
        <v/>
      </c>
      <c r="I69" s="70">
        <f>IF($A69="","",IFERROR(IF(SUMPRODUCT(MAX(('10_VANZARI'!$B$5:$B$604=$A69)*('10_VANZARI'!$E$5:$E$604&lt;&gt;"")*'10_VANZARI'!$A$5:$A$604))=0,"",SUMPRODUCT(MAX(('10_VANZARI'!$B$5:$B$604=$A69)*('10_VANZARI'!$E$5:$E$604&lt;&gt;"")*'10_VANZARI'!$A$5:$A$604))),""))</f>
        <v/>
      </c>
      <c r="J69" s="68">
        <f>IF(OR($A69="",$I69=""),"",'02_SETARI'!$B$19-$I69)</f>
        <v/>
      </c>
      <c r="K69" s="68">
        <f>IF($A69="","",IFERROR(IF(INDEX('11_CLIENTI'!$D$5:$D$124,MATCH($A69,'11_CLIENTI'!$A$5:$A$124,0))="","",INDEX('11_CLIENTI'!$D$5:$D$124,MATCH($A69,'11_CLIENTI'!$A$5:$A$124,0))),""))</f>
        <v/>
      </c>
      <c r="L69" s="67">
        <f>IF($A69="","",IF(AND($K69&lt;&gt;"",$K69&lt;='02_SETARI'!$B$18),"Nemulțumit",IF(AND($D69&gt;0,$C69=0),"Nu mai cumpără",IF(AND($J69&lt;&gt;"",$J69&gt;'02_SETARI'!$B$17,$D69&gt;0),"Adormit",IF(AND($E69&lt;&gt;"",$E69&lt;='02_SETARI'!$B$15),"A scăzut",IF(AND($C69&gt;0,$G69&lt;&gt;"",$G69&lt;'02_SETARI'!$B$16),"Marjă mică",IF(AND($E69&lt;&gt;"",$E69&gt;=0.2),"În creștere",IF($C69=0,"Fără activitate","Merge bine"))))))))</f>
        <v/>
      </c>
      <c r="M69" s="67">
        <f>IF($A69="","",IF($L69="Nu mai cumpără","Sună-l săptămâna asta și întreabă direct ce s-a schimbat. Nu trimite email.",IF($L69="Adormit","Sună-l cu un motiv concret: o ofertă, o noutate, o reamintire de sezon.",IF($L69="A scăzut","Întreabă-l dacă a împărțit comenzile cu altcineva. De obicei asta s-a întâmplat.",IF($L69="Nemulțumit","Citește ce a spus în 11_CLIENTI. Rezolvă exact acel lucru, apoi sună-l să-i confirmi. Știi deja cauza — nu mai e nevoie să o cauți.",IF($L69="Marjă mică","Verifică ce discount are și cât te costă să-l servești. Poate merită renegociat.",IF($L69="În creștere","Întreabă-l ce altceva i-ar mai trebui. Acum e momentul, nu peste șase luni.",IF($L69="Fără activitate","Client în listă, dar fără vânzări în perioadă. Verifică dacă mai e client.","Nimic urgent. Ține-l cald."))))))))</f>
        <v/>
      </c>
      <c r="N69" s="68">
        <f>IF($A69="","",IFERROR(IF($L69="Nu mai cumpără",$D69,IF($L69="Adormit",$D69,IF($L69="A scăzut",MAX(0,$D69-$C69),IF($L69="Marjă mică",MAX(0,$C69*('02_SETARI'!$B$16-$G69)),$C69*0.15)))),""))</f>
        <v/>
      </c>
      <c r="O69">
        <f>IF(OR($A69="",$C69="",N($C69)&lt;=0),"",$C69+ROW()/1000000)</f>
        <v/>
      </c>
    </row>
    <row r="70">
      <c r="A70" s="67">
        <f>IF('11_CLIENTI'!$A70="","",'11_CLIENTI'!$A70)</f>
        <v/>
      </c>
      <c r="B70" s="67">
        <f>IF($A70="","",IFERROR(INDEX('11_CLIENTI'!$B$5:$B$124,MATCH($A70,'11_CLIENTI'!$A$5:$A$124,0)),""))</f>
        <v/>
      </c>
      <c r="C70" s="68">
        <f>IF($A70="","",SUMIFS('10_VANZARI'!$E$5:$E$604,'10_VANZARI'!$B$5:$B$604,$A70,'10_VANZARI'!$A$5:$A$604,"&gt;="&amp;'02_SETARI'!$B$5,'10_VANZARI'!$A$5:$A$604,"&lt;="&amp;'02_SETARI'!$B$6))</f>
        <v/>
      </c>
      <c r="D70" s="68">
        <f>IF($A70="","",SUMIFS('10_VANZARI'!$E$5:$E$604,'10_VANZARI'!$B$5:$B$604,$A70,'10_VANZARI'!$A$5:$A$604,"&gt;="&amp;'02_SETARI'!$B$7,'10_VANZARI'!$A$5:$A$604,"&lt;="&amp;'02_SETARI'!$B$8))</f>
        <v/>
      </c>
      <c r="E70" s="69">
        <f>IF($A70="","",IFERROR(IF($D70=0,"",($C70-$D70)/ABS($D70)),""))</f>
        <v/>
      </c>
      <c r="F70" s="68">
        <f>IF($A70="","",SUMIFS('10_VANZARI'!$G$5:$G$604,'10_VANZARI'!$B$5:$B$604,$A70,'10_VANZARI'!$A$5:$A$604,"&gt;="&amp;'02_SETARI'!$B$5,'10_VANZARI'!$A$5:$A$604,"&lt;="&amp;'02_SETARI'!$B$6))</f>
        <v/>
      </c>
      <c r="G70" s="69">
        <f>IF($A70="","",IFERROR($F70/$C70,""))</f>
        <v/>
      </c>
      <c r="H70" s="69">
        <f>IF($A70="","",IFERROR($C70/SUMIFS('10_VANZARI'!$E$5:$E$604,'10_VANZARI'!$A$5:$A$604,"&gt;="&amp;'02_SETARI'!$B$5,'10_VANZARI'!$A$5:$A$604,"&lt;="&amp;'02_SETARI'!$B$6),""))</f>
        <v/>
      </c>
      <c r="I70" s="70">
        <f>IF($A70="","",IFERROR(IF(SUMPRODUCT(MAX(('10_VANZARI'!$B$5:$B$604=$A70)*('10_VANZARI'!$E$5:$E$604&lt;&gt;"")*'10_VANZARI'!$A$5:$A$604))=0,"",SUMPRODUCT(MAX(('10_VANZARI'!$B$5:$B$604=$A70)*('10_VANZARI'!$E$5:$E$604&lt;&gt;"")*'10_VANZARI'!$A$5:$A$604))),""))</f>
        <v/>
      </c>
      <c r="J70" s="68">
        <f>IF(OR($A70="",$I70=""),"",'02_SETARI'!$B$19-$I70)</f>
        <v/>
      </c>
      <c r="K70" s="68">
        <f>IF($A70="","",IFERROR(IF(INDEX('11_CLIENTI'!$D$5:$D$124,MATCH($A70,'11_CLIENTI'!$A$5:$A$124,0))="","",INDEX('11_CLIENTI'!$D$5:$D$124,MATCH($A70,'11_CLIENTI'!$A$5:$A$124,0))),""))</f>
        <v/>
      </c>
      <c r="L70" s="67">
        <f>IF($A70="","",IF(AND($K70&lt;&gt;"",$K70&lt;='02_SETARI'!$B$18),"Nemulțumit",IF(AND($D70&gt;0,$C70=0),"Nu mai cumpără",IF(AND($J70&lt;&gt;"",$J70&gt;'02_SETARI'!$B$17,$D70&gt;0),"Adormit",IF(AND($E70&lt;&gt;"",$E70&lt;='02_SETARI'!$B$15),"A scăzut",IF(AND($C70&gt;0,$G70&lt;&gt;"",$G70&lt;'02_SETARI'!$B$16),"Marjă mică",IF(AND($E70&lt;&gt;"",$E70&gt;=0.2),"În creștere",IF($C70=0,"Fără activitate","Merge bine"))))))))</f>
        <v/>
      </c>
      <c r="M70" s="67">
        <f>IF($A70="","",IF($L70="Nu mai cumpără","Sună-l săptămâna asta și întreabă direct ce s-a schimbat. Nu trimite email.",IF($L70="Adormit","Sună-l cu un motiv concret: o ofertă, o noutate, o reamintire de sezon.",IF($L70="A scăzut","Întreabă-l dacă a împărțit comenzile cu altcineva. De obicei asta s-a întâmplat.",IF($L70="Nemulțumit","Citește ce a spus în 11_CLIENTI. Rezolvă exact acel lucru, apoi sună-l să-i confirmi. Știi deja cauza — nu mai e nevoie să o cauți.",IF($L70="Marjă mică","Verifică ce discount are și cât te costă să-l servești. Poate merită renegociat.",IF($L70="În creștere","Întreabă-l ce altceva i-ar mai trebui. Acum e momentul, nu peste șase luni.",IF($L70="Fără activitate","Client în listă, dar fără vânzări în perioadă. Verifică dacă mai e client.","Nimic urgent. Ține-l cald."))))))))</f>
        <v/>
      </c>
      <c r="N70" s="68">
        <f>IF($A70="","",IFERROR(IF($L70="Nu mai cumpără",$D70,IF($L70="Adormit",$D70,IF($L70="A scăzut",MAX(0,$D70-$C70),IF($L70="Marjă mică",MAX(0,$C70*('02_SETARI'!$B$16-$G70)),$C70*0.15)))),""))</f>
        <v/>
      </c>
      <c r="O70">
        <f>IF(OR($A70="",$C70="",N($C70)&lt;=0),"",$C70+ROW()/1000000)</f>
        <v/>
      </c>
    </row>
    <row r="71">
      <c r="A71" s="67">
        <f>IF('11_CLIENTI'!$A71="","",'11_CLIENTI'!$A71)</f>
        <v/>
      </c>
      <c r="B71" s="67">
        <f>IF($A71="","",IFERROR(INDEX('11_CLIENTI'!$B$5:$B$124,MATCH($A71,'11_CLIENTI'!$A$5:$A$124,0)),""))</f>
        <v/>
      </c>
      <c r="C71" s="68">
        <f>IF($A71="","",SUMIFS('10_VANZARI'!$E$5:$E$604,'10_VANZARI'!$B$5:$B$604,$A71,'10_VANZARI'!$A$5:$A$604,"&gt;="&amp;'02_SETARI'!$B$5,'10_VANZARI'!$A$5:$A$604,"&lt;="&amp;'02_SETARI'!$B$6))</f>
        <v/>
      </c>
      <c r="D71" s="68">
        <f>IF($A71="","",SUMIFS('10_VANZARI'!$E$5:$E$604,'10_VANZARI'!$B$5:$B$604,$A71,'10_VANZARI'!$A$5:$A$604,"&gt;="&amp;'02_SETARI'!$B$7,'10_VANZARI'!$A$5:$A$604,"&lt;="&amp;'02_SETARI'!$B$8))</f>
        <v/>
      </c>
      <c r="E71" s="69">
        <f>IF($A71="","",IFERROR(IF($D71=0,"",($C71-$D71)/ABS($D71)),""))</f>
        <v/>
      </c>
      <c r="F71" s="68">
        <f>IF($A71="","",SUMIFS('10_VANZARI'!$G$5:$G$604,'10_VANZARI'!$B$5:$B$604,$A71,'10_VANZARI'!$A$5:$A$604,"&gt;="&amp;'02_SETARI'!$B$5,'10_VANZARI'!$A$5:$A$604,"&lt;="&amp;'02_SETARI'!$B$6))</f>
        <v/>
      </c>
      <c r="G71" s="69">
        <f>IF($A71="","",IFERROR($F71/$C71,""))</f>
        <v/>
      </c>
      <c r="H71" s="69">
        <f>IF($A71="","",IFERROR($C71/SUMIFS('10_VANZARI'!$E$5:$E$604,'10_VANZARI'!$A$5:$A$604,"&gt;="&amp;'02_SETARI'!$B$5,'10_VANZARI'!$A$5:$A$604,"&lt;="&amp;'02_SETARI'!$B$6),""))</f>
        <v/>
      </c>
      <c r="I71" s="70">
        <f>IF($A71="","",IFERROR(IF(SUMPRODUCT(MAX(('10_VANZARI'!$B$5:$B$604=$A71)*('10_VANZARI'!$E$5:$E$604&lt;&gt;"")*'10_VANZARI'!$A$5:$A$604))=0,"",SUMPRODUCT(MAX(('10_VANZARI'!$B$5:$B$604=$A71)*('10_VANZARI'!$E$5:$E$604&lt;&gt;"")*'10_VANZARI'!$A$5:$A$604))),""))</f>
        <v/>
      </c>
      <c r="J71" s="68">
        <f>IF(OR($A71="",$I71=""),"",'02_SETARI'!$B$19-$I71)</f>
        <v/>
      </c>
      <c r="K71" s="68">
        <f>IF($A71="","",IFERROR(IF(INDEX('11_CLIENTI'!$D$5:$D$124,MATCH($A71,'11_CLIENTI'!$A$5:$A$124,0))="","",INDEX('11_CLIENTI'!$D$5:$D$124,MATCH($A71,'11_CLIENTI'!$A$5:$A$124,0))),""))</f>
        <v/>
      </c>
      <c r="L71" s="67">
        <f>IF($A71="","",IF(AND($K71&lt;&gt;"",$K71&lt;='02_SETARI'!$B$18),"Nemulțumit",IF(AND($D71&gt;0,$C71=0),"Nu mai cumpără",IF(AND($J71&lt;&gt;"",$J71&gt;'02_SETARI'!$B$17,$D71&gt;0),"Adormit",IF(AND($E71&lt;&gt;"",$E71&lt;='02_SETARI'!$B$15),"A scăzut",IF(AND($C71&gt;0,$G71&lt;&gt;"",$G71&lt;'02_SETARI'!$B$16),"Marjă mică",IF(AND($E71&lt;&gt;"",$E71&gt;=0.2),"În creștere",IF($C71=0,"Fără activitate","Merge bine"))))))))</f>
        <v/>
      </c>
      <c r="M71" s="67">
        <f>IF($A71="","",IF($L71="Nu mai cumpără","Sună-l săptămâna asta și întreabă direct ce s-a schimbat. Nu trimite email.",IF($L71="Adormit","Sună-l cu un motiv concret: o ofertă, o noutate, o reamintire de sezon.",IF($L71="A scăzut","Întreabă-l dacă a împărțit comenzile cu altcineva. De obicei asta s-a întâmplat.",IF($L71="Nemulțumit","Citește ce a spus în 11_CLIENTI. Rezolvă exact acel lucru, apoi sună-l să-i confirmi. Știi deja cauza — nu mai e nevoie să o cauți.",IF($L71="Marjă mică","Verifică ce discount are și cât te costă să-l servești. Poate merită renegociat.",IF($L71="În creștere","Întreabă-l ce altceva i-ar mai trebui. Acum e momentul, nu peste șase luni.",IF($L71="Fără activitate","Client în listă, dar fără vânzări în perioadă. Verifică dacă mai e client.","Nimic urgent. Ține-l cald."))))))))</f>
        <v/>
      </c>
      <c r="N71" s="68">
        <f>IF($A71="","",IFERROR(IF($L71="Nu mai cumpără",$D71,IF($L71="Adormit",$D71,IF($L71="A scăzut",MAX(0,$D71-$C71),IF($L71="Marjă mică",MAX(0,$C71*('02_SETARI'!$B$16-$G71)),$C71*0.15)))),""))</f>
        <v/>
      </c>
      <c r="O71">
        <f>IF(OR($A71="",$C71="",N($C71)&lt;=0),"",$C71+ROW()/1000000)</f>
        <v/>
      </c>
    </row>
    <row r="72">
      <c r="A72" s="67">
        <f>IF('11_CLIENTI'!$A72="","",'11_CLIENTI'!$A72)</f>
        <v/>
      </c>
      <c r="B72" s="67">
        <f>IF($A72="","",IFERROR(INDEX('11_CLIENTI'!$B$5:$B$124,MATCH($A72,'11_CLIENTI'!$A$5:$A$124,0)),""))</f>
        <v/>
      </c>
      <c r="C72" s="68">
        <f>IF($A72="","",SUMIFS('10_VANZARI'!$E$5:$E$604,'10_VANZARI'!$B$5:$B$604,$A72,'10_VANZARI'!$A$5:$A$604,"&gt;="&amp;'02_SETARI'!$B$5,'10_VANZARI'!$A$5:$A$604,"&lt;="&amp;'02_SETARI'!$B$6))</f>
        <v/>
      </c>
      <c r="D72" s="68">
        <f>IF($A72="","",SUMIFS('10_VANZARI'!$E$5:$E$604,'10_VANZARI'!$B$5:$B$604,$A72,'10_VANZARI'!$A$5:$A$604,"&gt;="&amp;'02_SETARI'!$B$7,'10_VANZARI'!$A$5:$A$604,"&lt;="&amp;'02_SETARI'!$B$8))</f>
        <v/>
      </c>
      <c r="E72" s="69">
        <f>IF($A72="","",IFERROR(IF($D72=0,"",($C72-$D72)/ABS($D72)),""))</f>
        <v/>
      </c>
      <c r="F72" s="68">
        <f>IF($A72="","",SUMIFS('10_VANZARI'!$G$5:$G$604,'10_VANZARI'!$B$5:$B$604,$A72,'10_VANZARI'!$A$5:$A$604,"&gt;="&amp;'02_SETARI'!$B$5,'10_VANZARI'!$A$5:$A$604,"&lt;="&amp;'02_SETARI'!$B$6))</f>
        <v/>
      </c>
      <c r="G72" s="69">
        <f>IF($A72="","",IFERROR($F72/$C72,""))</f>
        <v/>
      </c>
      <c r="H72" s="69">
        <f>IF($A72="","",IFERROR($C72/SUMIFS('10_VANZARI'!$E$5:$E$604,'10_VANZARI'!$A$5:$A$604,"&gt;="&amp;'02_SETARI'!$B$5,'10_VANZARI'!$A$5:$A$604,"&lt;="&amp;'02_SETARI'!$B$6),""))</f>
        <v/>
      </c>
      <c r="I72" s="70">
        <f>IF($A72="","",IFERROR(IF(SUMPRODUCT(MAX(('10_VANZARI'!$B$5:$B$604=$A72)*('10_VANZARI'!$E$5:$E$604&lt;&gt;"")*'10_VANZARI'!$A$5:$A$604))=0,"",SUMPRODUCT(MAX(('10_VANZARI'!$B$5:$B$604=$A72)*('10_VANZARI'!$E$5:$E$604&lt;&gt;"")*'10_VANZARI'!$A$5:$A$604))),""))</f>
        <v/>
      </c>
      <c r="J72" s="68">
        <f>IF(OR($A72="",$I72=""),"",'02_SETARI'!$B$19-$I72)</f>
        <v/>
      </c>
      <c r="K72" s="68">
        <f>IF($A72="","",IFERROR(IF(INDEX('11_CLIENTI'!$D$5:$D$124,MATCH($A72,'11_CLIENTI'!$A$5:$A$124,0))="","",INDEX('11_CLIENTI'!$D$5:$D$124,MATCH($A72,'11_CLIENTI'!$A$5:$A$124,0))),""))</f>
        <v/>
      </c>
      <c r="L72" s="67">
        <f>IF($A72="","",IF(AND($K72&lt;&gt;"",$K72&lt;='02_SETARI'!$B$18),"Nemulțumit",IF(AND($D72&gt;0,$C72=0),"Nu mai cumpără",IF(AND($J72&lt;&gt;"",$J72&gt;'02_SETARI'!$B$17,$D72&gt;0),"Adormit",IF(AND($E72&lt;&gt;"",$E72&lt;='02_SETARI'!$B$15),"A scăzut",IF(AND($C72&gt;0,$G72&lt;&gt;"",$G72&lt;'02_SETARI'!$B$16),"Marjă mică",IF(AND($E72&lt;&gt;"",$E72&gt;=0.2),"În creștere",IF($C72=0,"Fără activitate","Merge bine"))))))))</f>
        <v/>
      </c>
      <c r="M72" s="67">
        <f>IF($A72="","",IF($L72="Nu mai cumpără","Sună-l săptămâna asta și întreabă direct ce s-a schimbat. Nu trimite email.",IF($L72="Adormit","Sună-l cu un motiv concret: o ofertă, o noutate, o reamintire de sezon.",IF($L72="A scăzut","Întreabă-l dacă a împărțit comenzile cu altcineva. De obicei asta s-a întâmplat.",IF($L72="Nemulțumit","Citește ce a spus în 11_CLIENTI. Rezolvă exact acel lucru, apoi sună-l să-i confirmi. Știi deja cauza — nu mai e nevoie să o cauți.",IF($L72="Marjă mică","Verifică ce discount are și cât te costă să-l servești. Poate merită renegociat.",IF($L72="În creștere","Întreabă-l ce altceva i-ar mai trebui. Acum e momentul, nu peste șase luni.",IF($L72="Fără activitate","Client în listă, dar fără vânzări în perioadă. Verifică dacă mai e client.","Nimic urgent. Ține-l cald."))))))))</f>
        <v/>
      </c>
      <c r="N72" s="68">
        <f>IF($A72="","",IFERROR(IF($L72="Nu mai cumpără",$D72,IF($L72="Adormit",$D72,IF($L72="A scăzut",MAX(0,$D72-$C72),IF($L72="Marjă mică",MAX(0,$C72*('02_SETARI'!$B$16-$G72)),$C72*0.15)))),""))</f>
        <v/>
      </c>
      <c r="O72">
        <f>IF(OR($A72="",$C72="",N($C72)&lt;=0),"",$C72+ROW()/1000000)</f>
        <v/>
      </c>
    </row>
    <row r="73">
      <c r="A73" s="67">
        <f>IF('11_CLIENTI'!$A73="","",'11_CLIENTI'!$A73)</f>
        <v/>
      </c>
      <c r="B73" s="67">
        <f>IF($A73="","",IFERROR(INDEX('11_CLIENTI'!$B$5:$B$124,MATCH($A73,'11_CLIENTI'!$A$5:$A$124,0)),""))</f>
        <v/>
      </c>
      <c r="C73" s="68">
        <f>IF($A73="","",SUMIFS('10_VANZARI'!$E$5:$E$604,'10_VANZARI'!$B$5:$B$604,$A73,'10_VANZARI'!$A$5:$A$604,"&gt;="&amp;'02_SETARI'!$B$5,'10_VANZARI'!$A$5:$A$604,"&lt;="&amp;'02_SETARI'!$B$6))</f>
        <v/>
      </c>
      <c r="D73" s="68">
        <f>IF($A73="","",SUMIFS('10_VANZARI'!$E$5:$E$604,'10_VANZARI'!$B$5:$B$604,$A73,'10_VANZARI'!$A$5:$A$604,"&gt;="&amp;'02_SETARI'!$B$7,'10_VANZARI'!$A$5:$A$604,"&lt;="&amp;'02_SETARI'!$B$8))</f>
        <v/>
      </c>
      <c r="E73" s="69">
        <f>IF($A73="","",IFERROR(IF($D73=0,"",($C73-$D73)/ABS($D73)),""))</f>
        <v/>
      </c>
      <c r="F73" s="68">
        <f>IF($A73="","",SUMIFS('10_VANZARI'!$G$5:$G$604,'10_VANZARI'!$B$5:$B$604,$A73,'10_VANZARI'!$A$5:$A$604,"&gt;="&amp;'02_SETARI'!$B$5,'10_VANZARI'!$A$5:$A$604,"&lt;="&amp;'02_SETARI'!$B$6))</f>
        <v/>
      </c>
      <c r="G73" s="69">
        <f>IF($A73="","",IFERROR($F73/$C73,""))</f>
        <v/>
      </c>
      <c r="H73" s="69">
        <f>IF($A73="","",IFERROR($C73/SUMIFS('10_VANZARI'!$E$5:$E$604,'10_VANZARI'!$A$5:$A$604,"&gt;="&amp;'02_SETARI'!$B$5,'10_VANZARI'!$A$5:$A$604,"&lt;="&amp;'02_SETARI'!$B$6),""))</f>
        <v/>
      </c>
      <c r="I73" s="70">
        <f>IF($A73="","",IFERROR(IF(SUMPRODUCT(MAX(('10_VANZARI'!$B$5:$B$604=$A73)*('10_VANZARI'!$E$5:$E$604&lt;&gt;"")*'10_VANZARI'!$A$5:$A$604))=0,"",SUMPRODUCT(MAX(('10_VANZARI'!$B$5:$B$604=$A73)*('10_VANZARI'!$E$5:$E$604&lt;&gt;"")*'10_VANZARI'!$A$5:$A$604))),""))</f>
        <v/>
      </c>
      <c r="J73" s="68">
        <f>IF(OR($A73="",$I73=""),"",'02_SETARI'!$B$19-$I73)</f>
        <v/>
      </c>
      <c r="K73" s="68">
        <f>IF($A73="","",IFERROR(IF(INDEX('11_CLIENTI'!$D$5:$D$124,MATCH($A73,'11_CLIENTI'!$A$5:$A$124,0))="","",INDEX('11_CLIENTI'!$D$5:$D$124,MATCH($A73,'11_CLIENTI'!$A$5:$A$124,0))),""))</f>
        <v/>
      </c>
      <c r="L73" s="67">
        <f>IF($A73="","",IF(AND($K73&lt;&gt;"",$K73&lt;='02_SETARI'!$B$18),"Nemulțumit",IF(AND($D73&gt;0,$C73=0),"Nu mai cumpără",IF(AND($J73&lt;&gt;"",$J73&gt;'02_SETARI'!$B$17,$D73&gt;0),"Adormit",IF(AND($E73&lt;&gt;"",$E73&lt;='02_SETARI'!$B$15),"A scăzut",IF(AND($C73&gt;0,$G73&lt;&gt;"",$G73&lt;'02_SETARI'!$B$16),"Marjă mică",IF(AND($E73&lt;&gt;"",$E73&gt;=0.2),"În creștere",IF($C73=0,"Fără activitate","Merge bine"))))))))</f>
        <v/>
      </c>
      <c r="M73" s="67">
        <f>IF($A73="","",IF($L73="Nu mai cumpără","Sună-l săptămâna asta și întreabă direct ce s-a schimbat. Nu trimite email.",IF($L73="Adormit","Sună-l cu un motiv concret: o ofertă, o noutate, o reamintire de sezon.",IF($L73="A scăzut","Întreabă-l dacă a împărțit comenzile cu altcineva. De obicei asta s-a întâmplat.",IF($L73="Nemulțumit","Citește ce a spus în 11_CLIENTI. Rezolvă exact acel lucru, apoi sună-l să-i confirmi. Știi deja cauza — nu mai e nevoie să o cauți.",IF($L73="Marjă mică","Verifică ce discount are și cât te costă să-l servești. Poate merită renegociat.",IF($L73="În creștere","Întreabă-l ce altceva i-ar mai trebui. Acum e momentul, nu peste șase luni.",IF($L73="Fără activitate","Client în listă, dar fără vânzări în perioadă. Verifică dacă mai e client.","Nimic urgent. Ține-l cald."))))))))</f>
        <v/>
      </c>
      <c r="N73" s="68">
        <f>IF($A73="","",IFERROR(IF($L73="Nu mai cumpără",$D73,IF($L73="Adormit",$D73,IF($L73="A scăzut",MAX(0,$D73-$C73),IF($L73="Marjă mică",MAX(0,$C73*('02_SETARI'!$B$16-$G73)),$C73*0.15)))),""))</f>
        <v/>
      </c>
      <c r="O73">
        <f>IF(OR($A73="",$C73="",N($C73)&lt;=0),"",$C73+ROW()/1000000)</f>
        <v/>
      </c>
    </row>
    <row r="74">
      <c r="A74" s="67">
        <f>IF('11_CLIENTI'!$A74="","",'11_CLIENTI'!$A74)</f>
        <v/>
      </c>
      <c r="B74" s="67">
        <f>IF($A74="","",IFERROR(INDEX('11_CLIENTI'!$B$5:$B$124,MATCH($A74,'11_CLIENTI'!$A$5:$A$124,0)),""))</f>
        <v/>
      </c>
      <c r="C74" s="68">
        <f>IF($A74="","",SUMIFS('10_VANZARI'!$E$5:$E$604,'10_VANZARI'!$B$5:$B$604,$A74,'10_VANZARI'!$A$5:$A$604,"&gt;="&amp;'02_SETARI'!$B$5,'10_VANZARI'!$A$5:$A$604,"&lt;="&amp;'02_SETARI'!$B$6))</f>
        <v/>
      </c>
      <c r="D74" s="68">
        <f>IF($A74="","",SUMIFS('10_VANZARI'!$E$5:$E$604,'10_VANZARI'!$B$5:$B$604,$A74,'10_VANZARI'!$A$5:$A$604,"&gt;="&amp;'02_SETARI'!$B$7,'10_VANZARI'!$A$5:$A$604,"&lt;="&amp;'02_SETARI'!$B$8))</f>
        <v/>
      </c>
      <c r="E74" s="69">
        <f>IF($A74="","",IFERROR(IF($D74=0,"",($C74-$D74)/ABS($D74)),""))</f>
        <v/>
      </c>
      <c r="F74" s="68">
        <f>IF($A74="","",SUMIFS('10_VANZARI'!$G$5:$G$604,'10_VANZARI'!$B$5:$B$604,$A74,'10_VANZARI'!$A$5:$A$604,"&gt;="&amp;'02_SETARI'!$B$5,'10_VANZARI'!$A$5:$A$604,"&lt;="&amp;'02_SETARI'!$B$6))</f>
        <v/>
      </c>
      <c r="G74" s="69">
        <f>IF($A74="","",IFERROR($F74/$C74,""))</f>
        <v/>
      </c>
      <c r="H74" s="69">
        <f>IF($A74="","",IFERROR($C74/SUMIFS('10_VANZARI'!$E$5:$E$604,'10_VANZARI'!$A$5:$A$604,"&gt;="&amp;'02_SETARI'!$B$5,'10_VANZARI'!$A$5:$A$604,"&lt;="&amp;'02_SETARI'!$B$6),""))</f>
        <v/>
      </c>
      <c r="I74" s="70">
        <f>IF($A74="","",IFERROR(IF(SUMPRODUCT(MAX(('10_VANZARI'!$B$5:$B$604=$A74)*('10_VANZARI'!$E$5:$E$604&lt;&gt;"")*'10_VANZARI'!$A$5:$A$604))=0,"",SUMPRODUCT(MAX(('10_VANZARI'!$B$5:$B$604=$A74)*('10_VANZARI'!$E$5:$E$604&lt;&gt;"")*'10_VANZARI'!$A$5:$A$604))),""))</f>
        <v/>
      </c>
      <c r="J74" s="68">
        <f>IF(OR($A74="",$I74=""),"",'02_SETARI'!$B$19-$I74)</f>
        <v/>
      </c>
      <c r="K74" s="68">
        <f>IF($A74="","",IFERROR(IF(INDEX('11_CLIENTI'!$D$5:$D$124,MATCH($A74,'11_CLIENTI'!$A$5:$A$124,0))="","",INDEX('11_CLIENTI'!$D$5:$D$124,MATCH($A74,'11_CLIENTI'!$A$5:$A$124,0))),""))</f>
        <v/>
      </c>
      <c r="L74" s="67">
        <f>IF($A74="","",IF(AND($K74&lt;&gt;"",$K74&lt;='02_SETARI'!$B$18),"Nemulțumit",IF(AND($D74&gt;0,$C74=0),"Nu mai cumpără",IF(AND($J74&lt;&gt;"",$J74&gt;'02_SETARI'!$B$17,$D74&gt;0),"Adormit",IF(AND($E74&lt;&gt;"",$E74&lt;='02_SETARI'!$B$15),"A scăzut",IF(AND($C74&gt;0,$G74&lt;&gt;"",$G74&lt;'02_SETARI'!$B$16),"Marjă mică",IF(AND($E74&lt;&gt;"",$E74&gt;=0.2),"În creștere",IF($C74=0,"Fără activitate","Merge bine"))))))))</f>
        <v/>
      </c>
      <c r="M74" s="67">
        <f>IF($A74="","",IF($L74="Nu mai cumpără","Sună-l săptămâna asta și întreabă direct ce s-a schimbat. Nu trimite email.",IF($L74="Adormit","Sună-l cu un motiv concret: o ofertă, o noutate, o reamintire de sezon.",IF($L74="A scăzut","Întreabă-l dacă a împărțit comenzile cu altcineva. De obicei asta s-a întâmplat.",IF($L74="Nemulțumit","Citește ce a spus în 11_CLIENTI. Rezolvă exact acel lucru, apoi sună-l să-i confirmi. Știi deja cauza — nu mai e nevoie să o cauți.",IF($L74="Marjă mică","Verifică ce discount are și cât te costă să-l servești. Poate merită renegociat.",IF($L74="În creștere","Întreabă-l ce altceva i-ar mai trebui. Acum e momentul, nu peste șase luni.",IF($L74="Fără activitate","Client în listă, dar fără vânzări în perioadă. Verifică dacă mai e client.","Nimic urgent. Ține-l cald."))))))))</f>
        <v/>
      </c>
      <c r="N74" s="68">
        <f>IF($A74="","",IFERROR(IF($L74="Nu mai cumpără",$D74,IF($L74="Adormit",$D74,IF($L74="A scăzut",MAX(0,$D74-$C74),IF($L74="Marjă mică",MAX(0,$C74*('02_SETARI'!$B$16-$G74)),$C74*0.15)))),""))</f>
        <v/>
      </c>
      <c r="O74">
        <f>IF(OR($A74="",$C74="",N($C74)&lt;=0),"",$C74+ROW()/1000000)</f>
        <v/>
      </c>
    </row>
    <row r="75">
      <c r="A75" s="67">
        <f>IF('11_CLIENTI'!$A75="","",'11_CLIENTI'!$A75)</f>
        <v/>
      </c>
      <c r="B75" s="67">
        <f>IF($A75="","",IFERROR(INDEX('11_CLIENTI'!$B$5:$B$124,MATCH($A75,'11_CLIENTI'!$A$5:$A$124,0)),""))</f>
        <v/>
      </c>
      <c r="C75" s="68">
        <f>IF($A75="","",SUMIFS('10_VANZARI'!$E$5:$E$604,'10_VANZARI'!$B$5:$B$604,$A75,'10_VANZARI'!$A$5:$A$604,"&gt;="&amp;'02_SETARI'!$B$5,'10_VANZARI'!$A$5:$A$604,"&lt;="&amp;'02_SETARI'!$B$6))</f>
        <v/>
      </c>
      <c r="D75" s="68">
        <f>IF($A75="","",SUMIFS('10_VANZARI'!$E$5:$E$604,'10_VANZARI'!$B$5:$B$604,$A75,'10_VANZARI'!$A$5:$A$604,"&gt;="&amp;'02_SETARI'!$B$7,'10_VANZARI'!$A$5:$A$604,"&lt;="&amp;'02_SETARI'!$B$8))</f>
        <v/>
      </c>
      <c r="E75" s="69">
        <f>IF($A75="","",IFERROR(IF($D75=0,"",($C75-$D75)/ABS($D75)),""))</f>
        <v/>
      </c>
      <c r="F75" s="68">
        <f>IF($A75="","",SUMIFS('10_VANZARI'!$G$5:$G$604,'10_VANZARI'!$B$5:$B$604,$A75,'10_VANZARI'!$A$5:$A$604,"&gt;="&amp;'02_SETARI'!$B$5,'10_VANZARI'!$A$5:$A$604,"&lt;="&amp;'02_SETARI'!$B$6))</f>
        <v/>
      </c>
      <c r="G75" s="69">
        <f>IF($A75="","",IFERROR($F75/$C75,""))</f>
        <v/>
      </c>
      <c r="H75" s="69">
        <f>IF($A75="","",IFERROR($C75/SUMIFS('10_VANZARI'!$E$5:$E$604,'10_VANZARI'!$A$5:$A$604,"&gt;="&amp;'02_SETARI'!$B$5,'10_VANZARI'!$A$5:$A$604,"&lt;="&amp;'02_SETARI'!$B$6),""))</f>
        <v/>
      </c>
      <c r="I75" s="70">
        <f>IF($A75="","",IFERROR(IF(SUMPRODUCT(MAX(('10_VANZARI'!$B$5:$B$604=$A75)*('10_VANZARI'!$E$5:$E$604&lt;&gt;"")*'10_VANZARI'!$A$5:$A$604))=0,"",SUMPRODUCT(MAX(('10_VANZARI'!$B$5:$B$604=$A75)*('10_VANZARI'!$E$5:$E$604&lt;&gt;"")*'10_VANZARI'!$A$5:$A$604))),""))</f>
        <v/>
      </c>
      <c r="J75" s="68">
        <f>IF(OR($A75="",$I75=""),"",'02_SETARI'!$B$19-$I75)</f>
        <v/>
      </c>
      <c r="K75" s="68">
        <f>IF($A75="","",IFERROR(IF(INDEX('11_CLIENTI'!$D$5:$D$124,MATCH($A75,'11_CLIENTI'!$A$5:$A$124,0))="","",INDEX('11_CLIENTI'!$D$5:$D$124,MATCH($A75,'11_CLIENTI'!$A$5:$A$124,0))),""))</f>
        <v/>
      </c>
      <c r="L75" s="67">
        <f>IF($A75="","",IF(AND($K75&lt;&gt;"",$K75&lt;='02_SETARI'!$B$18),"Nemulțumit",IF(AND($D75&gt;0,$C75=0),"Nu mai cumpără",IF(AND($J75&lt;&gt;"",$J75&gt;'02_SETARI'!$B$17,$D75&gt;0),"Adormit",IF(AND($E75&lt;&gt;"",$E75&lt;='02_SETARI'!$B$15),"A scăzut",IF(AND($C75&gt;0,$G75&lt;&gt;"",$G75&lt;'02_SETARI'!$B$16),"Marjă mică",IF(AND($E75&lt;&gt;"",$E75&gt;=0.2),"În creștere",IF($C75=0,"Fără activitate","Merge bine"))))))))</f>
        <v/>
      </c>
      <c r="M75" s="67">
        <f>IF($A75="","",IF($L75="Nu mai cumpără","Sună-l săptămâna asta și întreabă direct ce s-a schimbat. Nu trimite email.",IF($L75="Adormit","Sună-l cu un motiv concret: o ofertă, o noutate, o reamintire de sezon.",IF($L75="A scăzut","Întreabă-l dacă a împărțit comenzile cu altcineva. De obicei asta s-a întâmplat.",IF($L75="Nemulțumit","Citește ce a spus în 11_CLIENTI. Rezolvă exact acel lucru, apoi sună-l să-i confirmi. Știi deja cauza — nu mai e nevoie să o cauți.",IF($L75="Marjă mică","Verifică ce discount are și cât te costă să-l servești. Poate merită renegociat.",IF($L75="În creștere","Întreabă-l ce altceva i-ar mai trebui. Acum e momentul, nu peste șase luni.",IF($L75="Fără activitate","Client în listă, dar fără vânzări în perioadă. Verifică dacă mai e client.","Nimic urgent. Ține-l cald."))))))))</f>
        <v/>
      </c>
      <c r="N75" s="68">
        <f>IF($A75="","",IFERROR(IF($L75="Nu mai cumpără",$D75,IF($L75="Adormit",$D75,IF($L75="A scăzut",MAX(0,$D75-$C75),IF($L75="Marjă mică",MAX(0,$C75*('02_SETARI'!$B$16-$G75)),$C75*0.15)))),""))</f>
        <v/>
      </c>
      <c r="O75">
        <f>IF(OR($A75="",$C75="",N($C75)&lt;=0),"",$C75+ROW()/1000000)</f>
        <v/>
      </c>
    </row>
    <row r="76">
      <c r="A76" s="67">
        <f>IF('11_CLIENTI'!$A76="","",'11_CLIENTI'!$A76)</f>
        <v/>
      </c>
      <c r="B76" s="67">
        <f>IF($A76="","",IFERROR(INDEX('11_CLIENTI'!$B$5:$B$124,MATCH($A76,'11_CLIENTI'!$A$5:$A$124,0)),""))</f>
        <v/>
      </c>
      <c r="C76" s="68">
        <f>IF($A76="","",SUMIFS('10_VANZARI'!$E$5:$E$604,'10_VANZARI'!$B$5:$B$604,$A76,'10_VANZARI'!$A$5:$A$604,"&gt;="&amp;'02_SETARI'!$B$5,'10_VANZARI'!$A$5:$A$604,"&lt;="&amp;'02_SETARI'!$B$6))</f>
        <v/>
      </c>
      <c r="D76" s="68">
        <f>IF($A76="","",SUMIFS('10_VANZARI'!$E$5:$E$604,'10_VANZARI'!$B$5:$B$604,$A76,'10_VANZARI'!$A$5:$A$604,"&gt;="&amp;'02_SETARI'!$B$7,'10_VANZARI'!$A$5:$A$604,"&lt;="&amp;'02_SETARI'!$B$8))</f>
        <v/>
      </c>
      <c r="E76" s="69">
        <f>IF($A76="","",IFERROR(IF($D76=0,"",($C76-$D76)/ABS($D76)),""))</f>
        <v/>
      </c>
      <c r="F76" s="68">
        <f>IF($A76="","",SUMIFS('10_VANZARI'!$G$5:$G$604,'10_VANZARI'!$B$5:$B$604,$A76,'10_VANZARI'!$A$5:$A$604,"&gt;="&amp;'02_SETARI'!$B$5,'10_VANZARI'!$A$5:$A$604,"&lt;="&amp;'02_SETARI'!$B$6))</f>
        <v/>
      </c>
      <c r="G76" s="69">
        <f>IF($A76="","",IFERROR($F76/$C76,""))</f>
        <v/>
      </c>
      <c r="H76" s="69">
        <f>IF($A76="","",IFERROR($C76/SUMIFS('10_VANZARI'!$E$5:$E$604,'10_VANZARI'!$A$5:$A$604,"&gt;="&amp;'02_SETARI'!$B$5,'10_VANZARI'!$A$5:$A$604,"&lt;="&amp;'02_SETARI'!$B$6),""))</f>
        <v/>
      </c>
      <c r="I76" s="70">
        <f>IF($A76="","",IFERROR(IF(SUMPRODUCT(MAX(('10_VANZARI'!$B$5:$B$604=$A76)*('10_VANZARI'!$E$5:$E$604&lt;&gt;"")*'10_VANZARI'!$A$5:$A$604))=0,"",SUMPRODUCT(MAX(('10_VANZARI'!$B$5:$B$604=$A76)*('10_VANZARI'!$E$5:$E$604&lt;&gt;"")*'10_VANZARI'!$A$5:$A$604))),""))</f>
        <v/>
      </c>
      <c r="J76" s="68">
        <f>IF(OR($A76="",$I76=""),"",'02_SETARI'!$B$19-$I76)</f>
        <v/>
      </c>
      <c r="K76" s="68">
        <f>IF($A76="","",IFERROR(IF(INDEX('11_CLIENTI'!$D$5:$D$124,MATCH($A76,'11_CLIENTI'!$A$5:$A$124,0))="","",INDEX('11_CLIENTI'!$D$5:$D$124,MATCH($A76,'11_CLIENTI'!$A$5:$A$124,0))),""))</f>
        <v/>
      </c>
      <c r="L76" s="67">
        <f>IF($A76="","",IF(AND($K76&lt;&gt;"",$K76&lt;='02_SETARI'!$B$18),"Nemulțumit",IF(AND($D76&gt;0,$C76=0),"Nu mai cumpără",IF(AND($J76&lt;&gt;"",$J76&gt;'02_SETARI'!$B$17,$D76&gt;0),"Adormit",IF(AND($E76&lt;&gt;"",$E76&lt;='02_SETARI'!$B$15),"A scăzut",IF(AND($C76&gt;0,$G76&lt;&gt;"",$G76&lt;'02_SETARI'!$B$16),"Marjă mică",IF(AND($E76&lt;&gt;"",$E76&gt;=0.2),"În creștere",IF($C76=0,"Fără activitate","Merge bine"))))))))</f>
        <v/>
      </c>
      <c r="M76" s="67">
        <f>IF($A76="","",IF($L76="Nu mai cumpără","Sună-l săptămâna asta și întreabă direct ce s-a schimbat. Nu trimite email.",IF($L76="Adormit","Sună-l cu un motiv concret: o ofertă, o noutate, o reamintire de sezon.",IF($L76="A scăzut","Întreabă-l dacă a împărțit comenzile cu altcineva. De obicei asta s-a întâmplat.",IF($L76="Nemulțumit","Citește ce a spus în 11_CLIENTI. Rezolvă exact acel lucru, apoi sună-l să-i confirmi. Știi deja cauza — nu mai e nevoie să o cauți.",IF($L76="Marjă mică","Verifică ce discount are și cât te costă să-l servești. Poate merită renegociat.",IF($L76="În creștere","Întreabă-l ce altceva i-ar mai trebui. Acum e momentul, nu peste șase luni.",IF($L76="Fără activitate","Client în listă, dar fără vânzări în perioadă. Verifică dacă mai e client.","Nimic urgent. Ține-l cald."))))))))</f>
        <v/>
      </c>
      <c r="N76" s="68">
        <f>IF($A76="","",IFERROR(IF($L76="Nu mai cumpără",$D76,IF($L76="Adormit",$D76,IF($L76="A scăzut",MAX(0,$D76-$C76),IF($L76="Marjă mică",MAX(0,$C76*('02_SETARI'!$B$16-$G76)),$C76*0.15)))),""))</f>
        <v/>
      </c>
      <c r="O76">
        <f>IF(OR($A76="",$C76="",N($C76)&lt;=0),"",$C76+ROW()/1000000)</f>
        <v/>
      </c>
    </row>
    <row r="77">
      <c r="A77" s="67">
        <f>IF('11_CLIENTI'!$A77="","",'11_CLIENTI'!$A77)</f>
        <v/>
      </c>
      <c r="B77" s="67">
        <f>IF($A77="","",IFERROR(INDEX('11_CLIENTI'!$B$5:$B$124,MATCH($A77,'11_CLIENTI'!$A$5:$A$124,0)),""))</f>
        <v/>
      </c>
      <c r="C77" s="68">
        <f>IF($A77="","",SUMIFS('10_VANZARI'!$E$5:$E$604,'10_VANZARI'!$B$5:$B$604,$A77,'10_VANZARI'!$A$5:$A$604,"&gt;="&amp;'02_SETARI'!$B$5,'10_VANZARI'!$A$5:$A$604,"&lt;="&amp;'02_SETARI'!$B$6))</f>
        <v/>
      </c>
      <c r="D77" s="68">
        <f>IF($A77="","",SUMIFS('10_VANZARI'!$E$5:$E$604,'10_VANZARI'!$B$5:$B$604,$A77,'10_VANZARI'!$A$5:$A$604,"&gt;="&amp;'02_SETARI'!$B$7,'10_VANZARI'!$A$5:$A$604,"&lt;="&amp;'02_SETARI'!$B$8))</f>
        <v/>
      </c>
      <c r="E77" s="69">
        <f>IF($A77="","",IFERROR(IF($D77=0,"",($C77-$D77)/ABS($D77)),""))</f>
        <v/>
      </c>
      <c r="F77" s="68">
        <f>IF($A77="","",SUMIFS('10_VANZARI'!$G$5:$G$604,'10_VANZARI'!$B$5:$B$604,$A77,'10_VANZARI'!$A$5:$A$604,"&gt;="&amp;'02_SETARI'!$B$5,'10_VANZARI'!$A$5:$A$604,"&lt;="&amp;'02_SETARI'!$B$6))</f>
        <v/>
      </c>
      <c r="G77" s="69">
        <f>IF($A77="","",IFERROR($F77/$C77,""))</f>
        <v/>
      </c>
      <c r="H77" s="69">
        <f>IF($A77="","",IFERROR($C77/SUMIFS('10_VANZARI'!$E$5:$E$604,'10_VANZARI'!$A$5:$A$604,"&gt;="&amp;'02_SETARI'!$B$5,'10_VANZARI'!$A$5:$A$604,"&lt;="&amp;'02_SETARI'!$B$6),""))</f>
        <v/>
      </c>
      <c r="I77" s="70">
        <f>IF($A77="","",IFERROR(IF(SUMPRODUCT(MAX(('10_VANZARI'!$B$5:$B$604=$A77)*('10_VANZARI'!$E$5:$E$604&lt;&gt;"")*'10_VANZARI'!$A$5:$A$604))=0,"",SUMPRODUCT(MAX(('10_VANZARI'!$B$5:$B$604=$A77)*('10_VANZARI'!$E$5:$E$604&lt;&gt;"")*'10_VANZARI'!$A$5:$A$604))),""))</f>
        <v/>
      </c>
      <c r="J77" s="68">
        <f>IF(OR($A77="",$I77=""),"",'02_SETARI'!$B$19-$I77)</f>
        <v/>
      </c>
      <c r="K77" s="68">
        <f>IF($A77="","",IFERROR(IF(INDEX('11_CLIENTI'!$D$5:$D$124,MATCH($A77,'11_CLIENTI'!$A$5:$A$124,0))="","",INDEX('11_CLIENTI'!$D$5:$D$124,MATCH($A77,'11_CLIENTI'!$A$5:$A$124,0))),""))</f>
        <v/>
      </c>
      <c r="L77" s="67">
        <f>IF($A77="","",IF(AND($K77&lt;&gt;"",$K77&lt;='02_SETARI'!$B$18),"Nemulțumit",IF(AND($D77&gt;0,$C77=0),"Nu mai cumpără",IF(AND($J77&lt;&gt;"",$J77&gt;'02_SETARI'!$B$17,$D77&gt;0),"Adormit",IF(AND($E77&lt;&gt;"",$E77&lt;='02_SETARI'!$B$15),"A scăzut",IF(AND($C77&gt;0,$G77&lt;&gt;"",$G77&lt;'02_SETARI'!$B$16),"Marjă mică",IF(AND($E77&lt;&gt;"",$E77&gt;=0.2),"În creștere",IF($C77=0,"Fără activitate","Merge bine"))))))))</f>
        <v/>
      </c>
      <c r="M77" s="67">
        <f>IF($A77="","",IF($L77="Nu mai cumpără","Sună-l săptămâna asta și întreabă direct ce s-a schimbat. Nu trimite email.",IF($L77="Adormit","Sună-l cu un motiv concret: o ofertă, o noutate, o reamintire de sezon.",IF($L77="A scăzut","Întreabă-l dacă a împărțit comenzile cu altcineva. De obicei asta s-a întâmplat.",IF($L77="Nemulțumit","Citește ce a spus în 11_CLIENTI. Rezolvă exact acel lucru, apoi sună-l să-i confirmi. Știi deja cauza — nu mai e nevoie să o cauți.",IF($L77="Marjă mică","Verifică ce discount are și cât te costă să-l servești. Poate merită renegociat.",IF($L77="În creștere","Întreabă-l ce altceva i-ar mai trebui. Acum e momentul, nu peste șase luni.",IF($L77="Fără activitate","Client în listă, dar fără vânzări în perioadă. Verifică dacă mai e client.","Nimic urgent. Ține-l cald."))))))))</f>
        <v/>
      </c>
      <c r="N77" s="68">
        <f>IF($A77="","",IFERROR(IF($L77="Nu mai cumpără",$D77,IF($L77="Adormit",$D77,IF($L77="A scăzut",MAX(0,$D77-$C77),IF($L77="Marjă mică",MAX(0,$C77*('02_SETARI'!$B$16-$G77)),$C77*0.15)))),""))</f>
        <v/>
      </c>
      <c r="O77">
        <f>IF(OR($A77="",$C77="",N($C77)&lt;=0),"",$C77+ROW()/1000000)</f>
        <v/>
      </c>
    </row>
    <row r="78">
      <c r="A78" s="67">
        <f>IF('11_CLIENTI'!$A78="","",'11_CLIENTI'!$A78)</f>
        <v/>
      </c>
      <c r="B78" s="67">
        <f>IF($A78="","",IFERROR(INDEX('11_CLIENTI'!$B$5:$B$124,MATCH($A78,'11_CLIENTI'!$A$5:$A$124,0)),""))</f>
        <v/>
      </c>
      <c r="C78" s="68">
        <f>IF($A78="","",SUMIFS('10_VANZARI'!$E$5:$E$604,'10_VANZARI'!$B$5:$B$604,$A78,'10_VANZARI'!$A$5:$A$604,"&gt;="&amp;'02_SETARI'!$B$5,'10_VANZARI'!$A$5:$A$604,"&lt;="&amp;'02_SETARI'!$B$6))</f>
        <v/>
      </c>
      <c r="D78" s="68">
        <f>IF($A78="","",SUMIFS('10_VANZARI'!$E$5:$E$604,'10_VANZARI'!$B$5:$B$604,$A78,'10_VANZARI'!$A$5:$A$604,"&gt;="&amp;'02_SETARI'!$B$7,'10_VANZARI'!$A$5:$A$604,"&lt;="&amp;'02_SETARI'!$B$8))</f>
        <v/>
      </c>
      <c r="E78" s="69">
        <f>IF($A78="","",IFERROR(IF($D78=0,"",($C78-$D78)/ABS($D78)),""))</f>
        <v/>
      </c>
      <c r="F78" s="68">
        <f>IF($A78="","",SUMIFS('10_VANZARI'!$G$5:$G$604,'10_VANZARI'!$B$5:$B$604,$A78,'10_VANZARI'!$A$5:$A$604,"&gt;="&amp;'02_SETARI'!$B$5,'10_VANZARI'!$A$5:$A$604,"&lt;="&amp;'02_SETARI'!$B$6))</f>
        <v/>
      </c>
      <c r="G78" s="69">
        <f>IF($A78="","",IFERROR($F78/$C78,""))</f>
        <v/>
      </c>
      <c r="H78" s="69">
        <f>IF($A78="","",IFERROR($C78/SUMIFS('10_VANZARI'!$E$5:$E$604,'10_VANZARI'!$A$5:$A$604,"&gt;="&amp;'02_SETARI'!$B$5,'10_VANZARI'!$A$5:$A$604,"&lt;="&amp;'02_SETARI'!$B$6),""))</f>
        <v/>
      </c>
      <c r="I78" s="70">
        <f>IF($A78="","",IFERROR(IF(SUMPRODUCT(MAX(('10_VANZARI'!$B$5:$B$604=$A78)*('10_VANZARI'!$E$5:$E$604&lt;&gt;"")*'10_VANZARI'!$A$5:$A$604))=0,"",SUMPRODUCT(MAX(('10_VANZARI'!$B$5:$B$604=$A78)*('10_VANZARI'!$E$5:$E$604&lt;&gt;"")*'10_VANZARI'!$A$5:$A$604))),""))</f>
        <v/>
      </c>
      <c r="J78" s="68">
        <f>IF(OR($A78="",$I78=""),"",'02_SETARI'!$B$19-$I78)</f>
        <v/>
      </c>
      <c r="K78" s="68">
        <f>IF($A78="","",IFERROR(IF(INDEX('11_CLIENTI'!$D$5:$D$124,MATCH($A78,'11_CLIENTI'!$A$5:$A$124,0))="","",INDEX('11_CLIENTI'!$D$5:$D$124,MATCH($A78,'11_CLIENTI'!$A$5:$A$124,0))),""))</f>
        <v/>
      </c>
      <c r="L78" s="67">
        <f>IF($A78="","",IF(AND($K78&lt;&gt;"",$K78&lt;='02_SETARI'!$B$18),"Nemulțumit",IF(AND($D78&gt;0,$C78=0),"Nu mai cumpără",IF(AND($J78&lt;&gt;"",$J78&gt;'02_SETARI'!$B$17,$D78&gt;0),"Adormit",IF(AND($E78&lt;&gt;"",$E78&lt;='02_SETARI'!$B$15),"A scăzut",IF(AND($C78&gt;0,$G78&lt;&gt;"",$G78&lt;'02_SETARI'!$B$16),"Marjă mică",IF(AND($E78&lt;&gt;"",$E78&gt;=0.2),"În creștere",IF($C78=0,"Fără activitate","Merge bine"))))))))</f>
        <v/>
      </c>
      <c r="M78" s="67">
        <f>IF($A78="","",IF($L78="Nu mai cumpără","Sună-l săptămâna asta și întreabă direct ce s-a schimbat. Nu trimite email.",IF($L78="Adormit","Sună-l cu un motiv concret: o ofertă, o noutate, o reamintire de sezon.",IF($L78="A scăzut","Întreabă-l dacă a împărțit comenzile cu altcineva. De obicei asta s-a întâmplat.",IF($L78="Nemulțumit","Citește ce a spus în 11_CLIENTI. Rezolvă exact acel lucru, apoi sună-l să-i confirmi. Știi deja cauza — nu mai e nevoie să o cauți.",IF($L78="Marjă mică","Verifică ce discount are și cât te costă să-l servești. Poate merită renegociat.",IF($L78="În creștere","Întreabă-l ce altceva i-ar mai trebui. Acum e momentul, nu peste șase luni.",IF($L78="Fără activitate","Client în listă, dar fără vânzări în perioadă. Verifică dacă mai e client.","Nimic urgent. Ține-l cald."))))))))</f>
        <v/>
      </c>
      <c r="N78" s="68">
        <f>IF($A78="","",IFERROR(IF($L78="Nu mai cumpără",$D78,IF($L78="Adormit",$D78,IF($L78="A scăzut",MAX(0,$D78-$C78),IF($L78="Marjă mică",MAX(0,$C78*('02_SETARI'!$B$16-$G78)),$C78*0.15)))),""))</f>
        <v/>
      </c>
      <c r="O78">
        <f>IF(OR($A78="",$C78="",N($C78)&lt;=0),"",$C78+ROW()/1000000)</f>
        <v/>
      </c>
    </row>
    <row r="79">
      <c r="A79" s="67">
        <f>IF('11_CLIENTI'!$A79="","",'11_CLIENTI'!$A79)</f>
        <v/>
      </c>
      <c r="B79" s="67">
        <f>IF($A79="","",IFERROR(INDEX('11_CLIENTI'!$B$5:$B$124,MATCH($A79,'11_CLIENTI'!$A$5:$A$124,0)),""))</f>
        <v/>
      </c>
      <c r="C79" s="68">
        <f>IF($A79="","",SUMIFS('10_VANZARI'!$E$5:$E$604,'10_VANZARI'!$B$5:$B$604,$A79,'10_VANZARI'!$A$5:$A$604,"&gt;="&amp;'02_SETARI'!$B$5,'10_VANZARI'!$A$5:$A$604,"&lt;="&amp;'02_SETARI'!$B$6))</f>
        <v/>
      </c>
      <c r="D79" s="68">
        <f>IF($A79="","",SUMIFS('10_VANZARI'!$E$5:$E$604,'10_VANZARI'!$B$5:$B$604,$A79,'10_VANZARI'!$A$5:$A$604,"&gt;="&amp;'02_SETARI'!$B$7,'10_VANZARI'!$A$5:$A$604,"&lt;="&amp;'02_SETARI'!$B$8))</f>
        <v/>
      </c>
      <c r="E79" s="69">
        <f>IF($A79="","",IFERROR(IF($D79=0,"",($C79-$D79)/ABS($D79)),""))</f>
        <v/>
      </c>
      <c r="F79" s="68">
        <f>IF($A79="","",SUMIFS('10_VANZARI'!$G$5:$G$604,'10_VANZARI'!$B$5:$B$604,$A79,'10_VANZARI'!$A$5:$A$604,"&gt;="&amp;'02_SETARI'!$B$5,'10_VANZARI'!$A$5:$A$604,"&lt;="&amp;'02_SETARI'!$B$6))</f>
        <v/>
      </c>
      <c r="G79" s="69">
        <f>IF($A79="","",IFERROR($F79/$C79,""))</f>
        <v/>
      </c>
      <c r="H79" s="69">
        <f>IF($A79="","",IFERROR($C79/SUMIFS('10_VANZARI'!$E$5:$E$604,'10_VANZARI'!$A$5:$A$604,"&gt;="&amp;'02_SETARI'!$B$5,'10_VANZARI'!$A$5:$A$604,"&lt;="&amp;'02_SETARI'!$B$6),""))</f>
        <v/>
      </c>
      <c r="I79" s="70">
        <f>IF($A79="","",IFERROR(IF(SUMPRODUCT(MAX(('10_VANZARI'!$B$5:$B$604=$A79)*('10_VANZARI'!$E$5:$E$604&lt;&gt;"")*'10_VANZARI'!$A$5:$A$604))=0,"",SUMPRODUCT(MAX(('10_VANZARI'!$B$5:$B$604=$A79)*('10_VANZARI'!$E$5:$E$604&lt;&gt;"")*'10_VANZARI'!$A$5:$A$604))),""))</f>
        <v/>
      </c>
      <c r="J79" s="68">
        <f>IF(OR($A79="",$I79=""),"",'02_SETARI'!$B$19-$I79)</f>
        <v/>
      </c>
      <c r="K79" s="68">
        <f>IF($A79="","",IFERROR(IF(INDEX('11_CLIENTI'!$D$5:$D$124,MATCH($A79,'11_CLIENTI'!$A$5:$A$124,0))="","",INDEX('11_CLIENTI'!$D$5:$D$124,MATCH($A79,'11_CLIENTI'!$A$5:$A$124,0))),""))</f>
        <v/>
      </c>
      <c r="L79" s="67">
        <f>IF($A79="","",IF(AND($K79&lt;&gt;"",$K79&lt;='02_SETARI'!$B$18),"Nemulțumit",IF(AND($D79&gt;0,$C79=0),"Nu mai cumpără",IF(AND($J79&lt;&gt;"",$J79&gt;'02_SETARI'!$B$17,$D79&gt;0),"Adormit",IF(AND($E79&lt;&gt;"",$E79&lt;='02_SETARI'!$B$15),"A scăzut",IF(AND($C79&gt;0,$G79&lt;&gt;"",$G79&lt;'02_SETARI'!$B$16),"Marjă mică",IF(AND($E79&lt;&gt;"",$E79&gt;=0.2),"În creștere",IF($C79=0,"Fără activitate","Merge bine"))))))))</f>
        <v/>
      </c>
      <c r="M79" s="67">
        <f>IF($A79="","",IF($L79="Nu mai cumpără","Sună-l săptămâna asta și întreabă direct ce s-a schimbat. Nu trimite email.",IF($L79="Adormit","Sună-l cu un motiv concret: o ofertă, o noutate, o reamintire de sezon.",IF($L79="A scăzut","Întreabă-l dacă a împărțit comenzile cu altcineva. De obicei asta s-a întâmplat.",IF($L79="Nemulțumit","Citește ce a spus în 11_CLIENTI. Rezolvă exact acel lucru, apoi sună-l să-i confirmi. Știi deja cauza — nu mai e nevoie să o cauți.",IF($L79="Marjă mică","Verifică ce discount are și cât te costă să-l servești. Poate merită renegociat.",IF($L79="În creștere","Întreabă-l ce altceva i-ar mai trebui. Acum e momentul, nu peste șase luni.",IF($L79="Fără activitate","Client în listă, dar fără vânzări în perioadă. Verifică dacă mai e client.","Nimic urgent. Ține-l cald."))))))))</f>
        <v/>
      </c>
      <c r="N79" s="68">
        <f>IF($A79="","",IFERROR(IF($L79="Nu mai cumpără",$D79,IF($L79="Adormit",$D79,IF($L79="A scăzut",MAX(0,$D79-$C79),IF($L79="Marjă mică",MAX(0,$C79*('02_SETARI'!$B$16-$G79)),$C79*0.15)))),""))</f>
        <v/>
      </c>
      <c r="O79">
        <f>IF(OR($A79="",$C79="",N($C79)&lt;=0),"",$C79+ROW()/1000000)</f>
        <v/>
      </c>
    </row>
    <row r="80">
      <c r="A80" s="67">
        <f>IF('11_CLIENTI'!$A80="","",'11_CLIENTI'!$A80)</f>
        <v/>
      </c>
      <c r="B80" s="67">
        <f>IF($A80="","",IFERROR(INDEX('11_CLIENTI'!$B$5:$B$124,MATCH($A80,'11_CLIENTI'!$A$5:$A$124,0)),""))</f>
        <v/>
      </c>
      <c r="C80" s="68">
        <f>IF($A80="","",SUMIFS('10_VANZARI'!$E$5:$E$604,'10_VANZARI'!$B$5:$B$604,$A80,'10_VANZARI'!$A$5:$A$604,"&gt;="&amp;'02_SETARI'!$B$5,'10_VANZARI'!$A$5:$A$604,"&lt;="&amp;'02_SETARI'!$B$6))</f>
        <v/>
      </c>
      <c r="D80" s="68">
        <f>IF($A80="","",SUMIFS('10_VANZARI'!$E$5:$E$604,'10_VANZARI'!$B$5:$B$604,$A80,'10_VANZARI'!$A$5:$A$604,"&gt;="&amp;'02_SETARI'!$B$7,'10_VANZARI'!$A$5:$A$604,"&lt;="&amp;'02_SETARI'!$B$8))</f>
        <v/>
      </c>
      <c r="E80" s="69">
        <f>IF($A80="","",IFERROR(IF($D80=0,"",($C80-$D80)/ABS($D80)),""))</f>
        <v/>
      </c>
      <c r="F80" s="68">
        <f>IF($A80="","",SUMIFS('10_VANZARI'!$G$5:$G$604,'10_VANZARI'!$B$5:$B$604,$A80,'10_VANZARI'!$A$5:$A$604,"&gt;="&amp;'02_SETARI'!$B$5,'10_VANZARI'!$A$5:$A$604,"&lt;="&amp;'02_SETARI'!$B$6))</f>
        <v/>
      </c>
      <c r="G80" s="69">
        <f>IF($A80="","",IFERROR($F80/$C80,""))</f>
        <v/>
      </c>
      <c r="H80" s="69">
        <f>IF($A80="","",IFERROR($C80/SUMIFS('10_VANZARI'!$E$5:$E$604,'10_VANZARI'!$A$5:$A$604,"&gt;="&amp;'02_SETARI'!$B$5,'10_VANZARI'!$A$5:$A$604,"&lt;="&amp;'02_SETARI'!$B$6),""))</f>
        <v/>
      </c>
      <c r="I80" s="70">
        <f>IF($A80="","",IFERROR(IF(SUMPRODUCT(MAX(('10_VANZARI'!$B$5:$B$604=$A80)*('10_VANZARI'!$E$5:$E$604&lt;&gt;"")*'10_VANZARI'!$A$5:$A$604))=0,"",SUMPRODUCT(MAX(('10_VANZARI'!$B$5:$B$604=$A80)*('10_VANZARI'!$E$5:$E$604&lt;&gt;"")*'10_VANZARI'!$A$5:$A$604))),""))</f>
        <v/>
      </c>
      <c r="J80" s="68">
        <f>IF(OR($A80="",$I80=""),"",'02_SETARI'!$B$19-$I80)</f>
        <v/>
      </c>
      <c r="K80" s="68">
        <f>IF($A80="","",IFERROR(IF(INDEX('11_CLIENTI'!$D$5:$D$124,MATCH($A80,'11_CLIENTI'!$A$5:$A$124,0))="","",INDEX('11_CLIENTI'!$D$5:$D$124,MATCH($A80,'11_CLIENTI'!$A$5:$A$124,0))),""))</f>
        <v/>
      </c>
      <c r="L80" s="67">
        <f>IF($A80="","",IF(AND($K80&lt;&gt;"",$K80&lt;='02_SETARI'!$B$18),"Nemulțumit",IF(AND($D80&gt;0,$C80=0),"Nu mai cumpără",IF(AND($J80&lt;&gt;"",$J80&gt;'02_SETARI'!$B$17,$D80&gt;0),"Adormit",IF(AND($E80&lt;&gt;"",$E80&lt;='02_SETARI'!$B$15),"A scăzut",IF(AND($C80&gt;0,$G80&lt;&gt;"",$G80&lt;'02_SETARI'!$B$16),"Marjă mică",IF(AND($E80&lt;&gt;"",$E80&gt;=0.2),"În creștere",IF($C80=0,"Fără activitate","Merge bine"))))))))</f>
        <v/>
      </c>
      <c r="M80" s="67">
        <f>IF($A80="","",IF($L80="Nu mai cumpără","Sună-l săptămâna asta și întreabă direct ce s-a schimbat. Nu trimite email.",IF($L80="Adormit","Sună-l cu un motiv concret: o ofertă, o noutate, o reamintire de sezon.",IF($L80="A scăzut","Întreabă-l dacă a împărțit comenzile cu altcineva. De obicei asta s-a întâmplat.",IF($L80="Nemulțumit","Citește ce a spus în 11_CLIENTI. Rezolvă exact acel lucru, apoi sună-l să-i confirmi. Știi deja cauza — nu mai e nevoie să o cauți.",IF($L80="Marjă mică","Verifică ce discount are și cât te costă să-l servești. Poate merită renegociat.",IF($L80="În creștere","Întreabă-l ce altceva i-ar mai trebui. Acum e momentul, nu peste șase luni.",IF($L80="Fără activitate","Client în listă, dar fără vânzări în perioadă. Verifică dacă mai e client.","Nimic urgent. Ține-l cald."))))))))</f>
        <v/>
      </c>
      <c r="N80" s="68">
        <f>IF($A80="","",IFERROR(IF($L80="Nu mai cumpără",$D80,IF($L80="Adormit",$D80,IF($L80="A scăzut",MAX(0,$D80-$C80),IF($L80="Marjă mică",MAX(0,$C80*('02_SETARI'!$B$16-$G80)),$C80*0.15)))),""))</f>
        <v/>
      </c>
      <c r="O80">
        <f>IF(OR($A80="",$C80="",N($C80)&lt;=0),"",$C80+ROW()/1000000)</f>
        <v/>
      </c>
    </row>
    <row r="81">
      <c r="A81" s="67">
        <f>IF('11_CLIENTI'!$A81="","",'11_CLIENTI'!$A81)</f>
        <v/>
      </c>
      <c r="B81" s="67">
        <f>IF($A81="","",IFERROR(INDEX('11_CLIENTI'!$B$5:$B$124,MATCH($A81,'11_CLIENTI'!$A$5:$A$124,0)),""))</f>
        <v/>
      </c>
      <c r="C81" s="68">
        <f>IF($A81="","",SUMIFS('10_VANZARI'!$E$5:$E$604,'10_VANZARI'!$B$5:$B$604,$A81,'10_VANZARI'!$A$5:$A$604,"&gt;="&amp;'02_SETARI'!$B$5,'10_VANZARI'!$A$5:$A$604,"&lt;="&amp;'02_SETARI'!$B$6))</f>
        <v/>
      </c>
      <c r="D81" s="68">
        <f>IF($A81="","",SUMIFS('10_VANZARI'!$E$5:$E$604,'10_VANZARI'!$B$5:$B$604,$A81,'10_VANZARI'!$A$5:$A$604,"&gt;="&amp;'02_SETARI'!$B$7,'10_VANZARI'!$A$5:$A$604,"&lt;="&amp;'02_SETARI'!$B$8))</f>
        <v/>
      </c>
      <c r="E81" s="69">
        <f>IF($A81="","",IFERROR(IF($D81=0,"",($C81-$D81)/ABS($D81)),""))</f>
        <v/>
      </c>
      <c r="F81" s="68">
        <f>IF($A81="","",SUMIFS('10_VANZARI'!$G$5:$G$604,'10_VANZARI'!$B$5:$B$604,$A81,'10_VANZARI'!$A$5:$A$604,"&gt;="&amp;'02_SETARI'!$B$5,'10_VANZARI'!$A$5:$A$604,"&lt;="&amp;'02_SETARI'!$B$6))</f>
        <v/>
      </c>
      <c r="G81" s="69">
        <f>IF($A81="","",IFERROR($F81/$C81,""))</f>
        <v/>
      </c>
      <c r="H81" s="69">
        <f>IF($A81="","",IFERROR($C81/SUMIFS('10_VANZARI'!$E$5:$E$604,'10_VANZARI'!$A$5:$A$604,"&gt;="&amp;'02_SETARI'!$B$5,'10_VANZARI'!$A$5:$A$604,"&lt;="&amp;'02_SETARI'!$B$6),""))</f>
        <v/>
      </c>
      <c r="I81" s="70">
        <f>IF($A81="","",IFERROR(IF(SUMPRODUCT(MAX(('10_VANZARI'!$B$5:$B$604=$A81)*('10_VANZARI'!$E$5:$E$604&lt;&gt;"")*'10_VANZARI'!$A$5:$A$604))=0,"",SUMPRODUCT(MAX(('10_VANZARI'!$B$5:$B$604=$A81)*('10_VANZARI'!$E$5:$E$604&lt;&gt;"")*'10_VANZARI'!$A$5:$A$604))),""))</f>
        <v/>
      </c>
      <c r="J81" s="68">
        <f>IF(OR($A81="",$I81=""),"",'02_SETARI'!$B$19-$I81)</f>
        <v/>
      </c>
      <c r="K81" s="68">
        <f>IF($A81="","",IFERROR(IF(INDEX('11_CLIENTI'!$D$5:$D$124,MATCH($A81,'11_CLIENTI'!$A$5:$A$124,0))="","",INDEX('11_CLIENTI'!$D$5:$D$124,MATCH($A81,'11_CLIENTI'!$A$5:$A$124,0))),""))</f>
        <v/>
      </c>
      <c r="L81" s="67">
        <f>IF($A81="","",IF(AND($K81&lt;&gt;"",$K81&lt;='02_SETARI'!$B$18),"Nemulțumit",IF(AND($D81&gt;0,$C81=0),"Nu mai cumpără",IF(AND($J81&lt;&gt;"",$J81&gt;'02_SETARI'!$B$17,$D81&gt;0),"Adormit",IF(AND($E81&lt;&gt;"",$E81&lt;='02_SETARI'!$B$15),"A scăzut",IF(AND($C81&gt;0,$G81&lt;&gt;"",$G81&lt;'02_SETARI'!$B$16),"Marjă mică",IF(AND($E81&lt;&gt;"",$E81&gt;=0.2),"În creștere",IF($C81=0,"Fără activitate","Merge bine"))))))))</f>
        <v/>
      </c>
      <c r="M81" s="67">
        <f>IF($A81="","",IF($L81="Nu mai cumpără","Sună-l săptămâna asta și întreabă direct ce s-a schimbat. Nu trimite email.",IF($L81="Adormit","Sună-l cu un motiv concret: o ofertă, o noutate, o reamintire de sezon.",IF($L81="A scăzut","Întreabă-l dacă a împărțit comenzile cu altcineva. De obicei asta s-a întâmplat.",IF($L81="Nemulțumit","Citește ce a spus în 11_CLIENTI. Rezolvă exact acel lucru, apoi sună-l să-i confirmi. Știi deja cauza — nu mai e nevoie să o cauți.",IF($L81="Marjă mică","Verifică ce discount are și cât te costă să-l servești. Poate merită renegociat.",IF($L81="În creștere","Întreabă-l ce altceva i-ar mai trebui. Acum e momentul, nu peste șase luni.",IF($L81="Fără activitate","Client în listă, dar fără vânzări în perioadă. Verifică dacă mai e client.","Nimic urgent. Ține-l cald."))))))))</f>
        <v/>
      </c>
      <c r="N81" s="68">
        <f>IF($A81="","",IFERROR(IF($L81="Nu mai cumpără",$D81,IF($L81="Adormit",$D81,IF($L81="A scăzut",MAX(0,$D81-$C81),IF($L81="Marjă mică",MAX(0,$C81*('02_SETARI'!$B$16-$G81)),$C81*0.15)))),""))</f>
        <v/>
      </c>
      <c r="O81">
        <f>IF(OR($A81="",$C81="",N($C81)&lt;=0),"",$C81+ROW()/1000000)</f>
        <v/>
      </c>
    </row>
    <row r="82">
      <c r="A82" s="67">
        <f>IF('11_CLIENTI'!$A82="","",'11_CLIENTI'!$A82)</f>
        <v/>
      </c>
      <c r="B82" s="67">
        <f>IF($A82="","",IFERROR(INDEX('11_CLIENTI'!$B$5:$B$124,MATCH($A82,'11_CLIENTI'!$A$5:$A$124,0)),""))</f>
        <v/>
      </c>
      <c r="C82" s="68">
        <f>IF($A82="","",SUMIFS('10_VANZARI'!$E$5:$E$604,'10_VANZARI'!$B$5:$B$604,$A82,'10_VANZARI'!$A$5:$A$604,"&gt;="&amp;'02_SETARI'!$B$5,'10_VANZARI'!$A$5:$A$604,"&lt;="&amp;'02_SETARI'!$B$6))</f>
        <v/>
      </c>
      <c r="D82" s="68">
        <f>IF($A82="","",SUMIFS('10_VANZARI'!$E$5:$E$604,'10_VANZARI'!$B$5:$B$604,$A82,'10_VANZARI'!$A$5:$A$604,"&gt;="&amp;'02_SETARI'!$B$7,'10_VANZARI'!$A$5:$A$604,"&lt;="&amp;'02_SETARI'!$B$8))</f>
        <v/>
      </c>
      <c r="E82" s="69">
        <f>IF($A82="","",IFERROR(IF($D82=0,"",($C82-$D82)/ABS($D82)),""))</f>
        <v/>
      </c>
      <c r="F82" s="68">
        <f>IF($A82="","",SUMIFS('10_VANZARI'!$G$5:$G$604,'10_VANZARI'!$B$5:$B$604,$A82,'10_VANZARI'!$A$5:$A$604,"&gt;="&amp;'02_SETARI'!$B$5,'10_VANZARI'!$A$5:$A$604,"&lt;="&amp;'02_SETARI'!$B$6))</f>
        <v/>
      </c>
      <c r="G82" s="69">
        <f>IF($A82="","",IFERROR($F82/$C82,""))</f>
        <v/>
      </c>
      <c r="H82" s="69">
        <f>IF($A82="","",IFERROR($C82/SUMIFS('10_VANZARI'!$E$5:$E$604,'10_VANZARI'!$A$5:$A$604,"&gt;="&amp;'02_SETARI'!$B$5,'10_VANZARI'!$A$5:$A$604,"&lt;="&amp;'02_SETARI'!$B$6),""))</f>
        <v/>
      </c>
      <c r="I82" s="70">
        <f>IF($A82="","",IFERROR(IF(SUMPRODUCT(MAX(('10_VANZARI'!$B$5:$B$604=$A82)*('10_VANZARI'!$E$5:$E$604&lt;&gt;"")*'10_VANZARI'!$A$5:$A$604))=0,"",SUMPRODUCT(MAX(('10_VANZARI'!$B$5:$B$604=$A82)*('10_VANZARI'!$E$5:$E$604&lt;&gt;"")*'10_VANZARI'!$A$5:$A$604))),""))</f>
        <v/>
      </c>
      <c r="J82" s="68">
        <f>IF(OR($A82="",$I82=""),"",'02_SETARI'!$B$19-$I82)</f>
        <v/>
      </c>
      <c r="K82" s="68">
        <f>IF($A82="","",IFERROR(IF(INDEX('11_CLIENTI'!$D$5:$D$124,MATCH($A82,'11_CLIENTI'!$A$5:$A$124,0))="","",INDEX('11_CLIENTI'!$D$5:$D$124,MATCH($A82,'11_CLIENTI'!$A$5:$A$124,0))),""))</f>
        <v/>
      </c>
      <c r="L82" s="67">
        <f>IF($A82="","",IF(AND($K82&lt;&gt;"",$K82&lt;='02_SETARI'!$B$18),"Nemulțumit",IF(AND($D82&gt;0,$C82=0),"Nu mai cumpără",IF(AND($J82&lt;&gt;"",$J82&gt;'02_SETARI'!$B$17,$D82&gt;0),"Adormit",IF(AND($E82&lt;&gt;"",$E82&lt;='02_SETARI'!$B$15),"A scăzut",IF(AND($C82&gt;0,$G82&lt;&gt;"",$G82&lt;'02_SETARI'!$B$16),"Marjă mică",IF(AND($E82&lt;&gt;"",$E82&gt;=0.2),"În creștere",IF($C82=0,"Fără activitate","Merge bine"))))))))</f>
        <v/>
      </c>
      <c r="M82" s="67">
        <f>IF($A82="","",IF($L82="Nu mai cumpără","Sună-l săptămâna asta și întreabă direct ce s-a schimbat. Nu trimite email.",IF($L82="Adormit","Sună-l cu un motiv concret: o ofertă, o noutate, o reamintire de sezon.",IF($L82="A scăzut","Întreabă-l dacă a împărțit comenzile cu altcineva. De obicei asta s-a întâmplat.",IF($L82="Nemulțumit","Citește ce a spus în 11_CLIENTI. Rezolvă exact acel lucru, apoi sună-l să-i confirmi. Știi deja cauza — nu mai e nevoie să o cauți.",IF($L82="Marjă mică","Verifică ce discount are și cât te costă să-l servești. Poate merită renegociat.",IF($L82="În creștere","Întreabă-l ce altceva i-ar mai trebui. Acum e momentul, nu peste șase luni.",IF($L82="Fără activitate","Client în listă, dar fără vânzări în perioadă. Verifică dacă mai e client.","Nimic urgent. Ține-l cald."))))))))</f>
        <v/>
      </c>
      <c r="N82" s="68">
        <f>IF($A82="","",IFERROR(IF($L82="Nu mai cumpără",$D82,IF($L82="Adormit",$D82,IF($L82="A scăzut",MAX(0,$D82-$C82),IF($L82="Marjă mică",MAX(0,$C82*('02_SETARI'!$B$16-$G82)),$C82*0.15)))),""))</f>
        <v/>
      </c>
      <c r="O82">
        <f>IF(OR($A82="",$C82="",N($C82)&lt;=0),"",$C82+ROW()/1000000)</f>
        <v/>
      </c>
    </row>
    <row r="83">
      <c r="A83" s="67">
        <f>IF('11_CLIENTI'!$A83="","",'11_CLIENTI'!$A83)</f>
        <v/>
      </c>
      <c r="B83" s="67">
        <f>IF($A83="","",IFERROR(INDEX('11_CLIENTI'!$B$5:$B$124,MATCH($A83,'11_CLIENTI'!$A$5:$A$124,0)),""))</f>
        <v/>
      </c>
      <c r="C83" s="68">
        <f>IF($A83="","",SUMIFS('10_VANZARI'!$E$5:$E$604,'10_VANZARI'!$B$5:$B$604,$A83,'10_VANZARI'!$A$5:$A$604,"&gt;="&amp;'02_SETARI'!$B$5,'10_VANZARI'!$A$5:$A$604,"&lt;="&amp;'02_SETARI'!$B$6))</f>
        <v/>
      </c>
      <c r="D83" s="68">
        <f>IF($A83="","",SUMIFS('10_VANZARI'!$E$5:$E$604,'10_VANZARI'!$B$5:$B$604,$A83,'10_VANZARI'!$A$5:$A$604,"&gt;="&amp;'02_SETARI'!$B$7,'10_VANZARI'!$A$5:$A$604,"&lt;="&amp;'02_SETARI'!$B$8))</f>
        <v/>
      </c>
      <c r="E83" s="69">
        <f>IF($A83="","",IFERROR(IF($D83=0,"",($C83-$D83)/ABS($D83)),""))</f>
        <v/>
      </c>
      <c r="F83" s="68">
        <f>IF($A83="","",SUMIFS('10_VANZARI'!$G$5:$G$604,'10_VANZARI'!$B$5:$B$604,$A83,'10_VANZARI'!$A$5:$A$604,"&gt;="&amp;'02_SETARI'!$B$5,'10_VANZARI'!$A$5:$A$604,"&lt;="&amp;'02_SETARI'!$B$6))</f>
        <v/>
      </c>
      <c r="G83" s="69">
        <f>IF($A83="","",IFERROR($F83/$C83,""))</f>
        <v/>
      </c>
      <c r="H83" s="69">
        <f>IF($A83="","",IFERROR($C83/SUMIFS('10_VANZARI'!$E$5:$E$604,'10_VANZARI'!$A$5:$A$604,"&gt;="&amp;'02_SETARI'!$B$5,'10_VANZARI'!$A$5:$A$604,"&lt;="&amp;'02_SETARI'!$B$6),""))</f>
        <v/>
      </c>
      <c r="I83" s="70">
        <f>IF($A83="","",IFERROR(IF(SUMPRODUCT(MAX(('10_VANZARI'!$B$5:$B$604=$A83)*('10_VANZARI'!$E$5:$E$604&lt;&gt;"")*'10_VANZARI'!$A$5:$A$604))=0,"",SUMPRODUCT(MAX(('10_VANZARI'!$B$5:$B$604=$A83)*('10_VANZARI'!$E$5:$E$604&lt;&gt;"")*'10_VANZARI'!$A$5:$A$604))),""))</f>
        <v/>
      </c>
      <c r="J83" s="68">
        <f>IF(OR($A83="",$I83=""),"",'02_SETARI'!$B$19-$I83)</f>
        <v/>
      </c>
      <c r="K83" s="68">
        <f>IF($A83="","",IFERROR(IF(INDEX('11_CLIENTI'!$D$5:$D$124,MATCH($A83,'11_CLIENTI'!$A$5:$A$124,0))="","",INDEX('11_CLIENTI'!$D$5:$D$124,MATCH($A83,'11_CLIENTI'!$A$5:$A$124,0))),""))</f>
        <v/>
      </c>
      <c r="L83" s="67">
        <f>IF($A83="","",IF(AND($K83&lt;&gt;"",$K83&lt;='02_SETARI'!$B$18),"Nemulțumit",IF(AND($D83&gt;0,$C83=0),"Nu mai cumpără",IF(AND($J83&lt;&gt;"",$J83&gt;'02_SETARI'!$B$17,$D83&gt;0),"Adormit",IF(AND($E83&lt;&gt;"",$E83&lt;='02_SETARI'!$B$15),"A scăzut",IF(AND($C83&gt;0,$G83&lt;&gt;"",$G83&lt;'02_SETARI'!$B$16),"Marjă mică",IF(AND($E83&lt;&gt;"",$E83&gt;=0.2),"În creștere",IF($C83=0,"Fără activitate","Merge bine"))))))))</f>
        <v/>
      </c>
      <c r="M83" s="67">
        <f>IF($A83="","",IF($L83="Nu mai cumpără","Sună-l săptămâna asta și întreabă direct ce s-a schimbat. Nu trimite email.",IF($L83="Adormit","Sună-l cu un motiv concret: o ofertă, o noutate, o reamintire de sezon.",IF($L83="A scăzut","Întreabă-l dacă a împărțit comenzile cu altcineva. De obicei asta s-a întâmplat.",IF($L83="Nemulțumit","Citește ce a spus în 11_CLIENTI. Rezolvă exact acel lucru, apoi sună-l să-i confirmi. Știi deja cauza — nu mai e nevoie să o cauți.",IF($L83="Marjă mică","Verifică ce discount are și cât te costă să-l servești. Poate merită renegociat.",IF($L83="În creștere","Întreabă-l ce altceva i-ar mai trebui. Acum e momentul, nu peste șase luni.",IF($L83="Fără activitate","Client în listă, dar fără vânzări în perioadă. Verifică dacă mai e client.","Nimic urgent. Ține-l cald."))))))))</f>
        <v/>
      </c>
      <c r="N83" s="68">
        <f>IF($A83="","",IFERROR(IF($L83="Nu mai cumpără",$D83,IF($L83="Adormit",$D83,IF($L83="A scăzut",MAX(0,$D83-$C83),IF($L83="Marjă mică",MAX(0,$C83*('02_SETARI'!$B$16-$G83)),$C83*0.15)))),""))</f>
        <v/>
      </c>
      <c r="O83">
        <f>IF(OR($A83="",$C83="",N($C83)&lt;=0),"",$C83+ROW()/1000000)</f>
        <v/>
      </c>
    </row>
    <row r="84">
      <c r="A84" s="67">
        <f>IF('11_CLIENTI'!$A84="","",'11_CLIENTI'!$A84)</f>
        <v/>
      </c>
      <c r="B84" s="67">
        <f>IF($A84="","",IFERROR(INDEX('11_CLIENTI'!$B$5:$B$124,MATCH($A84,'11_CLIENTI'!$A$5:$A$124,0)),""))</f>
        <v/>
      </c>
      <c r="C84" s="68">
        <f>IF($A84="","",SUMIFS('10_VANZARI'!$E$5:$E$604,'10_VANZARI'!$B$5:$B$604,$A84,'10_VANZARI'!$A$5:$A$604,"&gt;="&amp;'02_SETARI'!$B$5,'10_VANZARI'!$A$5:$A$604,"&lt;="&amp;'02_SETARI'!$B$6))</f>
        <v/>
      </c>
      <c r="D84" s="68">
        <f>IF($A84="","",SUMIFS('10_VANZARI'!$E$5:$E$604,'10_VANZARI'!$B$5:$B$604,$A84,'10_VANZARI'!$A$5:$A$604,"&gt;="&amp;'02_SETARI'!$B$7,'10_VANZARI'!$A$5:$A$604,"&lt;="&amp;'02_SETARI'!$B$8))</f>
        <v/>
      </c>
      <c r="E84" s="69">
        <f>IF($A84="","",IFERROR(IF($D84=0,"",($C84-$D84)/ABS($D84)),""))</f>
        <v/>
      </c>
      <c r="F84" s="68">
        <f>IF($A84="","",SUMIFS('10_VANZARI'!$G$5:$G$604,'10_VANZARI'!$B$5:$B$604,$A84,'10_VANZARI'!$A$5:$A$604,"&gt;="&amp;'02_SETARI'!$B$5,'10_VANZARI'!$A$5:$A$604,"&lt;="&amp;'02_SETARI'!$B$6))</f>
        <v/>
      </c>
      <c r="G84" s="69">
        <f>IF($A84="","",IFERROR($F84/$C84,""))</f>
        <v/>
      </c>
      <c r="H84" s="69">
        <f>IF($A84="","",IFERROR($C84/SUMIFS('10_VANZARI'!$E$5:$E$604,'10_VANZARI'!$A$5:$A$604,"&gt;="&amp;'02_SETARI'!$B$5,'10_VANZARI'!$A$5:$A$604,"&lt;="&amp;'02_SETARI'!$B$6),""))</f>
        <v/>
      </c>
      <c r="I84" s="70">
        <f>IF($A84="","",IFERROR(IF(SUMPRODUCT(MAX(('10_VANZARI'!$B$5:$B$604=$A84)*('10_VANZARI'!$E$5:$E$604&lt;&gt;"")*'10_VANZARI'!$A$5:$A$604))=0,"",SUMPRODUCT(MAX(('10_VANZARI'!$B$5:$B$604=$A84)*('10_VANZARI'!$E$5:$E$604&lt;&gt;"")*'10_VANZARI'!$A$5:$A$604))),""))</f>
        <v/>
      </c>
      <c r="J84" s="68">
        <f>IF(OR($A84="",$I84=""),"",'02_SETARI'!$B$19-$I84)</f>
        <v/>
      </c>
      <c r="K84" s="68">
        <f>IF($A84="","",IFERROR(IF(INDEX('11_CLIENTI'!$D$5:$D$124,MATCH($A84,'11_CLIENTI'!$A$5:$A$124,0))="","",INDEX('11_CLIENTI'!$D$5:$D$124,MATCH($A84,'11_CLIENTI'!$A$5:$A$124,0))),""))</f>
        <v/>
      </c>
      <c r="L84" s="67">
        <f>IF($A84="","",IF(AND($K84&lt;&gt;"",$K84&lt;='02_SETARI'!$B$18),"Nemulțumit",IF(AND($D84&gt;0,$C84=0),"Nu mai cumpără",IF(AND($J84&lt;&gt;"",$J84&gt;'02_SETARI'!$B$17,$D84&gt;0),"Adormit",IF(AND($E84&lt;&gt;"",$E84&lt;='02_SETARI'!$B$15),"A scăzut",IF(AND($C84&gt;0,$G84&lt;&gt;"",$G84&lt;'02_SETARI'!$B$16),"Marjă mică",IF(AND($E84&lt;&gt;"",$E84&gt;=0.2),"În creștere",IF($C84=0,"Fără activitate","Merge bine"))))))))</f>
        <v/>
      </c>
      <c r="M84" s="67">
        <f>IF($A84="","",IF($L84="Nu mai cumpără","Sună-l săptămâna asta și întreabă direct ce s-a schimbat. Nu trimite email.",IF($L84="Adormit","Sună-l cu un motiv concret: o ofertă, o noutate, o reamintire de sezon.",IF($L84="A scăzut","Întreabă-l dacă a împărțit comenzile cu altcineva. De obicei asta s-a întâmplat.",IF($L84="Nemulțumit","Citește ce a spus în 11_CLIENTI. Rezolvă exact acel lucru, apoi sună-l să-i confirmi. Știi deja cauza — nu mai e nevoie să o cauți.",IF($L84="Marjă mică","Verifică ce discount are și cât te costă să-l servești. Poate merită renegociat.",IF($L84="În creștere","Întreabă-l ce altceva i-ar mai trebui. Acum e momentul, nu peste șase luni.",IF($L84="Fără activitate","Client în listă, dar fără vânzări în perioadă. Verifică dacă mai e client.","Nimic urgent. Ține-l cald."))))))))</f>
        <v/>
      </c>
      <c r="N84" s="68">
        <f>IF($A84="","",IFERROR(IF($L84="Nu mai cumpără",$D84,IF($L84="Adormit",$D84,IF($L84="A scăzut",MAX(0,$D84-$C84),IF($L84="Marjă mică",MAX(0,$C84*('02_SETARI'!$B$16-$G84)),$C84*0.15)))),""))</f>
        <v/>
      </c>
      <c r="O84">
        <f>IF(OR($A84="",$C84="",N($C84)&lt;=0),"",$C84+ROW()/1000000)</f>
        <v/>
      </c>
    </row>
    <row r="85">
      <c r="A85" s="67">
        <f>IF('11_CLIENTI'!$A85="","",'11_CLIENTI'!$A85)</f>
        <v/>
      </c>
      <c r="B85" s="67">
        <f>IF($A85="","",IFERROR(INDEX('11_CLIENTI'!$B$5:$B$124,MATCH($A85,'11_CLIENTI'!$A$5:$A$124,0)),""))</f>
        <v/>
      </c>
      <c r="C85" s="68">
        <f>IF($A85="","",SUMIFS('10_VANZARI'!$E$5:$E$604,'10_VANZARI'!$B$5:$B$604,$A85,'10_VANZARI'!$A$5:$A$604,"&gt;="&amp;'02_SETARI'!$B$5,'10_VANZARI'!$A$5:$A$604,"&lt;="&amp;'02_SETARI'!$B$6))</f>
        <v/>
      </c>
      <c r="D85" s="68">
        <f>IF($A85="","",SUMIFS('10_VANZARI'!$E$5:$E$604,'10_VANZARI'!$B$5:$B$604,$A85,'10_VANZARI'!$A$5:$A$604,"&gt;="&amp;'02_SETARI'!$B$7,'10_VANZARI'!$A$5:$A$604,"&lt;="&amp;'02_SETARI'!$B$8))</f>
        <v/>
      </c>
      <c r="E85" s="69">
        <f>IF($A85="","",IFERROR(IF($D85=0,"",($C85-$D85)/ABS($D85)),""))</f>
        <v/>
      </c>
      <c r="F85" s="68">
        <f>IF($A85="","",SUMIFS('10_VANZARI'!$G$5:$G$604,'10_VANZARI'!$B$5:$B$604,$A85,'10_VANZARI'!$A$5:$A$604,"&gt;="&amp;'02_SETARI'!$B$5,'10_VANZARI'!$A$5:$A$604,"&lt;="&amp;'02_SETARI'!$B$6))</f>
        <v/>
      </c>
      <c r="G85" s="69">
        <f>IF($A85="","",IFERROR($F85/$C85,""))</f>
        <v/>
      </c>
      <c r="H85" s="69">
        <f>IF($A85="","",IFERROR($C85/SUMIFS('10_VANZARI'!$E$5:$E$604,'10_VANZARI'!$A$5:$A$604,"&gt;="&amp;'02_SETARI'!$B$5,'10_VANZARI'!$A$5:$A$604,"&lt;="&amp;'02_SETARI'!$B$6),""))</f>
        <v/>
      </c>
      <c r="I85" s="70">
        <f>IF($A85="","",IFERROR(IF(SUMPRODUCT(MAX(('10_VANZARI'!$B$5:$B$604=$A85)*('10_VANZARI'!$E$5:$E$604&lt;&gt;"")*'10_VANZARI'!$A$5:$A$604))=0,"",SUMPRODUCT(MAX(('10_VANZARI'!$B$5:$B$604=$A85)*('10_VANZARI'!$E$5:$E$604&lt;&gt;"")*'10_VANZARI'!$A$5:$A$604))),""))</f>
        <v/>
      </c>
      <c r="J85" s="68">
        <f>IF(OR($A85="",$I85=""),"",'02_SETARI'!$B$19-$I85)</f>
        <v/>
      </c>
      <c r="K85" s="68">
        <f>IF($A85="","",IFERROR(IF(INDEX('11_CLIENTI'!$D$5:$D$124,MATCH($A85,'11_CLIENTI'!$A$5:$A$124,0))="","",INDEX('11_CLIENTI'!$D$5:$D$124,MATCH($A85,'11_CLIENTI'!$A$5:$A$124,0))),""))</f>
        <v/>
      </c>
      <c r="L85" s="67">
        <f>IF($A85="","",IF(AND($K85&lt;&gt;"",$K85&lt;='02_SETARI'!$B$18),"Nemulțumit",IF(AND($D85&gt;0,$C85=0),"Nu mai cumpără",IF(AND($J85&lt;&gt;"",$J85&gt;'02_SETARI'!$B$17,$D85&gt;0),"Adormit",IF(AND($E85&lt;&gt;"",$E85&lt;='02_SETARI'!$B$15),"A scăzut",IF(AND($C85&gt;0,$G85&lt;&gt;"",$G85&lt;'02_SETARI'!$B$16),"Marjă mică",IF(AND($E85&lt;&gt;"",$E85&gt;=0.2),"În creștere",IF($C85=0,"Fără activitate","Merge bine"))))))))</f>
        <v/>
      </c>
      <c r="M85" s="67">
        <f>IF($A85="","",IF($L85="Nu mai cumpără","Sună-l săptămâna asta și întreabă direct ce s-a schimbat. Nu trimite email.",IF($L85="Adormit","Sună-l cu un motiv concret: o ofertă, o noutate, o reamintire de sezon.",IF($L85="A scăzut","Întreabă-l dacă a împărțit comenzile cu altcineva. De obicei asta s-a întâmplat.",IF($L85="Nemulțumit","Citește ce a spus în 11_CLIENTI. Rezolvă exact acel lucru, apoi sună-l să-i confirmi. Știi deja cauza — nu mai e nevoie să o cauți.",IF($L85="Marjă mică","Verifică ce discount are și cât te costă să-l servești. Poate merită renegociat.",IF($L85="În creștere","Întreabă-l ce altceva i-ar mai trebui. Acum e momentul, nu peste șase luni.",IF($L85="Fără activitate","Client în listă, dar fără vânzări în perioadă. Verifică dacă mai e client.","Nimic urgent. Ține-l cald."))))))))</f>
        <v/>
      </c>
      <c r="N85" s="68">
        <f>IF($A85="","",IFERROR(IF($L85="Nu mai cumpără",$D85,IF($L85="Adormit",$D85,IF($L85="A scăzut",MAX(0,$D85-$C85),IF($L85="Marjă mică",MAX(0,$C85*('02_SETARI'!$B$16-$G85)),$C85*0.15)))),""))</f>
        <v/>
      </c>
      <c r="O85">
        <f>IF(OR($A85="",$C85="",N($C85)&lt;=0),"",$C85+ROW()/1000000)</f>
        <v/>
      </c>
    </row>
    <row r="86">
      <c r="A86" s="67">
        <f>IF('11_CLIENTI'!$A86="","",'11_CLIENTI'!$A86)</f>
        <v/>
      </c>
      <c r="B86" s="67">
        <f>IF($A86="","",IFERROR(INDEX('11_CLIENTI'!$B$5:$B$124,MATCH($A86,'11_CLIENTI'!$A$5:$A$124,0)),""))</f>
        <v/>
      </c>
      <c r="C86" s="68">
        <f>IF($A86="","",SUMIFS('10_VANZARI'!$E$5:$E$604,'10_VANZARI'!$B$5:$B$604,$A86,'10_VANZARI'!$A$5:$A$604,"&gt;="&amp;'02_SETARI'!$B$5,'10_VANZARI'!$A$5:$A$604,"&lt;="&amp;'02_SETARI'!$B$6))</f>
        <v/>
      </c>
      <c r="D86" s="68">
        <f>IF($A86="","",SUMIFS('10_VANZARI'!$E$5:$E$604,'10_VANZARI'!$B$5:$B$604,$A86,'10_VANZARI'!$A$5:$A$604,"&gt;="&amp;'02_SETARI'!$B$7,'10_VANZARI'!$A$5:$A$604,"&lt;="&amp;'02_SETARI'!$B$8))</f>
        <v/>
      </c>
      <c r="E86" s="69">
        <f>IF($A86="","",IFERROR(IF($D86=0,"",($C86-$D86)/ABS($D86)),""))</f>
        <v/>
      </c>
      <c r="F86" s="68">
        <f>IF($A86="","",SUMIFS('10_VANZARI'!$G$5:$G$604,'10_VANZARI'!$B$5:$B$604,$A86,'10_VANZARI'!$A$5:$A$604,"&gt;="&amp;'02_SETARI'!$B$5,'10_VANZARI'!$A$5:$A$604,"&lt;="&amp;'02_SETARI'!$B$6))</f>
        <v/>
      </c>
      <c r="G86" s="69">
        <f>IF($A86="","",IFERROR($F86/$C86,""))</f>
        <v/>
      </c>
      <c r="H86" s="69">
        <f>IF($A86="","",IFERROR($C86/SUMIFS('10_VANZARI'!$E$5:$E$604,'10_VANZARI'!$A$5:$A$604,"&gt;="&amp;'02_SETARI'!$B$5,'10_VANZARI'!$A$5:$A$604,"&lt;="&amp;'02_SETARI'!$B$6),""))</f>
        <v/>
      </c>
      <c r="I86" s="70">
        <f>IF($A86="","",IFERROR(IF(SUMPRODUCT(MAX(('10_VANZARI'!$B$5:$B$604=$A86)*('10_VANZARI'!$E$5:$E$604&lt;&gt;"")*'10_VANZARI'!$A$5:$A$604))=0,"",SUMPRODUCT(MAX(('10_VANZARI'!$B$5:$B$604=$A86)*('10_VANZARI'!$E$5:$E$604&lt;&gt;"")*'10_VANZARI'!$A$5:$A$604))),""))</f>
        <v/>
      </c>
      <c r="J86" s="68">
        <f>IF(OR($A86="",$I86=""),"",'02_SETARI'!$B$19-$I86)</f>
        <v/>
      </c>
      <c r="K86" s="68">
        <f>IF($A86="","",IFERROR(IF(INDEX('11_CLIENTI'!$D$5:$D$124,MATCH($A86,'11_CLIENTI'!$A$5:$A$124,0))="","",INDEX('11_CLIENTI'!$D$5:$D$124,MATCH($A86,'11_CLIENTI'!$A$5:$A$124,0))),""))</f>
        <v/>
      </c>
      <c r="L86" s="67">
        <f>IF($A86="","",IF(AND($K86&lt;&gt;"",$K86&lt;='02_SETARI'!$B$18),"Nemulțumit",IF(AND($D86&gt;0,$C86=0),"Nu mai cumpără",IF(AND($J86&lt;&gt;"",$J86&gt;'02_SETARI'!$B$17,$D86&gt;0),"Adormit",IF(AND($E86&lt;&gt;"",$E86&lt;='02_SETARI'!$B$15),"A scăzut",IF(AND($C86&gt;0,$G86&lt;&gt;"",$G86&lt;'02_SETARI'!$B$16),"Marjă mică",IF(AND($E86&lt;&gt;"",$E86&gt;=0.2),"În creștere",IF($C86=0,"Fără activitate","Merge bine"))))))))</f>
        <v/>
      </c>
      <c r="M86" s="67">
        <f>IF($A86="","",IF($L86="Nu mai cumpără","Sună-l săptămâna asta și întreabă direct ce s-a schimbat. Nu trimite email.",IF($L86="Adormit","Sună-l cu un motiv concret: o ofertă, o noutate, o reamintire de sezon.",IF($L86="A scăzut","Întreabă-l dacă a împărțit comenzile cu altcineva. De obicei asta s-a întâmplat.",IF($L86="Nemulțumit","Citește ce a spus în 11_CLIENTI. Rezolvă exact acel lucru, apoi sună-l să-i confirmi. Știi deja cauza — nu mai e nevoie să o cauți.",IF($L86="Marjă mică","Verifică ce discount are și cât te costă să-l servești. Poate merită renegociat.",IF($L86="În creștere","Întreabă-l ce altceva i-ar mai trebui. Acum e momentul, nu peste șase luni.",IF($L86="Fără activitate","Client în listă, dar fără vânzări în perioadă. Verifică dacă mai e client.","Nimic urgent. Ține-l cald."))))))))</f>
        <v/>
      </c>
      <c r="N86" s="68">
        <f>IF($A86="","",IFERROR(IF($L86="Nu mai cumpără",$D86,IF($L86="Adormit",$D86,IF($L86="A scăzut",MAX(0,$D86-$C86),IF($L86="Marjă mică",MAX(0,$C86*('02_SETARI'!$B$16-$G86)),$C86*0.15)))),""))</f>
        <v/>
      </c>
      <c r="O86">
        <f>IF(OR($A86="",$C86="",N($C86)&lt;=0),"",$C86+ROW()/1000000)</f>
        <v/>
      </c>
    </row>
    <row r="87">
      <c r="A87" s="67">
        <f>IF('11_CLIENTI'!$A87="","",'11_CLIENTI'!$A87)</f>
        <v/>
      </c>
      <c r="B87" s="67">
        <f>IF($A87="","",IFERROR(INDEX('11_CLIENTI'!$B$5:$B$124,MATCH($A87,'11_CLIENTI'!$A$5:$A$124,0)),""))</f>
        <v/>
      </c>
      <c r="C87" s="68">
        <f>IF($A87="","",SUMIFS('10_VANZARI'!$E$5:$E$604,'10_VANZARI'!$B$5:$B$604,$A87,'10_VANZARI'!$A$5:$A$604,"&gt;="&amp;'02_SETARI'!$B$5,'10_VANZARI'!$A$5:$A$604,"&lt;="&amp;'02_SETARI'!$B$6))</f>
        <v/>
      </c>
      <c r="D87" s="68">
        <f>IF($A87="","",SUMIFS('10_VANZARI'!$E$5:$E$604,'10_VANZARI'!$B$5:$B$604,$A87,'10_VANZARI'!$A$5:$A$604,"&gt;="&amp;'02_SETARI'!$B$7,'10_VANZARI'!$A$5:$A$604,"&lt;="&amp;'02_SETARI'!$B$8))</f>
        <v/>
      </c>
      <c r="E87" s="69">
        <f>IF($A87="","",IFERROR(IF($D87=0,"",($C87-$D87)/ABS($D87)),""))</f>
        <v/>
      </c>
      <c r="F87" s="68">
        <f>IF($A87="","",SUMIFS('10_VANZARI'!$G$5:$G$604,'10_VANZARI'!$B$5:$B$604,$A87,'10_VANZARI'!$A$5:$A$604,"&gt;="&amp;'02_SETARI'!$B$5,'10_VANZARI'!$A$5:$A$604,"&lt;="&amp;'02_SETARI'!$B$6))</f>
        <v/>
      </c>
      <c r="G87" s="69">
        <f>IF($A87="","",IFERROR($F87/$C87,""))</f>
        <v/>
      </c>
      <c r="H87" s="69">
        <f>IF($A87="","",IFERROR($C87/SUMIFS('10_VANZARI'!$E$5:$E$604,'10_VANZARI'!$A$5:$A$604,"&gt;="&amp;'02_SETARI'!$B$5,'10_VANZARI'!$A$5:$A$604,"&lt;="&amp;'02_SETARI'!$B$6),""))</f>
        <v/>
      </c>
      <c r="I87" s="70">
        <f>IF($A87="","",IFERROR(IF(SUMPRODUCT(MAX(('10_VANZARI'!$B$5:$B$604=$A87)*('10_VANZARI'!$E$5:$E$604&lt;&gt;"")*'10_VANZARI'!$A$5:$A$604))=0,"",SUMPRODUCT(MAX(('10_VANZARI'!$B$5:$B$604=$A87)*('10_VANZARI'!$E$5:$E$604&lt;&gt;"")*'10_VANZARI'!$A$5:$A$604))),""))</f>
        <v/>
      </c>
      <c r="J87" s="68">
        <f>IF(OR($A87="",$I87=""),"",'02_SETARI'!$B$19-$I87)</f>
        <v/>
      </c>
      <c r="K87" s="68">
        <f>IF($A87="","",IFERROR(IF(INDEX('11_CLIENTI'!$D$5:$D$124,MATCH($A87,'11_CLIENTI'!$A$5:$A$124,0))="","",INDEX('11_CLIENTI'!$D$5:$D$124,MATCH($A87,'11_CLIENTI'!$A$5:$A$124,0))),""))</f>
        <v/>
      </c>
      <c r="L87" s="67">
        <f>IF($A87="","",IF(AND($K87&lt;&gt;"",$K87&lt;='02_SETARI'!$B$18),"Nemulțumit",IF(AND($D87&gt;0,$C87=0),"Nu mai cumpără",IF(AND($J87&lt;&gt;"",$J87&gt;'02_SETARI'!$B$17,$D87&gt;0),"Adormit",IF(AND($E87&lt;&gt;"",$E87&lt;='02_SETARI'!$B$15),"A scăzut",IF(AND($C87&gt;0,$G87&lt;&gt;"",$G87&lt;'02_SETARI'!$B$16),"Marjă mică",IF(AND($E87&lt;&gt;"",$E87&gt;=0.2),"În creștere",IF($C87=0,"Fără activitate","Merge bine"))))))))</f>
        <v/>
      </c>
      <c r="M87" s="67">
        <f>IF($A87="","",IF($L87="Nu mai cumpără","Sună-l săptămâna asta și întreabă direct ce s-a schimbat. Nu trimite email.",IF($L87="Adormit","Sună-l cu un motiv concret: o ofertă, o noutate, o reamintire de sezon.",IF($L87="A scăzut","Întreabă-l dacă a împărțit comenzile cu altcineva. De obicei asta s-a întâmplat.",IF($L87="Nemulțumit","Citește ce a spus în 11_CLIENTI. Rezolvă exact acel lucru, apoi sună-l să-i confirmi. Știi deja cauza — nu mai e nevoie să o cauți.",IF($L87="Marjă mică","Verifică ce discount are și cât te costă să-l servești. Poate merită renegociat.",IF($L87="În creștere","Întreabă-l ce altceva i-ar mai trebui. Acum e momentul, nu peste șase luni.",IF($L87="Fără activitate","Client în listă, dar fără vânzări în perioadă. Verifică dacă mai e client.","Nimic urgent. Ține-l cald."))))))))</f>
        <v/>
      </c>
      <c r="N87" s="68">
        <f>IF($A87="","",IFERROR(IF($L87="Nu mai cumpără",$D87,IF($L87="Adormit",$D87,IF($L87="A scăzut",MAX(0,$D87-$C87),IF($L87="Marjă mică",MAX(0,$C87*('02_SETARI'!$B$16-$G87)),$C87*0.15)))),""))</f>
        <v/>
      </c>
      <c r="O87">
        <f>IF(OR($A87="",$C87="",N($C87)&lt;=0),"",$C87+ROW()/1000000)</f>
        <v/>
      </c>
    </row>
    <row r="88">
      <c r="A88" s="67">
        <f>IF('11_CLIENTI'!$A88="","",'11_CLIENTI'!$A88)</f>
        <v/>
      </c>
      <c r="B88" s="67">
        <f>IF($A88="","",IFERROR(INDEX('11_CLIENTI'!$B$5:$B$124,MATCH($A88,'11_CLIENTI'!$A$5:$A$124,0)),""))</f>
        <v/>
      </c>
      <c r="C88" s="68">
        <f>IF($A88="","",SUMIFS('10_VANZARI'!$E$5:$E$604,'10_VANZARI'!$B$5:$B$604,$A88,'10_VANZARI'!$A$5:$A$604,"&gt;="&amp;'02_SETARI'!$B$5,'10_VANZARI'!$A$5:$A$604,"&lt;="&amp;'02_SETARI'!$B$6))</f>
        <v/>
      </c>
      <c r="D88" s="68">
        <f>IF($A88="","",SUMIFS('10_VANZARI'!$E$5:$E$604,'10_VANZARI'!$B$5:$B$604,$A88,'10_VANZARI'!$A$5:$A$604,"&gt;="&amp;'02_SETARI'!$B$7,'10_VANZARI'!$A$5:$A$604,"&lt;="&amp;'02_SETARI'!$B$8))</f>
        <v/>
      </c>
      <c r="E88" s="69">
        <f>IF($A88="","",IFERROR(IF($D88=0,"",($C88-$D88)/ABS($D88)),""))</f>
        <v/>
      </c>
      <c r="F88" s="68">
        <f>IF($A88="","",SUMIFS('10_VANZARI'!$G$5:$G$604,'10_VANZARI'!$B$5:$B$604,$A88,'10_VANZARI'!$A$5:$A$604,"&gt;="&amp;'02_SETARI'!$B$5,'10_VANZARI'!$A$5:$A$604,"&lt;="&amp;'02_SETARI'!$B$6))</f>
        <v/>
      </c>
      <c r="G88" s="69">
        <f>IF($A88="","",IFERROR($F88/$C88,""))</f>
        <v/>
      </c>
      <c r="H88" s="69">
        <f>IF($A88="","",IFERROR($C88/SUMIFS('10_VANZARI'!$E$5:$E$604,'10_VANZARI'!$A$5:$A$604,"&gt;="&amp;'02_SETARI'!$B$5,'10_VANZARI'!$A$5:$A$604,"&lt;="&amp;'02_SETARI'!$B$6),""))</f>
        <v/>
      </c>
      <c r="I88" s="70">
        <f>IF($A88="","",IFERROR(IF(SUMPRODUCT(MAX(('10_VANZARI'!$B$5:$B$604=$A88)*('10_VANZARI'!$E$5:$E$604&lt;&gt;"")*'10_VANZARI'!$A$5:$A$604))=0,"",SUMPRODUCT(MAX(('10_VANZARI'!$B$5:$B$604=$A88)*('10_VANZARI'!$E$5:$E$604&lt;&gt;"")*'10_VANZARI'!$A$5:$A$604))),""))</f>
        <v/>
      </c>
      <c r="J88" s="68">
        <f>IF(OR($A88="",$I88=""),"",'02_SETARI'!$B$19-$I88)</f>
        <v/>
      </c>
      <c r="K88" s="68">
        <f>IF($A88="","",IFERROR(IF(INDEX('11_CLIENTI'!$D$5:$D$124,MATCH($A88,'11_CLIENTI'!$A$5:$A$124,0))="","",INDEX('11_CLIENTI'!$D$5:$D$124,MATCH($A88,'11_CLIENTI'!$A$5:$A$124,0))),""))</f>
        <v/>
      </c>
      <c r="L88" s="67">
        <f>IF($A88="","",IF(AND($K88&lt;&gt;"",$K88&lt;='02_SETARI'!$B$18),"Nemulțumit",IF(AND($D88&gt;0,$C88=0),"Nu mai cumpără",IF(AND($J88&lt;&gt;"",$J88&gt;'02_SETARI'!$B$17,$D88&gt;0),"Adormit",IF(AND($E88&lt;&gt;"",$E88&lt;='02_SETARI'!$B$15),"A scăzut",IF(AND($C88&gt;0,$G88&lt;&gt;"",$G88&lt;'02_SETARI'!$B$16),"Marjă mică",IF(AND($E88&lt;&gt;"",$E88&gt;=0.2),"În creștere",IF($C88=0,"Fără activitate","Merge bine"))))))))</f>
        <v/>
      </c>
      <c r="M88" s="67">
        <f>IF($A88="","",IF($L88="Nu mai cumpără","Sună-l săptămâna asta și întreabă direct ce s-a schimbat. Nu trimite email.",IF($L88="Adormit","Sună-l cu un motiv concret: o ofertă, o noutate, o reamintire de sezon.",IF($L88="A scăzut","Întreabă-l dacă a împărțit comenzile cu altcineva. De obicei asta s-a întâmplat.",IF($L88="Nemulțumit","Citește ce a spus în 11_CLIENTI. Rezolvă exact acel lucru, apoi sună-l să-i confirmi. Știi deja cauza — nu mai e nevoie să o cauți.",IF($L88="Marjă mică","Verifică ce discount are și cât te costă să-l servești. Poate merită renegociat.",IF($L88="În creștere","Întreabă-l ce altceva i-ar mai trebui. Acum e momentul, nu peste șase luni.",IF($L88="Fără activitate","Client în listă, dar fără vânzări în perioadă. Verifică dacă mai e client.","Nimic urgent. Ține-l cald."))))))))</f>
        <v/>
      </c>
      <c r="N88" s="68">
        <f>IF($A88="","",IFERROR(IF($L88="Nu mai cumpără",$D88,IF($L88="Adormit",$D88,IF($L88="A scăzut",MAX(0,$D88-$C88),IF($L88="Marjă mică",MAX(0,$C88*('02_SETARI'!$B$16-$G88)),$C88*0.15)))),""))</f>
        <v/>
      </c>
      <c r="O88">
        <f>IF(OR($A88="",$C88="",N($C88)&lt;=0),"",$C88+ROW()/1000000)</f>
        <v/>
      </c>
    </row>
    <row r="89">
      <c r="A89" s="67">
        <f>IF('11_CLIENTI'!$A89="","",'11_CLIENTI'!$A89)</f>
        <v/>
      </c>
      <c r="B89" s="67">
        <f>IF($A89="","",IFERROR(INDEX('11_CLIENTI'!$B$5:$B$124,MATCH($A89,'11_CLIENTI'!$A$5:$A$124,0)),""))</f>
        <v/>
      </c>
      <c r="C89" s="68">
        <f>IF($A89="","",SUMIFS('10_VANZARI'!$E$5:$E$604,'10_VANZARI'!$B$5:$B$604,$A89,'10_VANZARI'!$A$5:$A$604,"&gt;="&amp;'02_SETARI'!$B$5,'10_VANZARI'!$A$5:$A$604,"&lt;="&amp;'02_SETARI'!$B$6))</f>
        <v/>
      </c>
      <c r="D89" s="68">
        <f>IF($A89="","",SUMIFS('10_VANZARI'!$E$5:$E$604,'10_VANZARI'!$B$5:$B$604,$A89,'10_VANZARI'!$A$5:$A$604,"&gt;="&amp;'02_SETARI'!$B$7,'10_VANZARI'!$A$5:$A$604,"&lt;="&amp;'02_SETARI'!$B$8))</f>
        <v/>
      </c>
      <c r="E89" s="69">
        <f>IF($A89="","",IFERROR(IF($D89=0,"",($C89-$D89)/ABS($D89)),""))</f>
        <v/>
      </c>
      <c r="F89" s="68">
        <f>IF($A89="","",SUMIFS('10_VANZARI'!$G$5:$G$604,'10_VANZARI'!$B$5:$B$604,$A89,'10_VANZARI'!$A$5:$A$604,"&gt;="&amp;'02_SETARI'!$B$5,'10_VANZARI'!$A$5:$A$604,"&lt;="&amp;'02_SETARI'!$B$6))</f>
        <v/>
      </c>
      <c r="G89" s="69">
        <f>IF($A89="","",IFERROR($F89/$C89,""))</f>
        <v/>
      </c>
      <c r="H89" s="69">
        <f>IF($A89="","",IFERROR($C89/SUMIFS('10_VANZARI'!$E$5:$E$604,'10_VANZARI'!$A$5:$A$604,"&gt;="&amp;'02_SETARI'!$B$5,'10_VANZARI'!$A$5:$A$604,"&lt;="&amp;'02_SETARI'!$B$6),""))</f>
        <v/>
      </c>
      <c r="I89" s="70">
        <f>IF($A89="","",IFERROR(IF(SUMPRODUCT(MAX(('10_VANZARI'!$B$5:$B$604=$A89)*('10_VANZARI'!$E$5:$E$604&lt;&gt;"")*'10_VANZARI'!$A$5:$A$604))=0,"",SUMPRODUCT(MAX(('10_VANZARI'!$B$5:$B$604=$A89)*('10_VANZARI'!$E$5:$E$604&lt;&gt;"")*'10_VANZARI'!$A$5:$A$604))),""))</f>
        <v/>
      </c>
      <c r="J89" s="68">
        <f>IF(OR($A89="",$I89=""),"",'02_SETARI'!$B$19-$I89)</f>
        <v/>
      </c>
      <c r="K89" s="68">
        <f>IF($A89="","",IFERROR(IF(INDEX('11_CLIENTI'!$D$5:$D$124,MATCH($A89,'11_CLIENTI'!$A$5:$A$124,0))="","",INDEX('11_CLIENTI'!$D$5:$D$124,MATCH($A89,'11_CLIENTI'!$A$5:$A$124,0))),""))</f>
        <v/>
      </c>
      <c r="L89" s="67">
        <f>IF($A89="","",IF(AND($K89&lt;&gt;"",$K89&lt;='02_SETARI'!$B$18),"Nemulțumit",IF(AND($D89&gt;0,$C89=0),"Nu mai cumpără",IF(AND($J89&lt;&gt;"",$J89&gt;'02_SETARI'!$B$17,$D89&gt;0),"Adormit",IF(AND($E89&lt;&gt;"",$E89&lt;='02_SETARI'!$B$15),"A scăzut",IF(AND($C89&gt;0,$G89&lt;&gt;"",$G89&lt;'02_SETARI'!$B$16),"Marjă mică",IF(AND($E89&lt;&gt;"",$E89&gt;=0.2),"În creștere",IF($C89=0,"Fără activitate","Merge bine"))))))))</f>
        <v/>
      </c>
      <c r="M89" s="67">
        <f>IF($A89="","",IF($L89="Nu mai cumpără","Sună-l săptămâna asta și întreabă direct ce s-a schimbat. Nu trimite email.",IF($L89="Adormit","Sună-l cu un motiv concret: o ofertă, o noutate, o reamintire de sezon.",IF($L89="A scăzut","Întreabă-l dacă a împărțit comenzile cu altcineva. De obicei asta s-a întâmplat.",IF($L89="Nemulțumit","Citește ce a spus în 11_CLIENTI. Rezolvă exact acel lucru, apoi sună-l să-i confirmi. Știi deja cauza — nu mai e nevoie să o cauți.",IF($L89="Marjă mică","Verifică ce discount are și cât te costă să-l servești. Poate merită renegociat.",IF($L89="În creștere","Întreabă-l ce altceva i-ar mai trebui. Acum e momentul, nu peste șase luni.",IF($L89="Fără activitate","Client în listă, dar fără vânzări în perioadă. Verifică dacă mai e client.","Nimic urgent. Ține-l cald."))))))))</f>
        <v/>
      </c>
      <c r="N89" s="68">
        <f>IF($A89="","",IFERROR(IF($L89="Nu mai cumpără",$D89,IF($L89="Adormit",$D89,IF($L89="A scăzut",MAX(0,$D89-$C89),IF($L89="Marjă mică",MAX(0,$C89*('02_SETARI'!$B$16-$G89)),$C89*0.15)))),""))</f>
        <v/>
      </c>
      <c r="O89">
        <f>IF(OR($A89="",$C89="",N($C89)&lt;=0),"",$C89+ROW()/1000000)</f>
        <v/>
      </c>
    </row>
    <row r="90">
      <c r="A90" s="67">
        <f>IF('11_CLIENTI'!$A90="","",'11_CLIENTI'!$A90)</f>
        <v/>
      </c>
      <c r="B90" s="67">
        <f>IF($A90="","",IFERROR(INDEX('11_CLIENTI'!$B$5:$B$124,MATCH($A90,'11_CLIENTI'!$A$5:$A$124,0)),""))</f>
        <v/>
      </c>
      <c r="C90" s="68">
        <f>IF($A90="","",SUMIFS('10_VANZARI'!$E$5:$E$604,'10_VANZARI'!$B$5:$B$604,$A90,'10_VANZARI'!$A$5:$A$604,"&gt;="&amp;'02_SETARI'!$B$5,'10_VANZARI'!$A$5:$A$604,"&lt;="&amp;'02_SETARI'!$B$6))</f>
        <v/>
      </c>
      <c r="D90" s="68">
        <f>IF($A90="","",SUMIFS('10_VANZARI'!$E$5:$E$604,'10_VANZARI'!$B$5:$B$604,$A90,'10_VANZARI'!$A$5:$A$604,"&gt;="&amp;'02_SETARI'!$B$7,'10_VANZARI'!$A$5:$A$604,"&lt;="&amp;'02_SETARI'!$B$8))</f>
        <v/>
      </c>
      <c r="E90" s="69">
        <f>IF($A90="","",IFERROR(IF($D90=0,"",($C90-$D90)/ABS($D90)),""))</f>
        <v/>
      </c>
      <c r="F90" s="68">
        <f>IF($A90="","",SUMIFS('10_VANZARI'!$G$5:$G$604,'10_VANZARI'!$B$5:$B$604,$A90,'10_VANZARI'!$A$5:$A$604,"&gt;="&amp;'02_SETARI'!$B$5,'10_VANZARI'!$A$5:$A$604,"&lt;="&amp;'02_SETARI'!$B$6))</f>
        <v/>
      </c>
      <c r="G90" s="69">
        <f>IF($A90="","",IFERROR($F90/$C90,""))</f>
        <v/>
      </c>
      <c r="H90" s="69">
        <f>IF($A90="","",IFERROR($C90/SUMIFS('10_VANZARI'!$E$5:$E$604,'10_VANZARI'!$A$5:$A$604,"&gt;="&amp;'02_SETARI'!$B$5,'10_VANZARI'!$A$5:$A$604,"&lt;="&amp;'02_SETARI'!$B$6),""))</f>
        <v/>
      </c>
      <c r="I90" s="70">
        <f>IF($A90="","",IFERROR(IF(SUMPRODUCT(MAX(('10_VANZARI'!$B$5:$B$604=$A90)*('10_VANZARI'!$E$5:$E$604&lt;&gt;"")*'10_VANZARI'!$A$5:$A$604))=0,"",SUMPRODUCT(MAX(('10_VANZARI'!$B$5:$B$604=$A90)*('10_VANZARI'!$E$5:$E$604&lt;&gt;"")*'10_VANZARI'!$A$5:$A$604))),""))</f>
        <v/>
      </c>
      <c r="J90" s="68">
        <f>IF(OR($A90="",$I90=""),"",'02_SETARI'!$B$19-$I90)</f>
        <v/>
      </c>
      <c r="K90" s="68">
        <f>IF($A90="","",IFERROR(IF(INDEX('11_CLIENTI'!$D$5:$D$124,MATCH($A90,'11_CLIENTI'!$A$5:$A$124,0))="","",INDEX('11_CLIENTI'!$D$5:$D$124,MATCH($A90,'11_CLIENTI'!$A$5:$A$124,0))),""))</f>
        <v/>
      </c>
      <c r="L90" s="67">
        <f>IF($A90="","",IF(AND($K90&lt;&gt;"",$K90&lt;='02_SETARI'!$B$18),"Nemulțumit",IF(AND($D90&gt;0,$C90=0),"Nu mai cumpără",IF(AND($J90&lt;&gt;"",$J90&gt;'02_SETARI'!$B$17,$D90&gt;0),"Adormit",IF(AND($E90&lt;&gt;"",$E90&lt;='02_SETARI'!$B$15),"A scăzut",IF(AND($C90&gt;0,$G90&lt;&gt;"",$G90&lt;'02_SETARI'!$B$16),"Marjă mică",IF(AND($E90&lt;&gt;"",$E90&gt;=0.2),"În creștere",IF($C90=0,"Fără activitate","Merge bine"))))))))</f>
        <v/>
      </c>
      <c r="M90" s="67">
        <f>IF($A90="","",IF($L90="Nu mai cumpără","Sună-l săptămâna asta și întreabă direct ce s-a schimbat. Nu trimite email.",IF($L90="Adormit","Sună-l cu un motiv concret: o ofertă, o noutate, o reamintire de sezon.",IF($L90="A scăzut","Întreabă-l dacă a împărțit comenzile cu altcineva. De obicei asta s-a întâmplat.",IF($L90="Nemulțumit","Citește ce a spus în 11_CLIENTI. Rezolvă exact acel lucru, apoi sună-l să-i confirmi. Știi deja cauza — nu mai e nevoie să o cauți.",IF($L90="Marjă mică","Verifică ce discount are și cât te costă să-l servești. Poate merită renegociat.",IF($L90="În creștere","Întreabă-l ce altceva i-ar mai trebui. Acum e momentul, nu peste șase luni.",IF($L90="Fără activitate","Client în listă, dar fără vânzări în perioadă. Verifică dacă mai e client.","Nimic urgent. Ține-l cald."))))))))</f>
        <v/>
      </c>
      <c r="N90" s="68">
        <f>IF($A90="","",IFERROR(IF($L90="Nu mai cumpără",$D90,IF($L90="Adormit",$D90,IF($L90="A scăzut",MAX(0,$D90-$C90),IF($L90="Marjă mică",MAX(0,$C90*('02_SETARI'!$B$16-$G90)),$C90*0.15)))),""))</f>
        <v/>
      </c>
      <c r="O90">
        <f>IF(OR($A90="",$C90="",N($C90)&lt;=0),"",$C90+ROW()/1000000)</f>
        <v/>
      </c>
    </row>
    <row r="91">
      <c r="A91" s="67">
        <f>IF('11_CLIENTI'!$A91="","",'11_CLIENTI'!$A91)</f>
        <v/>
      </c>
      <c r="B91" s="67">
        <f>IF($A91="","",IFERROR(INDEX('11_CLIENTI'!$B$5:$B$124,MATCH($A91,'11_CLIENTI'!$A$5:$A$124,0)),""))</f>
        <v/>
      </c>
      <c r="C91" s="68">
        <f>IF($A91="","",SUMIFS('10_VANZARI'!$E$5:$E$604,'10_VANZARI'!$B$5:$B$604,$A91,'10_VANZARI'!$A$5:$A$604,"&gt;="&amp;'02_SETARI'!$B$5,'10_VANZARI'!$A$5:$A$604,"&lt;="&amp;'02_SETARI'!$B$6))</f>
        <v/>
      </c>
      <c r="D91" s="68">
        <f>IF($A91="","",SUMIFS('10_VANZARI'!$E$5:$E$604,'10_VANZARI'!$B$5:$B$604,$A91,'10_VANZARI'!$A$5:$A$604,"&gt;="&amp;'02_SETARI'!$B$7,'10_VANZARI'!$A$5:$A$604,"&lt;="&amp;'02_SETARI'!$B$8))</f>
        <v/>
      </c>
      <c r="E91" s="69">
        <f>IF($A91="","",IFERROR(IF($D91=0,"",($C91-$D91)/ABS($D91)),""))</f>
        <v/>
      </c>
      <c r="F91" s="68">
        <f>IF($A91="","",SUMIFS('10_VANZARI'!$G$5:$G$604,'10_VANZARI'!$B$5:$B$604,$A91,'10_VANZARI'!$A$5:$A$604,"&gt;="&amp;'02_SETARI'!$B$5,'10_VANZARI'!$A$5:$A$604,"&lt;="&amp;'02_SETARI'!$B$6))</f>
        <v/>
      </c>
      <c r="G91" s="69">
        <f>IF($A91="","",IFERROR($F91/$C91,""))</f>
        <v/>
      </c>
      <c r="H91" s="69">
        <f>IF($A91="","",IFERROR($C91/SUMIFS('10_VANZARI'!$E$5:$E$604,'10_VANZARI'!$A$5:$A$604,"&gt;="&amp;'02_SETARI'!$B$5,'10_VANZARI'!$A$5:$A$604,"&lt;="&amp;'02_SETARI'!$B$6),""))</f>
        <v/>
      </c>
      <c r="I91" s="70">
        <f>IF($A91="","",IFERROR(IF(SUMPRODUCT(MAX(('10_VANZARI'!$B$5:$B$604=$A91)*('10_VANZARI'!$E$5:$E$604&lt;&gt;"")*'10_VANZARI'!$A$5:$A$604))=0,"",SUMPRODUCT(MAX(('10_VANZARI'!$B$5:$B$604=$A91)*('10_VANZARI'!$E$5:$E$604&lt;&gt;"")*'10_VANZARI'!$A$5:$A$604))),""))</f>
        <v/>
      </c>
      <c r="J91" s="68">
        <f>IF(OR($A91="",$I91=""),"",'02_SETARI'!$B$19-$I91)</f>
        <v/>
      </c>
      <c r="K91" s="68">
        <f>IF($A91="","",IFERROR(IF(INDEX('11_CLIENTI'!$D$5:$D$124,MATCH($A91,'11_CLIENTI'!$A$5:$A$124,0))="","",INDEX('11_CLIENTI'!$D$5:$D$124,MATCH($A91,'11_CLIENTI'!$A$5:$A$124,0))),""))</f>
        <v/>
      </c>
      <c r="L91" s="67">
        <f>IF($A91="","",IF(AND($K91&lt;&gt;"",$K91&lt;='02_SETARI'!$B$18),"Nemulțumit",IF(AND($D91&gt;0,$C91=0),"Nu mai cumpără",IF(AND($J91&lt;&gt;"",$J91&gt;'02_SETARI'!$B$17,$D91&gt;0),"Adormit",IF(AND($E91&lt;&gt;"",$E91&lt;='02_SETARI'!$B$15),"A scăzut",IF(AND($C91&gt;0,$G91&lt;&gt;"",$G91&lt;'02_SETARI'!$B$16),"Marjă mică",IF(AND($E91&lt;&gt;"",$E91&gt;=0.2),"În creștere",IF($C91=0,"Fără activitate","Merge bine"))))))))</f>
        <v/>
      </c>
      <c r="M91" s="67">
        <f>IF($A91="","",IF($L91="Nu mai cumpără","Sună-l săptămâna asta și întreabă direct ce s-a schimbat. Nu trimite email.",IF($L91="Adormit","Sună-l cu un motiv concret: o ofertă, o noutate, o reamintire de sezon.",IF($L91="A scăzut","Întreabă-l dacă a împărțit comenzile cu altcineva. De obicei asta s-a întâmplat.",IF($L91="Nemulțumit","Citește ce a spus în 11_CLIENTI. Rezolvă exact acel lucru, apoi sună-l să-i confirmi. Știi deja cauza — nu mai e nevoie să o cauți.",IF($L91="Marjă mică","Verifică ce discount are și cât te costă să-l servești. Poate merită renegociat.",IF($L91="În creștere","Întreabă-l ce altceva i-ar mai trebui. Acum e momentul, nu peste șase luni.",IF($L91="Fără activitate","Client în listă, dar fără vânzări în perioadă. Verifică dacă mai e client.","Nimic urgent. Ține-l cald."))))))))</f>
        <v/>
      </c>
      <c r="N91" s="68">
        <f>IF($A91="","",IFERROR(IF($L91="Nu mai cumpără",$D91,IF($L91="Adormit",$D91,IF($L91="A scăzut",MAX(0,$D91-$C91),IF($L91="Marjă mică",MAX(0,$C91*('02_SETARI'!$B$16-$G91)),$C91*0.15)))),""))</f>
        <v/>
      </c>
      <c r="O91">
        <f>IF(OR($A91="",$C91="",N($C91)&lt;=0),"",$C91+ROW()/1000000)</f>
        <v/>
      </c>
    </row>
    <row r="92">
      <c r="A92" s="67">
        <f>IF('11_CLIENTI'!$A92="","",'11_CLIENTI'!$A92)</f>
        <v/>
      </c>
      <c r="B92" s="67">
        <f>IF($A92="","",IFERROR(INDEX('11_CLIENTI'!$B$5:$B$124,MATCH($A92,'11_CLIENTI'!$A$5:$A$124,0)),""))</f>
        <v/>
      </c>
      <c r="C92" s="68">
        <f>IF($A92="","",SUMIFS('10_VANZARI'!$E$5:$E$604,'10_VANZARI'!$B$5:$B$604,$A92,'10_VANZARI'!$A$5:$A$604,"&gt;="&amp;'02_SETARI'!$B$5,'10_VANZARI'!$A$5:$A$604,"&lt;="&amp;'02_SETARI'!$B$6))</f>
        <v/>
      </c>
      <c r="D92" s="68">
        <f>IF($A92="","",SUMIFS('10_VANZARI'!$E$5:$E$604,'10_VANZARI'!$B$5:$B$604,$A92,'10_VANZARI'!$A$5:$A$604,"&gt;="&amp;'02_SETARI'!$B$7,'10_VANZARI'!$A$5:$A$604,"&lt;="&amp;'02_SETARI'!$B$8))</f>
        <v/>
      </c>
      <c r="E92" s="69">
        <f>IF($A92="","",IFERROR(IF($D92=0,"",($C92-$D92)/ABS($D92)),""))</f>
        <v/>
      </c>
      <c r="F92" s="68">
        <f>IF($A92="","",SUMIFS('10_VANZARI'!$G$5:$G$604,'10_VANZARI'!$B$5:$B$604,$A92,'10_VANZARI'!$A$5:$A$604,"&gt;="&amp;'02_SETARI'!$B$5,'10_VANZARI'!$A$5:$A$604,"&lt;="&amp;'02_SETARI'!$B$6))</f>
        <v/>
      </c>
      <c r="G92" s="69">
        <f>IF($A92="","",IFERROR($F92/$C92,""))</f>
        <v/>
      </c>
      <c r="H92" s="69">
        <f>IF($A92="","",IFERROR($C92/SUMIFS('10_VANZARI'!$E$5:$E$604,'10_VANZARI'!$A$5:$A$604,"&gt;="&amp;'02_SETARI'!$B$5,'10_VANZARI'!$A$5:$A$604,"&lt;="&amp;'02_SETARI'!$B$6),""))</f>
        <v/>
      </c>
      <c r="I92" s="70">
        <f>IF($A92="","",IFERROR(IF(SUMPRODUCT(MAX(('10_VANZARI'!$B$5:$B$604=$A92)*('10_VANZARI'!$E$5:$E$604&lt;&gt;"")*'10_VANZARI'!$A$5:$A$604))=0,"",SUMPRODUCT(MAX(('10_VANZARI'!$B$5:$B$604=$A92)*('10_VANZARI'!$E$5:$E$604&lt;&gt;"")*'10_VANZARI'!$A$5:$A$604))),""))</f>
        <v/>
      </c>
      <c r="J92" s="68">
        <f>IF(OR($A92="",$I92=""),"",'02_SETARI'!$B$19-$I92)</f>
        <v/>
      </c>
      <c r="K92" s="68">
        <f>IF($A92="","",IFERROR(IF(INDEX('11_CLIENTI'!$D$5:$D$124,MATCH($A92,'11_CLIENTI'!$A$5:$A$124,0))="","",INDEX('11_CLIENTI'!$D$5:$D$124,MATCH($A92,'11_CLIENTI'!$A$5:$A$124,0))),""))</f>
        <v/>
      </c>
      <c r="L92" s="67">
        <f>IF($A92="","",IF(AND($K92&lt;&gt;"",$K92&lt;='02_SETARI'!$B$18),"Nemulțumit",IF(AND($D92&gt;0,$C92=0),"Nu mai cumpără",IF(AND($J92&lt;&gt;"",$J92&gt;'02_SETARI'!$B$17,$D92&gt;0),"Adormit",IF(AND($E92&lt;&gt;"",$E92&lt;='02_SETARI'!$B$15),"A scăzut",IF(AND($C92&gt;0,$G92&lt;&gt;"",$G92&lt;'02_SETARI'!$B$16),"Marjă mică",IF(AND($E92&lt;&gt;"",$E92&gt;=0.2),"În creștere",IF($C92=0,"Fără activitate","Merge bine"))))))))</f>
        <v/>
      </c>
      <c r="M92" s="67">
        <f>IF($A92="","",IF($L92="Nu mai cumpără","Sună-l săptămâna asta și întreabă direct ce s-a schimbat. Nu trimite email.",IF($L92="Adormit","Sună-l cu un motiv concret: o ofertă, o noutate, o reamintire de sezon.",IF($L92="A scăzut","Întreabă-l dacă a împărțit comenzile cu altcineva. De obicei asta s-a întâmplat.",IF($L92="Nemulțumit","Citește ce a spus în 11_CLIENTI. Rezolvă exact acel lucru, apoi sună-l să-i confirmi. Știi deja cauza — nu mai e nevoie să o cauți.",IF($L92="Marjă mică","Verifică ce discount are și cât te costă să-l servești. Poate merită renegociat.",IF($L92="În creștere","Întreabă-l ce altceva i-ar mai trebui. Acum e momentul, nu peste șase luni.",IF($L92="Fără activitate","Client în listă, dar fără vânzări în perioadă. Verifică dacă mai e client.","Nimic urgent. Ține-l cald."))))))))</f>
        <v/>
      </c>
      <c r="N92" s="68">
        <f>IF($A92="","",IFERROR(IF($L92="Nu mai cumpără",$D92,IF($L92="Adormit",$D92,IF($L92="A scăzut",MAX(0,$D92-$C92),IF($L92="Marjă mică",MAX(0,$C92*('02_SETARI'!$B$16-$G92)),$C92*0.15)))),""))</f>
        <v/>
      </c>
      <c r="O92">
        <f>IF(OR($A92="",$C92="",N($C92)&lt;=0),"",$C92+ROW()/1000000)</f>
        <v/>
      </c>
    </row>
    <row r="93">
      <c r="A93" s="67">
        <f>IF('11_CLIENTI'!$A93="","",'11_CLIENTI'!$A93)</f>
        <v/>
      </c>
      <c r="B93" s="67">
        <f>IF($A93="","",IFERROR(INDEX('11_CLIENTI'!$B$5:$B$124,MATCH($A93,'11_CLIENTI'!$A$5:$A$124,0)),""))</f>
        <v/>
      </c>
      <c r="C93" s="68">
        <f>IF($A93="","",SUMIFS('10_VANZARI'!$E$5:$E$604,'10_VANZARI'!$B$5:$B$604,$A93,'10_VANZARI'!$A$5:$A$604,"&gt;="&amp;'02_SETARI'!$B$5,'10_VANZARI'!$A$5:$A$604,"&lt;="&amp;'02_SETARI'!$B$6))</f>
        <v/>
      </c>
      <c r="D93" s="68">
        <f>IF($A93="","",SUMIFS('10_VANZARI'!$E$5:$E$604,'10_VANZARI'!$B$5:$B$604,$A93,'10_VANZARI'!$A$5:$A$604,"&gt;="&amp;'02_SETARI'!$B$7,'10_VANZARI'!$A$5:$A$604,"&lt;="&amp;'02_SETARI'!$B$8))</f>
        <v/>
      </c>
      <c r="E93" s="69">
        <f>IF($A93="","",IFERROR(IF($D93=0,"",($C93-$D93)/ABS($D93)),""))</f>
        <v/>
      </c>
      <c r="F93" s="68">
        <f>IF($A93="","",SUMIFS('10_VANZARI'!$G$5:$G$604,'10_VANZARI'!$B$5:$B$604,$A93,'10_VANZARI'!$A$5:$A$604,"&gt;="&amp;'02_SETARI'!$B$5,'10_VANZARI'!$A$5:$A$604,"&lt;="&amp;'02_SETARI'!$B$6))</f>
        <v/>
      </c>
      <c r="G93" s="69">
        <f>IF($A93="","",IFERROR($F93/$C93,""))</f>
        <v/>
      </c>
      <c r="H93" s="69">
        <f>IF($A93="","",IFERROR($C93/SUMIFS('10_VANZARI'!$E$5:$E$604,'10_VANZARI'!$A$5:$A$604,"&gt;="&amp;'02_SETARI'!$B$5,'10_VANZARI'!$A$5:$A$604,"&lt;="&amp;'02_SETARI'!$B$6),""))</f>
        <v/>
      </c>
      <c r="I93" s="70">
        <f>IF($A93="","",IFERROR(IF(SUMPRODUCT(MAX(('10_VANZARI'!$B$5:$B$604=$A93)*('10_VANZARI'!$E$5:$E$604&lt;&gt;"")*'10_VANZARI'!$A$5:$A$604))=0,"",SUMPRODUCT(MAX(('10_VANZARI'!$B$5:$B$604=$A93)*('10_VANZARI'!$E$5:$E$604&lt;&gt;"")*'10_VANZARI'!$A$5:$A$604))),""))</f>
        <v/>
      </c>
      <c r="J93" s="68">
        <f>IF(OR($A93="",$I93=""),"",'02_SETARI'!$B$19-$I93)</f>
        <v/>
      </c>
      <c r="K93" s="68">
        <f>IF($A93="","",IFERROR(IF(INDEX('11_CLIENTI'!$D$5:$D$124,MATCH($A93,'11_CLIENTI'!$A$5:$A$124,0))="","",INDEX('11_CLIENTI'!$D$5:$D$124,MATCH($A93,'11_CLIENTI'!$A$5:$A$124,0))),""))</f>
        <v/>
      </c>
      <c r="L93" s="67">
        <f>IF($A93="","",IF(AND($K93&lt;&gt;"",$K93&lt;='02_SETARI'!$B$18),"Nemulțumit",IF(AND($D93&gt;0,$C93=0),"Nu mai cumpără",IF(AND($J93&lt;&gt;"",$J93&gt;'02_SETARI'!$B$17,$D93&gt;0),"Adormit",IF(AND($E93&lt;&gt;"",$E93&lt;='02_SETARI'!$B$15),"A scăzut",IF(AND($C93&gt;0,$G93&lt;&gt;"",$G93&lt;'02_SETARI'!$B$16),"Marjă mică",IF(AND($E93&lt;&gt;"",$E93&gt;=0.2),"În creștere",IF($C93=0,"Fără activitate","Merge bine"))))))))</f>
        <v/>
      </c>
      <c r="M93" s="67">
        <f>IF($A93="","",IF($L93="Nu mai cumpără","Sună-l săptămâna asta și întreabă direct ce s-a schimbat. Nu trimite email.",IF($L93="Adormit","Sună-l cu un motiv concret: o ofertă, o noutate, o reamintire de sezon.",IF($L93="A scăzut","Întreabă-l dacă a împărțit comenzile cu altcineva. De obicei asta s-a întâmplat.",IF($L93="Nemulțumit","Citește ce a spus în 11_CLIENTI. Rezolvă exact acel lucru, apoi sună-l să-i confirmi. Știi deja cauza — nu mai e nevoie să o cauți.",IF($L93="Marjă mică","Verifică ce discount are și cât te costă să-l servești. Poate merită renegociat.",IF($L93="În creștere","Întreabă-l ce altceva i-ar mai trebui. Acum e momentul, nu peste șase luni.",IF($L93="Fără activitate","Client în listă, dar fără vânzări în perioadă. Verifică dacă mai e client.","Nimic urgent. Ține-l cald."))))))))</f>
        <v/>
      </c>
      <c r="N93" s="68">
        <f>IF($A93="","",IFERROR(IF($L93="Nu mai cumpără",$D93,IF($L93="Adormit",$D93,IF($L93="A scăzut",MAX(0,$D93-$C93),IF($L93="Marjă mică",MAX(0,$C93*('02_SETARI'!$B$16-$G93)),$C93*0.15)))),""))</f>
        <v/>
      </c>
      <c r="O93">
        <f>IF(OR($A93="",$C93="",N($C93)&lt;=0),"",$C93+ROW()/1000000)</f>
        <v/>
      </c>
    </row>
    <row r="94">
      <c r="A94" s="67">
        <f>IF('11_CLIENTI'!$A94="","",'11_CLIENTI'!$A94)</f>
        <v/>
      </c>
      <c r="B94" s="67">
        <f>IF($A94="","",IFERROR(INDEX('11_CLIENTI'!$B$5:$B$124,MATCH($A94,'11_CLIENTI'!$A$5:$A$124,0)),""))</f>
        <v/>
      </c>
      <c r="C94" s="68">
        <f>IF($A94="","",SUMIFS('10_VANZARI'!$E$5:$E$604,'10_VANZARI'!$B$5:$B$604,$A94,'10_VANZARI'!$A$5:$A$604,"&gt;="&amp;'02_SETARI'!$B$5,'10_VANZARI'!$A$5:$A$604,"&lt;="&amp;'02_SETARI'!$B$6))</f>
        <v/>
      </c>
      <c r="D94" s="68">
        <f>IF($A94="","",SUMIFS('10_VANZARI'!$E$5:$E$604,'10_VANZARI'!$B$5:$B$604,$A94,'10_VANZARI'!$A$5:$A$604,"&gt;="&amp;'02_SETARI'!$B$7,'10_VANZARI'!$A$5:$A$604,"&lt;="&amp;'02_SETARI'!$B$8))</f>
        <v/>
      </c>
      <c r="E94" s="69">
        <f>IF($A94="","",IFERROR(IF($D94=0,"",($C94-$D94)/ABS($D94)),""))</f>
        <v/>
      </c>
      <c r="F94" s="68">
        <f>IF($A94="","",SUMIFS('10_VANZARI'!$G$5:$G$604,'10_VANZARI'!$B$5:$B$604,$A94,'10_VANZARI'!$A$5:$A$604,"&gt;="&amp;'02_SETARI'!$B$5,'10_VANZARI'!$A$5:$A$604,"&lt;="&amp;'02_SETARI'!$B$6))</f>
        <v/>
      </c>
      <c r="G94" s="69">
        <f>IF($A94="","",IFERROR($F94/$C94,""))</f>
        <v/>
      </c>
      <c r="H94" s="69">
        <f>IF($A94="","",IFERROR($C94/SUMIFS('10_VANZARI'!$E$5:$E$604,'10_VANZARI'!$A$5:$A$604,"&gt;="&amp;'02_SETARI'!$B$5,'10_VANZARI'!$A$5:$A$604,"&lt;="&amp;'02_SETARI'!$B$6),""))</f>
        <v/>
      </c>
      <c r="I94" s="70">
        <f>IF($A94="","",IFERROR(IF(SUMPRODUCT(MAX(('10_VANZARI'!$B$5:$B$604=$A94)*('10_VANZARI'!$E$5:$E$604&lt;&gt;"")*'10_VANZARI'!$A$5:$A$604))=0,"",SUMPRODUCT(MAX(('10_VANZARI'!$B$5:$B$604=$A94)*('10_VANZARI'!$E$5:$E$604&lt;&gt;"")*'10_VANZARI'!$A$5:$A$604))),""))</f>
        <v/>
      </c>
      <c r="J94" s="68">
        <f>IF(OR($A94="",$I94=""),"",'02_SETARI'!$B$19-$I94)</f>
        <v/>
      </c>
      <c r="K94" s="68">
        <f>IF($A94="","",IFERROR(IF(INDEX('11_CLIENTI'!$D$5:$D$124,MATCH($A94,'11_CLIENTI'!$A$5:$A$124,0))="","",INDEX('11_CLIENTI'!$D$5:$D$124,MATCH($A94,'11_CLIENTI'!$A$5:$A$124,0))),""))</f>
        <v/>
      </c>
      <c r="L94" s="67">
        <f>IF($A94="","",IF(AND($K94&lt;&gt;"",$K94&lt;='02_SETARI'!$B$18),"Nemulțumit",IF(AND($D94&gt;0,$C94=0),"Nu mai cumpără",IF(AND($J94&lt;&gt;"",$J94&gt;'02_SETARI'!$B$17,$D94&gt;0),"Adormit",IF(AND($E94&lt;&gt;"",$E94&lt;='02_SETARI'!$B$15),"A scăzut",IF(AND($C94&gt;0,$G94&lt;&gt;"",$G94&lt;'02_SETARI'!$B$16),"Marjă mică",IF(AND($E94&lt;&gt;"",$E94&gt;=0.2),"În creștere",IF($C94=0,"Fără activitate","Merge bine"))))))))</f>
        <v/>
      </c>
      <c r="M94" s="67">
        <f>IF($A94="","",IF($L94="Nu mai cumpără","Sună-l săptămâna asta și întreabă direct ce s-a schimbat. Nu trimite email.",IF($L94="Adormit","Sună-l cu un motiv concret: o ofertă, o noutate, o reamintire de sezon.",IF($L94="A scăzut","Întreabă-l dacă a împărțit comenzile cu altcineva. De obicei asta s-a întâmplat.",IF($L94="Nemulțumit","Citește ce a spus în 11_CLIENTI. Rezolvă exact acel lucru, apoi sună-l să-i confirmi. Știi deja cauza — nu mai e nevoie să o cauți.",IF($L94="Marjă mică","Verifică ce discount are și cât te costă să-l servești. Poate merită renegociat.",IF($L94="În creștere","Întreabă-l ce altceva i-ar mai trebui. Acum e momentul, nu peste șase luni.",IF($L94="Fără activitate","Client în listă, dar fără vânzări în perioadă. Verifică dacă mai e client.","Nimic urgent. Ține-l cald."))))))))</f>
        <v/>
      </c>
      <c r="N94" s="68">
        <f>IF($A94="","",IFERROR(IF($L94="Nu mai cumpără",$D94,IF($L94="Adormit",$D94,IF($L94="A scăzut",MAX(0,$D94-$C94),IF($L94="Marjă mică",MAX(0,$C94*('02_SETARI'!$B$16-$G94)),$C94*0.15)))),""))</f>
        <v/>
      </c>
      <c r="O94">
        <f>IF(OR($A94="",$C94="",N($C94)&lt;=0),"",$C94+ROW()/1000000)</f>
        <v/>
      </c>
    </row>
    <row r="95">
      <c r="A95" s="67">
        <f>IF('11_CLIENTI'!$A95="","",'11_CLIENTI'!$A95)</f>
        <v/>
      </c>
      <c r="B95" s="67">
        <f>IF($A95="","",IFERROR(INDEX('11_CLIENTI'!$B$5:$B$124,MATCH($A95,'11_CLIENTI'!$A$5:$A$124,0)),""))</f>
        <v/>
      </c>
      <c r="C95" s="68">
        <f>IF($A95="","",SUMIFS('10_VANZARI'!$E$5:$E$604,'10_VANZARI'!$B$5:$B$604,$A95,'10_VANZARI'!$A$5:$A$604,"&gt;="&amp;'02_SETARI'!$B$5,'10_VANZARI'!$A$5:$A$604,"&lt;="&amp;'02_SETARI'!$B$6))</f>
        <v/>
      </c>
      <c r="D95" s="68">
        <f>IF($A95="","",SUMIFS('10_VANZARI'!$E$5:$E$604,'10_VANZARI'!$B$5:$B$604,$A95,'10_VANZARI'!$A$5:$A$604,"&gt;="&amp;'02_SETARI'!$B$7,'10_VANZARI'!$A$5:$A$604,"&lt;="&amp;'02_SETARI'!$B$8))</f>
        <v/>
      </c>
      <c r="E95" s="69">
        <f>IF($A95="","",IFERROR(IF($D95=0,"",($C95-$D95)/ABS($D95)),""))</f>
        <v/>
      </c>
      <c r="F95" s="68">
        <f>IF($A95="","",SUMIFS('10_VANZARI'!$G$5:$G$604,'10_VANZARI'!$B$5:$B$604,$A95,'10_VANZARI'!$A$5:$A$604,"&gt;="&amp;'02_SETARI'!$B$5,'10_VANZARI'!$A$5:$A$604,"&lt;="&amp;'02_SETARI'!$B$6))</f>
        <v/>
      </c>
      <c r="G95" s="69">
        <f>IF($A95="","",IFERROR($F95/$C95,""))</f>
        <v/>
      </c>
      <c r="H95" s="69">
        <f>IF($A95="","",IFERROR($C95/SUMIFS('10_VANZARI'!$E$5:$E$604,'10_VANZARI'!$A$5:$A$604,"&gt;="&amp;'02_SETARI'!$B$5,'10_VANZARI'!$A$5:$A$604,"&lt;="&amp;'02_SETARI'!$B$6),""))</f>
        <v/>
      </c>
      <c r="I95" s="70">
        <f>IF($A95="","",IFERROR(IF(SUMPRODUCT(MAX(('10_VANZARI'!$B$5:$B$604=$A95)*('10_VANZARI'!$E$5:$E$604&lt;&gt;"")*'10_VANZARI'!$A$5:$A$604))=0,"",SUMPRODUCT(MAX(('10_VANZARI'!$B$5:$B$604=$A95)*('10_VANZARI'!$E$5:$E$604&lt;&gt;"")*'10_VANZARI'!$A$5:$A$604))),""))</f>
        <v/>
      </c>
      <c r="J95" s="68">
        <f>IF(OR($A95="",$I95=""),"",'02_SETARI'!$B$19-$I95)</f>
        <v/>
      </c>
      <c r="K95" s="68">
        <f>IF($A95="","",IFERROR(IF(INDEX('11_CLIENTI'!$D$5:$D$124,MATCH($A95,'11_CLIENTI'!$A$5:$A$124,0))="","",INDEX('11_CLIENTI'!$D$5:$D$124,MATCH($A95,'11_CLIENTI'!$A$5:$A$124,0))),""))</f>
        <v/>
      </c>
      <c r="L95" s="67">
        <f>IF($A95="","",IF(AND($K95&lt;&gt;"",$K95&lt;='02_SETARI'!$B$18),"Nemulțumit",IF(AND($D95&gt;0,$C95=0),"Nu mai cumpără",IF(AND($J95&lt;&gt;"",$J95&gt;'02_SETARI'!$B$17,$D95&gt;0),"Adormit",IF(AND($E95&lt;&gt;"",$E95&lt;='02_SETARI'!$B$15),"A scăzut",IF(AND($C95&gt;0,$G95&lt;&gt;"",$G95&lt;'02_SETARI'!$B$16),"Marjă mică",IF(AND($E95&lt;&gt;"",$E95&gt;=0.2),"În creștere",IF($C95=0,"Fără activitate","Merge bine"))))))))</f>
        <v/>
      </c>
      <c r="M95" s="67">
        <f>IF($A95="","",IF($L95="Nu mai cumpără","Sună-l săptămâna asta și întreabă direct ce s-a schimbat. Nu trimite email.",IF($L95="Adormit","Sună-l cu un motiv concret: o ofertă, o noutate, o reamintire de sezon.",IF($L95="A scăzut","Întreabă-l dacă a împărțit comenzile cu altcineva. De obicei asta s-a întâmplat.",IF($L95="Nemulțumit","Citește ce a spus în 11_CLIENTI. Rezolvă exact acel lucru, apoi sună-l să-i confirmi. Știi deja cauza — nu mai e nevoie să o cauți.",IF($L95="Marjă mică","Verifică ce discount are și cât te costă să-l servești. Poate merită renegociat.",IF($L95="În creștere","Întreabă-l ce altceva i-ar mai trebui. Acum e momentul, nu peste șase luni.",IF($L95="Fără activitate","Client în listă, dar fără vânzări în perioadă. Verifică dacă mai e client.","Nimic urgent. Ține-l cald."))))))))</f>
        <v/>
      </c>
      <c r="N95" s="68">
        <f>IF($A95="","",IFERROR(IF($L95="Nu mai cumpără",$D95,IF($L95="Adormit",$D95,IF($L95="A scăzut",MAX(0,$D95-$C95),IF($L95="Marjă mică",MAX(0,$C95*('02_SETARI'!$B$16-$G95)),$C95*0.15)))),""))</f>
        <v/>
      </c>
      <c r="O95">
        <f>IF(OR($A95="",$C95="",N($C95)&lt;=0),"",$C95+ROW()/1000000)</f>
        <v/>
      </c>
    </row>
    <row r="96">
      <c r="A96" s="67">
        <f>IF('11_CLIENTI'!$A96="","",'11_CLIENTI'!$A96)</f>
        <v/>
      </c>
      <c r="B96" s="67">
        <f>IF($A96="","",IFERROR(INDEX('11_CLIENTI'!$B$5:$B$124,MATCH($A96,'11_CLIENTI'!$A$5:$A$124,0)),""))</f>
        <v/>
      </c>
      <c r="C96" s="68">
        <f>IF($A96="","",SUMIFS('10_VANZARI'!$E$5:$E$604,'10_VANZARI'!$B$5:$B$604,$A96,'10_VANZARI'!$A$5:$A$604,"&gt;="&amp;'02_SETARI'!$B$5,'10_VANZARI'!$A$5:$A$604,"&lt;="&amp;'02_SETARI'!$B$6))</f>
        <v/>
      </c>
      <c r="D96" s="68">
        <f>IF($A96="","",SUMIFS('10_VANZARI'!$E$5:$E$604,'10_VANZARI'!$B$5:$B$604,$A96,'10_VANZARI'!$A$5:$A$604,"&gt;="&amp;'02_SETARI'!$B$7,'10_VANZARI'!$A$5:$A$604,"&lt;="&amp;'02_SETARI'!$B$8))</f>
        <v/>
      </c>
      <c r="E96" s="69">
        <f>IF($A96="","",IFERROR(IF($D96=0,"",($C96-$D96)/ABS($D96)),""))</f>
        <v/>
      </c>
      <c r="F96" s="68">
        <f>IF($A96="","",SUMIFS('10_VANZARI'!$G$5:$G$604,'10_VANZARI'!$B$5:$B$604,$A96,'10_VANZARI'!$A$5:$A$604,"&gt;="&amp;'02_SETARI'!$B$5,'10_VANZARI'!$A$5:$A$604,"&lt;="&amp;'02_SETARI'!$B$6))</f>
        <v/>
      </c>
      <c r="G96" s="69">
        <f>IF($A96="","",IFERROR($F96/$C96,""))</f>
        <v/>
      </c>
      <c r="H96" s="69">
        <f>IF($A96="","",IFERROR($C96/SUMIFS('10_VANZARI'!$E$5:$E$604,'10_VANZARI'!$A$5:$A$604,"&gt;="&amp;'02_SETARI'!$B$5,'10_VANZARI'!$A$5:$A$604,"&lt;="&amp;'02_SETARI'!$B$6),""))</f>
        <v/>
      </c>
      <c r="I96" s="70">
        <f>IF($A96="","",IFERROR(IF(SUMPRODUCT(MAX(('10_VANZARI'!$B$5:$B$604=$A96)*('10_VANZARI'!$E$5:$E$604&lt;&gt;"")*'10_VANZARI'!$A$5:$A$604))=0,"",SUMPRODUCT(MAX(('10_VANZARI'!$B$5:$B$604=$A96)*('10_VANZARI'!$E$5:$E$604&lt;&gt;"")*'10_VANZARI'!$A$5:$A$604))),""))</f>
        <v/>
      </c>
      <c r="J96" s="68">
        <f>IF(OR($A96="",$I96=""),"",'02_SETARI'!$B$19-$I96)</f>
        <v/>
      </c>
      <c r="K96" s="68">
        <f>IF($A96="","",IFERROR(IF(INDEX('11_CLIENTI'!$D$5:$D$124,MATCH($A96,'11_CLIENTI'!$A$5:$A$124,0))="","",INDEX('11_CLIENTI'!$D$5:$D$124,MATCH($A96,'11_CLIENTI'!$A$5:$A$124,0))),""))</f>
        <v/>
      </c>
      <c r="L96" s="67">
        <f>IF($A96="","",IF(AND($K96&lt;&gt;"",$K96&lt;='02_SETARI'!$B$18),"Nemulțumit",IF(AND($D96&gt;0,$C96=0),"Nu mai cumpără",IF(AND($J96&lt;&gt;"",$J96&gt;'02_SETARI'!$B$17,$D96&gt;0),"Adormit",IF(AND($E96&lt;&gt;"",$E96&lt;='02_SETARI'!$B$15),"A scăzut",IF(AND($C96&gt;0,$G96&lt;&gt;"",$G96&lt;'02_SETARI'!$B$16),"Marjă mică",IF(AND($E96&lt;&gt;"",$E96&gt;=0.2),"În creștere",IF($C96=0,"Fără activitate","Merge bine"))))))))</f>
        <v/>
      </c>
      <c r="M96" s="67">
        <f>IF($A96="","",IF($L96="Nu mai cumpără","Sună-l săptămâna asta și întreabă direct ce s-a schimbat. Nu trimite email.",IF($L96="Adormit","Sună-l cu un motiv concret: o ofertă, o noutate, o reamintire de sezon.",IF($L96="A scăzut","Întreabă-l dacă a împărțit comenzile cu altcineva. De obicei asta s-a întâmplat.",IF($L96="Nemulțumit","Citește ce a spus în 11_CLIENTI. Rezolvă exact acel lucru, apoi sună-l să-i confirmi. Știi deja cauza — nu mai e nevoie să o cauți.",IF($L96="Marjă mică","Verifică ce discount are și cât te costă să-l servești. Poate merită renegociat.",IF($L96="În creștere","Întreabă-l ce altceva i-ar mai trebui. Acum e momentul, nu peste șase luni.",IF($L96="Fără activitate","Client în listă, dar fără vânzări în perioadă. Verifică dacă mai e client.","Nimic urgent. Ține-l cald."))))))))</f>
        <v/>
      </c>
      <c r="N96" s="68">
        <f>IF($A96="","",IFERROR(IF($L96="Nu mai cumpără",$D96,IF($L96="Adormit",$D96,IF($L96="A scăzut",MAX(0,$D96-$C96),IF($L96="Marjă mică",MAX(0,$C96*('02_SETARI'!$B$16-$G96)),$C96*0.15)))),""))</f>
        <v/>
      </c>
      <c r="O96">
        <f>IF(OR($A96="",$C96="",N($C96)&lt;=0),"",$C96+ROW()/1000000)</f>
        <v/>
      </c>
    </row>
    <row r="97">
      <c r="A97" s="67">
        <f>IF('11_CLIENTI'!$A97="","",'11_CLIENTI'!$A97)</f>
        <v/>
      </c>
      <c r="B97" s="67">
        <f>IF($A97="","",IFERROR(INDEX('11_CLIENTI'!$B$5:$B$124,MATCH($A97,'11_CLIENTI'!$A$5:$A$124,0)),""))</f>
        <v/>
      </c>
      <c r="C97" s="68">
        <f>IF($A97="","",SUMIFS('10_VANZARI'!$E$5:$E$604,'10_VANZARI'!$B$5:$B$604,$A97,'10_VANZARI'!$A$5:$A$604,"&gt;="&amp;'02_SETARI'!$B$5,'10_VANZARI'!$A$5:$A$604,"&lt;="&amp;'02_SETARI'!$B$6))</f>
        <v/>
      </c>
      <c r="D97" s="68">
        <f>IF($A97="","",SUMIFS('10_VANZARI'!$E$5:$E$604,'10_VANZARI'!$B$5:$B$604,$A97,'10_VANZARI'!$A$5:$A$604,"&gt;="&amp;'02_SETARI'!$B$7,'10_VANZARI'!$A$5:$A$604,"&lt;="&amp;'02_SETARI'!$B$8))</f>
        <v/>
      </c>
      <c r="E97" s="69">
        <f>IF($A97="","",IFERROR(IF($D97=0,"",($C97-$D97)/ABS($D97)),""))</f>
        <v/>
      </c>
      <c r="F97" s="68">
        <f>IF($A97="","",SUMIFS('10_VANZARI'!$G$5:$G$604,'10_VANZARI'!$B$5:$B$604,$A97,'10_VANZARI'!$A$5:$A$604,"&gt;="&amp;'02_SETARI'!$B$5,'10_VANZARI'!$A$5:$A$604,"&lt;="&amp;'02_SETARI'!$B$6))</f>
        <v/>
      </c>
      <c r="G97" s="69">
        <f>IF($A97="","",IFERROR($F97/$C97,""))</f>
        <v/>
      </c>
      <c r="H97" s="69">
        <f>IF($A97="","",IFERROR($C97/SUMIFS('10_VANZARI'!$E$5:$E$604,'10_VANZARI'!$A$5:$A$604,"&gt;="&amp;'02_SETARI'!$B$5,'10_VANZARI'!$A$5:$A$604,"&lt;="&amp;'02_SETARI'!$B$6),""))</f>
        <v/>
      </c>
      <c r="I97" s="70">
        <f>IF($A97="","",IFERROR(IF(SUMPRODUCT(MAX(('10_VANZARI'!$B$5:$B$604=$A97)*('10_VANZARI'!$E$5:$E$604&lt;&gt;"")*'10_VANZARI'!$A$5:$A$604))=0,"",SUMPRODUCT(MAX(('10_VANZARI'!$B$5:$B$604=$A97)*('10_VANZARI'!$E$5:$E$604&lt;&gt;"")*'10_VANZARI'!$A$5:$A$604))),""))</f>
        <v/>
      </c>
      <c r="J97" s="68">
        <f>IF(OR($A97="",$I97=""),"",'02_SETARI'!$B$19-$I97)</f>
        <v/>
      </c>
      <c r="K97" s="68">
        <f>IF($A97="","",IFERROR(IF(INDEX('11_CLIENTI'!$D$5:$D$124,MATCH($A97,'11_CLIENTI'!$A$5:$A$124,0))="","",INDEX('11_CLIENTI'!$D$5:$D$124,MATCH($A97,'11_CLIENTI'!$A$5:$A$124,0))),""))</f>
        <v/>
      </c>
      <c r="L97" s="67">
        <f>IF($A97="","",IF(AND($K97&lt;&gt;"",$K97&lt;='02_SETARI'!$B$18),"Nemulțumit",IF(AND($D97&gt;0,$C97=0),"Nu mai cumpără",IF(AND($J97&lt;&gt;"",$J97&gt;'02_SETARI'!$B$17,$D97&gt;0),"Adormit",IF(AND($E97&lt;&gt;"",$E97&lt;='02_SETARI'!$B$15),"A scăzut",IF(AND($C97&gt;0,$G97&lt;&gt;"",$G97&lt;'02_SETARI'!$B$16),"Marjă mică",IF(AND($E97&lt;&gt;"",$E97&gt;=0.2),"În creștere",IF($C97=0,"Fără activitate","Merge bine"))))))))</f>
        <v/>
      </c>
      <c r="M97" s="67">
        <f>IF($A97="","",IF($L97="Nu mai cumpără","Sună-l săptămâna asta și întreabă direct ce s-a schimbat. Nu trimite email.",IF($L97="Adormit","Sună-l cu un motiv concret: o ofertă, o noutate, o reamintire de sezon.",IF($L97="A scăzut","Întreabă-l dacă a împărțit comenzile cu altcineva. De obicei asta s-a întâmplat.",IF($L97="Nemulțumit","Citește ce a spus în 11_CLIENTI. Rezolvă exact acel lucru, apoi sună-l să-i confirmi. Știi deja cauza — nu mai e nevoie să o cauți.",IF($L97="Marjă mică","Verifică ce discount are și cât te costă să-l servești. Poate merită renegociat.",IF($L97="În creștere","Întreabă-l ce altceva i-ar mai trebui. Acum e momentul, nu peste șase luni.",IF($L97="Fără activitate","Client în listă, dar fără vânzări în perioadă. Verifică dacă mai e client.","Nimic urgent. Ține-l cald."))))))))</f>
        <v/>
      </c>
      <c r="N97" s="68">
        <f>IF($A97="","",IFERROR(IF($L97="Nu mai cumpără",$D97,IF($L97="Adormit",$D97,IF($L97="A scăzut",MAX(0,$D97-$C97),IF($L97="Marjă mică",MAX(0,$C97*('02_SETARI'!$B$16-$G97)),$C97*0.15)))),""))</f>
        <v/>
      </c>
      <c r="O97">
        <f>IF(OR($A97="",$C97="",N($C97)&lt;=0),"",$C97+ROW()/1000000)</f>
        <v/>
      </c>
    </row>
    <row r="98">
      <c r="A98" s="67">
        <f>IF('11_CLIENTI'!$A98="","",'11_CLIENTI'!$A98)</f>
        <v/>
      </c>
      <c r="B98" s="67">
        <f>IF($A98="","",IFERROR(INDEX('11_CLIENTI'!$B$5:$B$124,MATCH($A98,'11_CLIENTI'!$A$5:$A$124,0)),""))</f>
        <v/>
      </c>
      <c r="C98" s="68">
        <f>IF($A98="","",SUMIFS('10_VANZARI'!$E$5:$E$604,'10_VANZARI'!$B$5:$B$604,$A98,'10_VANZARI'!$A$5:$A$604,"&gt;="&amp;'02_SETARI'!$B$5,'10_VANZARI'!$A$5:$A$604,"&lt;="&amp;'02_SETARI'!$B$6))</f>
        <v/>
      </c>
      <c r="D98" s="68">
        <f>IF($A98="","",SUMIFS('10_VANZARI'!$E$5:$E$604,'10_VANZARI'!$B$5:$B$604,$A98,'10_VANZARI'!$A$5:$A$604,"&gt;="&amp;'02_SETARI'!$B$7,'10_VANZARI'!$A$5:$A$604,"&lt;="&amp;'02_SETARI'!$B$8))</f>
        <v/>
      </c>
      <c r="E98" s="69">
        <f>IF($A98="","",IFERROR(IF($D98=0,"",($C98-$D98)/ABS($D98)),""))</f>
        <v/>
      </c>
      <c r="F98" s="68">
        <f>IF($A98="","",SUMIFS('10_VANZARI'!$G$5:$G$604,'10_VANZARI'!$B$5:$B$604,$A98,'10_VANZARI'!$A$5:$A$604,"&gt;="&amp;'02_SETARI'!$B$5,'10_VANZARI'!$A$5:$A$604,"&lt;="&amp;'02_SETARI'!$B$6))</f>
        <v/>
      </c>
      <c r="G98" s="69">
        <f>IF($A98="","",IFERROR($F98/$C98,""))</f>
        <v/>
      </c>
      <c r="H98" s="69">
        <f>IF($A98="","",IFERROR($C98/SUMIFS('10_VANZARI'!$E$5:$E$604,'10_VANZARI'!$A$5:$A$604,"&gt;="&amp;'02_SETARI'!$B$5,'10_VANZARI'!$A$5:$A$604,"&lt;="&amp;'02_SETARI'!$B$6),""))</f>
        <v/>
      </c>
      <c r="I98" s="70">
        <f>IF($A98="","",IFERROR(IF(SUMPRODUCT(MAX(('10_VANZARI'!$B$5:$B$604=$A98)*('10_VANZARI'!$E$5:$E$604&lt;&gt;"")*'10_VANZARI'!$A$5:$A$604))=0,"",SUMPRODUCT(MAX(('10_VANZARI'!$B$5:$B$604=$A98)*('10_VANZARI'!$E$5:$E$604&lt;&gt;"")*'10_VANZARI'!$A$5:$A$604))),""))</f>
        <v/>
      </c>
      <c r="J98" s="68">
        <f>IF(OR($A98="",$I98=""),"",'02_SETARI'!$B$19-$I98)</f>
        <v/>
      </c>
      <c r="K98" s="68">
        <f>IF($A98="","",IFERROR(IF(INDEX('11_CLIENTI'!$D$5:$D$124,MATCH($A98,'11_CLIENTI'!$A$5:$A$124,0))="","",INDEX('11_CLIENTI'!$D$5:$D$124,MATCH($A98,'11_CLIENTI'!$A$5:$A$124,0))),""))</f>
        <v/>
      </c>
      <c r="L98" s="67">
        <f>IF($A98="","",IF(AND($K98&lt;&gt;"",$K98&lt;='02_SETARI'!$B$18),"Nemulțumit",IF(AND($D98&gt;0,$C98=0),"Nu mai cumpără",IF(AND($J98&lt;&gt;"",$J98&gt;'02_SETARI'!$B$17,$D98&gt;0),"Adormit",IF(AND($E98&lt;&gt;"",$E98&lt;='02_SETARI'!$B$15),"A scăzut",IF(AND($C98&gt;0,$G98&lt;&gt;"",$G98&lt;'02_SETARI'!$B$16),"Marjă mică",IF(AND($E98&lt;&gt;"",$E98&gt;=0.2),"În creștere",IF($C98=0,"Fără activitate","Merge bine"))))))))</f>
        <v/>
      </c>
      <c r="M98" s="67">
        <f>IF($A98="","",IF($L98="Nu mai cumpără","Sună-l săptămâna asta și întreabă direct ce s-a schimbat. Nu trimite email.",IF($L98="Adormit","Sună-l cu un motiv concret: o ofertă, o noutate, o reamintire de sezon.",IF($L98="A scăzut","Întreabă-l dacă a împărțit comenzile cu altcineva. De obicei asta s-a întâmplat.",IF($L98="Nemulțumit","Citește ce a spus în 11_CLIENTI. Rezolvă exact acel lucru, apoi sună-l să-i confirmi. Știi deja cauza — nu mai e nevoie să o cauți.",IF($L98="Marjă mică","Verifică ce discount are și cât te costă să-l servești. Poate merită renegociat.",IF($L98="În creștere","Întreabă-l ce altceva i-ar mai trebui. Acum e momentul, nu peste șase luni.",IF($L98="Fără activitate","Client în listă, dar fără vânzări în perioadă. Verifică dacă mai e client.","Nimic urgent. Ține-l cald."))))))))</f>
        <v/>
      </c>
      <c r="N98" s="68">
        <f>IF($A98="","",IFERROR(IF($L98="Nu mai cumpără",$D98,IF($L98="Adormit",$D98,IF($L98="A scăzut",MAX(0,$D98-$C98),IF($L98="Marjă mică",MAX(0,$C98*('02_SETARI'!$B$16-$G98)),$C98*0.15)))),""))</f>
        <v/>
      </c>
      <c r="O98">
        <f>IF(OR($A98="",$C98="",N($C98)&lt;=0),"",$C98+ROW()/1000000)</f>
        <v/>
      </c>
    </row>
    <row r="99">
      <c r="A99" s="67">
        <f>IF('11_CLIENTI'!$A99="","",'11_CLIENTI'!$A99)</f>
        <v/>
      </c>
      <c r="B99" s="67">
        <f>IF($A99="","",IFERROR(INDEX('11_CLIENTI'!$B$5:$B$124,MATCH($A99,'11_CLIENTI'!$A$5:$A$124,0)),""))</f>
        <v/>
      </c>
      <c r="C99" s="68">
        <f>IF($A99="","",SUMIFS('10_VANZARI'!$E$5:$E$604,'10_VANZARI'!$B$5:$B$604,$A99,'10_VANZARI'!$A$5:$A$604,"&gt;="&amp;'02_SETARI'!$B$5,'10_VANZARI'!$A$5:$A$604,"&lt;="&amp;'02_SETARI'!$B$6))</f>
        <v/>
      </c>
      <c r="D99" s="68">
        <f>IF($A99="","",SUMIFS('10_VANZARI'!$E$5:$E$604,'10_VANZARI'!$B$5:$B$604,$A99,'10_VANZARI'!$A$5:$A$604,"&gt;="&amp;'02_SETARI'!$B$7,'10_VANZARI'!$A$5:$A$604,"&lt;="&amp;'02_SETARI'!$B$8))</f>
        <v/>
      </c>
      <c r="E99" s="69">
        <f>IF($A99="","",IFERROR(IF($D99=0,"",($C99-$D99)/ABS($D99)),""))</f>
        <v/>
      </c>
      <c r="F99" s="68">
        <f>IF($A99="","",SUMIFS('10_VANZARI'!$G$5:$G$604,'10_VANZARI'!$B$5:$B$604,$A99,'10_VANZARI'!$A$5:$A$604,"&gt;="&amp;'02_SETARI'!$B$5,'10_VANZARI'!$A$5:$A$604,"&lt;="&amp;'02_SETARI'!$B$6))</f>
        <v/>
      </c>
      <c r="G99" s="69">
        <f>IF($A99="","",IFERROR($F99/$C99,""))</f>
        <v/>
      </c>
      <c r="H99" s="69">
        <f>IF($A99="","",IFERROR($C99/SUMIFS('10_VANZARI'!$E$5:$E$604,'10_VANZARI'!$A$5:$A$604,"&gt;="&amp;'02_SETARI'!$B$5,'10_VANZARI'!$A$5:$A$604,"&lt;="&amp;'02_SETARI'!$B$6),""))</f>
        <v/>
      </c>
      <c r="I99" s="70">
        <f>IF($A99="","",IFERROR(IF(SUMPRODUCT(MAX(('10_VANZARI'!$B$5:$B$604=$A99)*('10_VANZARI'!$E$5:$E$604&lt;&gt;"")*'10_VANZARI'!$A$5:$A$604))=0,"",SUMPRODUCT(MAX(('10_VANZARI'!$B$5:$B$604=$A99)*('10_VANZARI'!$E$5:$E$604&lt;&gt;"")*'10_VANZARI'!$A$5:$A$604))),""))</f>
        <v/>
      </c>
      <c r="J99" s="68">
        <f>IF(OR($A99="",$I99=""),"",'02_SETARI'!$B$19-$I99)</f>
        <v/>
      </c>
      <c r="K99" s="68">
        <f>IF($A99="","",IFERROR(IF(INDEX('11_CLIENTI'!$D$5:$D$124,MATCH($A99,'11_CLIENTI'!$A$5:$A$124,0))="","",INDEX('11_CLIENTI'!$D$5:$D$124,MATCH($A99,'11_CLIENTI'!$A$5:$A$124,0))),""))</f>
        <v/>
      </c>
      <c r="L99" s="67">
        <f>IF($A99="","",IF(AND($K99&lt;&gt;"",$K99&lt;='02_SETARI'!$B$18),"Nemulțumit",IF(AND($D99&gt;0,$C99=0),"Nu mai cumpără",IF(AND($J99&lt;&gt;"",$J99&gt;'02_SETARI'!$B$17,$D99&gt;0),"Adormit",IF(AND($E99&lt;&gt;"",$E99&lt;='02_SETARI'!$B$15),"A scăzut",IF(AND($C99&gt;0,$G99&lt;&gt;"",$G99&lt;'02_SETARI'!$B$16),"Marjă mică",IF(AND($E99&lt;&gt;"",$E99&gt;=0.2),"În creștere",IF($C99=0,"Fără activitate","Merge bine"))))))))</f>
        <v/>
      </c>
      <c r="M99" s="67">
        <f>IF($A99="","",IF($L99="Nu mai cumpără","Sună-l săptămâna asta și întreabă direct ce s-a schimbat. Nu trimite email.",IF($L99="Adormit","Sună-l cu un motiv concret: o ofertă, o noutate, o reamintire de sezon.",IF($L99="A scăzut","Întreabă-l dacă a împărțit comenzile cu altcineva. De obicei asta s-a întâmplat.",IF($L99="Nemulțumit","Citește ce a spus în 11_CLIENTI. Rezolvă exact acel lucru, apoi sună-l să-i confirmi. Știi deja cauza — nu mai e nevoie să o cauți.",IF($L99="Marjă mică","Verifică ce discount are și cât te costă să-l servești. Poate merită renegociat.",IF($L99="În creștere","Întreabă-l ce altceva i-ar mai trebui. Acum e momentul, nu peste șase luni.",IF($L99="Fără activitate","Client în listă, dar fără vânzări în perioadă. Verifică dacă mai e client.","Nimic urgent. Ține-l cald."))))))))</f>
        <v/>
      </c>
      <c r="N99" s="68">
        <f>IF($A99="","",IFERROR(IF($L99="Nu mai cumpără",$D99,IF($L99="Adormit",$D99,IF($L99="A scăzut",MAX(0,$D99-$C99),IF($L99="Marjă mică",MAX(0,$C99*('02_SETARI'!$B$16-$G99)),$C99*0.15)))),""))</f>
        <v/>
      </c>
      <c r="O99">
        <f>IF(OR($A99="",$C99="",N($C99)&lt;=0),"",$C99+ROW()/1000000)</f>
        <v/>
      </c>
    </row>
    <row r="100">
      <c r="A100" s="67">
        <f>IF('11_CLIENTI'!$A100="","",'11_CLIENTI'!$A100)</f>
        <v/>
      </c>
      <c r="B100" s="67">
        <f>IF($A100="","",IFERROR(INDEX('11_CLIENTI'!$B$5:$B$124,MATCH($A100,'11_CLIENTI'!$A$5:$A$124,0)),""))</f>
        <v/>
      </c>
      <c r="C100" s="68">
        <f>IF($A100="","",SUMIFS('10_VANZARI'!$E$5:$E$604,'10_VANZARI'!$B$5:$B$604,$A100,'10_VANZARI'!$A$5:$A$604,"&gt;="&amp;'02_SETARI'!$B$5,'10_VANZARI'!$A$5:$A$604,"&lt;="&amp;'02_SETARI'!$B$6))</f>
        <v/>
      </c>
      <c r="D100" s="68">
        <f>IF($A100="","",SUMIFS('10_VANZARI'!$E$5:$E$604,'10_VANZARI'!$B$5:$B$604,$A100,'10_VANZARI'!$A$5:$A$604,"&gt;="&amp;'02_SETARI'!$B$7,'10_VANZARI'!$A$5:$A$604,"&lt;="&amp;'02_SETARI'!$B$8))</f>
        <v/>
      </c>
      <c r="E100" s="69">
        <f>IF($A100="","",IFERROR(IF($D100=0,"",($C100-$D100)/ABS($D100)),""))</f>
        <v/>
      </c>
      <c r="F100" s="68">
        <f>IF($A100="","",SUMIFS('10_VANZARI'!$G$5:$G$604,'10_VANZARI'!$B$5:$B$604,$A100,'10_VANZARI'!$A$5:$A$604,"&gt;="&amp;'02_SETARI'!$B$5,'10_VANZARI'!$A$5:$A$604,"&lt;="&amp;'02_SETARI'!$B$6))</f>
        <v/>
      </c>
      <c r="G100" s="69">
        <f>IF($A100="","",IFERROR($F100/$C100,""))</f>
        <v/>
      </c>
      <c r="H100" s="69">
        <f>IF($A100="","",IFERROR($C100/SUMIFS('10_VANZARI'!$E$5:$E$604,'10_VANZARI'!$A$5:$A$604,"&gt;="&amp;'02_SETARI'!$B$5,'10_VANZARI'!$A$5:$A$604,"&lt;="&amp;'02_SETARI'!$B$6),""))</f>
        <v/>
      </c>
      <c r="I100" s="70">
        <f>IF($A100="","",IFERROR(IF(SUMPRODUCT(MAX(('10_VANZARI'!$B$5:$B$604=$A100)*('10_VANZARI'!$E$5:$E$604&lt;&gt;"")*'10_VANZARI'!$A$5:$A$604))=0,"",SUMPRODUCT(MAX(('10_VANZARI'!$B$5:$B$604=$A100)*('10_VANZARI'!$E$5:$E$604&lt;&gt;"")*'10_VANZARI'!$A$5:$A$604))),""))</f>
        <v/>
      </c>
      <c r="J100" s="68">
        <f>IF(OR($A100="",$I100=""),"",'02_SETARI'!$B$19-$I100)</f>
        <v/>
      </c>
      <c r="K100" s="68">
        <f>IF($A100="","",IFERROR(IF(INDEX('11_CLIENTI'!$D$5:$D$124,MATCH($A100,'11_CLIENTI'!$A$5:$A$124,0))="","",INDEX('11_CLIENTI'!$D$5:$D$124,MATCH($A100,'11_CLIENTI'!$A$5:$A$124,0))),""))</f>
        <v/>
      </c>
      <c r="L100" s="67">
        <f>IF($A100="","",IF(AND($K100&lt;&gt;"",$K100&lt;='02_SETARI'!$B$18),"Nemulțumit",IF(AND($D100&gt;0,$C100=0),"Nu mai cumpără",IF(AND($J100&lt;&gt;"",$J100&gt;'02_SETARI'!$B$17,$D100&gt;0),"Adormit",IF(AND($E100&lt;&gt;"",$E100&lt;='02_SETARI'!$B$15),"A scăzut",IF(AND($C100&gt;0,$G100&lt;&gt;"",$G100&lt;'02_SETARI'!$B$16),"Marjă mică",IF(AND($E100&lt;&gt;"",$E100&gt;=0.2),"În creștere",IF($C100=0,"Fără activitate","Merge bine"))))))))</f>
        <v/>
      </c>
      <c r="M100" s="67">
        <f>IF($A100="","",IF($L100="Nu mai cumpără","Sună-l săptămâna asta și întreabă direct ce s-a schimbat. Nu trimite email.",IF($L100="Adormit","Sună-l cu un motiv concret: o ofertă, o noutate, o reamintire de sezon.",IF($L100="A scăzut","Întreabă-l dacă a împărțit comenzile cu altcineva. De obicei asta s-a întâmplat.",IF($L100="Nemulțumit","Citește ce a spus în 11_CLIENTI. Rezolvă exact acel lucru, apoi sună-l să-i confirmi. Știi deja cauza — nu mai e nevoie să o cauți.",IF($L100="Marjă mică","Verifică ce discount are și cât te costă să-l servești. Poate merită renegociat.",IF($L100="În creștere","Întreabă-l ce altceva i-ar mai trebui. Acum e momentul, nu peste șase luni.",IF($L100="Fără activitate","Client în listă, dar fără vânzări în perioadă. Verifică dacă mai e client.","Nimic urgent. Ține-l cald."))))))))</f>
        <v/>
      </c>
      <c r="N100" s="68">
        <f>IF($A100="","",IFERROR(IF($L100="Nu mai cumpără",$D100,IF($L100="Adormit",$D100,IF($L100="A scăzut",MAX(0,$D100-$C100),IF($L100="Marjă mică",MAX(0,$C100*('02_SETARI'!$B$16-$G100)),$C100*0.15)))),""))</f>
        <v/>
      </c>
      <c r="O100">
        <f>IF(OR($A100="",$C100="",N($C100)&lt;=0),"",$C100+ROW()/1000000)</f>
        <v/>
      </c>
    </row>
    <row r="101">
      <c r="A101" s="67">
        <f>IF('11_CLIENTI'!$A101="","",'11_CLIENTI'!$A101)</f>
        <v/>
      </c>
      <c r="B101" s="67">
        <f>IF($A101="","",IFERROR(INDEX('11_CLIENTI'!$B$5:$B$124,MATCH($A101,'11_CLIENTI'!$A$5:$A$124,0)),""))</f>
        <v/>
      </c>
      <c r="C101" s="68">
        <f>IF($A101="","",SUMIFS('10_VANZARI'!$E$5:$E$604,'10_VANZARI'!$B$5:$B$604,$A101,'10_VANZARI'!$A$5:$A$604,"&gt;="&amp;'02_SETARI'!$B$5,'10_VANZARI'!$A$5:$A$604,"&lt;="&amp;'02_SETARI'!$B$6))</f>
        <v/>
      </c>
      <c r="D101" s="68">
        <f>IF($A101="","",SUMIFS('10_VANZARI'!$E$5:$E$604,'10_VANZARI'!$B$5:$B$604,$A101,'10_VANZARI'!$A$5:$A$604,"&gt;="&amp;'02_SETARI'!$B$7,'10_VANZARI'!$A$5:$A$604,"&lt;="&amp;'02_SETARI'!$B$8))</f>
        <v/>
      </c>
      <c r="E101" s="69">
        <f>IF($A101="","",IFERROR(IF($D101=0,"",($C101-$D101)/ABS($D101)),""))</f>
        <v/>
      </c>
      <c r="F101" s="68">
        <f>IF($A101="","",SUMIFS('10_VANZARI'!$G$5:$G$604,'10_VANZARI'!$B$5:$B$604,$A101,'10_VANZARI'!$A$5:$A$604,"&gt;="&amp;'02_SETARI'!$B$5,'10_VANZARI'!$A$5:$A$604,"&lt;="&amp;'02_SETARI'!$B$6))</f>
        <v/>
      </c>
      <c r="G101" s="69">
        <f>IF($A101="","",IFERROR($F101/$C101,""))</f>
        <v/>
      </c>
      <c r="H101" s="69">
        <f>IF($A101="","",IFERROR($C101/SUMIFS('10_VANZARI'!$E$5:$E$604,'10_VANZARI'!$A$5:$A$604,"&gt;="&amp;'02_SETARI'!$B$5,'10_VANZARI'!$A$5:$A$604,"&lt;="&amp;'02_SETARI'!$B$6),""))</f>
        <v/>
      </c>
      <c r="I101" s="70">
        <f>IF($A101="","",IFERROR(IF(SUMPRODUCT(MAX(('10_VANZARI'!$B$5:$B$604=$A101)*('10_VANZARI'!$E$5:$E$604&lt;&gt;"")*'10_VANZARI'!$A$5:$A$604))=0,"",SUMPRODUCT(MAX(('10_VANZARI'!$B$5:$B$604=$A101)*('10_VANZARI'!$E$5:$E$604&lt;&gt;"")*'10_VANZARI'!$A$5:$A$604))),""))</f>
        <v/>
      </c>
      <c r="J101" s="68">
        <f>IF(OR($A101="",$I101=""),"",'02_SETARI'!$B$19-$I101)</f>
        <v/>
      </c>
      <c r="K101" s="68">
        <f>IF($A101="","",IFERROR(IF(INDEX('11_CLIENTI'!$D$5:$D$124,MATCH($A101,'11_CLIENTI'!$A$5:$A$124,0))="","",INDEX('11_CLIENTI'!$D$5:$D$124,MATCH($A101,'11_CLIENTI'!$A$5:$A$124,0))),""))</f>
        <v/>
      </c>
      <c r="L101" s="67">
        <f>IF($A101="","",IF(AND($K101&lt;&gt;"",$K101&lt;='02_SETARI'!$B$18),"Nemulțumit",IF(AND($D101&gt;0,$C101=0),"Nu mai cumpără",IF(AND($J101&lt;&gt;"",$J101&gt;'02_SETARI'!$B$17,$D101&gt;0),"Adormit",IF(AND($E101&lt;&gt;"",$E101&lt;='02_SETARI'!$B$15),"A scăzut",IF(AND($C101&gt;0,$G101&lt;&gt;"",$G101&lt;'02_SETARI'!$B$16),"Marjă mică",IF(AND($E101&lt;&gt;"",$E101&gt;=0.2),"În creștere",IF($C101=0,"Fără activitate","Merge bine"))))))))</f>
        <v/>
      </c>
      <c r="M101" s="67">
        <f>IF($A101="","",IF($L101="Nu mai cumpără","Sună-l săptămâna asta și întreabă direct ce s-a schimbat. Nu trimite email.",IF($L101="Adormit","Sună-l cu un motiv concret: o ofertă, o noutate, o reamintire de sezon.",IF($L101="A scăzut","Întreabă-l dacă a împărțit comenzile cu altcineva. De obicei asta s-a întâmplat.",IF($L101="Nemulțumit","Citește ce a spus în 11_CLIENTI. Rezolvă exact acel lucru, apoi sună-l să-i confirmi. Știi deja cauza — nu mai e nevoie să o cauți.",IF($L101="Marjă mică","Verifică ce discount are și cât te costă să-l servești. Poate merită renegociat.",IF($L101="În creștere","Întreabă-l ce altceva i-ar mai trebui. Acum e momentul, nu peste șase luni.",IF($L101="Fără activitate","Client în listă, dar fără vânzări în perioadă. Verifică dacă mai e client.","Nimic urgent. Ține-l cald."))))))))</f>
        <v/>
      </c>
      <c r="N101" s="68">
        <f>IF($A101="","",IFERROR(IF($L101="Nu mai cumpără",$D101,IF($L101="Adormit",$D101,IF($L101="A scăzut",MAX(0,$D101-$C101),IF($L101="Marjă mică",MAX(0,$C101*('02_SETARI'!$B$16-$G101)),$C101*0.15)))),""))</f>
        <v/>
      </c>
      <c r="O101">
        <f>IF(OR($A101="",$C101="",N($C101)&lt;=0),"",$C101+ROW()/1000000)</f>
        <v/>
      </c>
    </row>
    <row r="102">
      <c r="A102" s="67">
        <f>IF('11_CLIENTI'!$A102="","",'11_CLIENTI'!$A102)</f>
        <v/>
      </c>
      <c r="B102" s="67">
        <f>IF($A102="","",IFERROR(INDEX('11_CLIENTI'!$B$5:$B$124,MATCH($A102,'11_CLIENTI'!$A$5:$A$124,0)),""))</f>
        <v/>
      </c>
      <c r="C102" s="68">
        <f>IF($A102="","",SUMIFS('10_VANZARI'!$E$5:$E$604,'10_VANZARI'!$B$5:$B$604,$A102,'10_VANZARI'!$A$5:$A$604,"&gt;="&amp;'02_SETARI'!$B$5,'10_VANZARI'!$A$5:$A$604,"&lt;="&amp;'02_SETARI'!$B$6))</f>
        <v/>
      </c>
      <c r="D102" s="68">
        <f>IF($A102="","",SUMIFS('10_VANZARI'!$E$5:$E$604,'10_VANZARI'!$B$5:$B$604,$A102,'10_VANZARI'!$A$5:$A$604,"&gt;="&amp;'02_SETARI'!$B$7,'10_VANZARI'!$A$5:$A$604,"&lt;="&amp;'02_SETARI'!$B$8))</f>
        <v/>
      </c>
      <c r="E102" s="69">
        <f>IF($A102="","",IFERROR(IF($D102=0,"",($C102-$D102)/ABS($D102)),""))</f>
        <v/>
      </c>
      <c r="F102" s="68">
        <f>IF($A102="","",SUMIFS('10_VANZARI'!$G$5:$G$604,'10_VANZARI'!$B$5:$B$604,$A102,'10_VANZARI'!$A$5:$A$604,"&gt;="&amp;'02_SETARI'!$B$5,'10_VANZARI'!$A$5:$A$604,"&lt;="&amp;'02_SETARI'!$B$6))</f>
        <v/>
      </c>
      <c r="G102" s="69">
        <f>IF($A102="","",IFERROR($F102/$C102,""))</f>
        <v/>
      </c>
      <c r="H102" s="69">
        <f>IF($A102="","",IFERROR($C102/SUMIFS('10_VANZARI'!$E$5:$E$604,'10_VANZARI'!$A$5:$A$604,"&gt;="&amp;'02_SETARI'!$B$5,'10_VANZARI'!$A$5:$A$604,"&lt;="&amp;'02_SETARI'!$B$6),""))</f>
        <v/>
      </c>
      <c r="I102" s="70">
        <f>IF($A102="","",IFERROR(IF(SUMPRODUCT(MAX(('10_VANZARI'!$B$5:$B$604=$A102)*('10_VANZARI'!$E$5:$E$604&lt;&gt;"")*'10_VANZARI'!$A$5:$A$604))=0,"",SUMPRODUCT(MAX(('10_VANZARI'!$B$5:$B$604=$A102)*('10_VANZARI'!$E$5:$E$604&lt;&gt;"")*'10_VANZARI'!$A$5:$A$604))),""))</f>
        <v/>
      </c>
      <c r="J102" s="68">
        <f>IF(OR($A102="",$I102=""),"",'02_SETARI'!$B$19-$I102)</f>
        <v/>
      </c>
      <c r="K102" s="68">
        <f>IF($A102="","",IFERROR(IF(INDEX('11_CLIENTI'!$D$5:$D$124,MATCH($A102,'11_CLIENTI'!$A$5:$A$124,0))="","",INDEX('11_CLIENTI'!$D$5:$D$124,MATCH($A102,'11_CLIENTI'!$A$5:$A$124,0))),""))</f>
        <v/>
      </c>
      <c r="L102" s="67">
        <f>IF($A102="","",IF(AND($K102&lt;&gt;"",$K102&lt;='02_SETARI'!$B$18),"Nemulțumit",IF(AND($D102&gt;0,$C102=0),"Nu mai cumpără",IF(AND($J102&lt;&gt;"",$J102&gt;'02_SETARI'!$B$17,$D102&gt;0),"Adormit",IF(AND($E102&lt;&gt;"",$E102&lt;='02_SETARI'!$B$15),"A scăzut",IF(AND($C102&gt;0,$G102&lt;&gt;"",$G102&lt;'02_SETARI'!$B$16),"Marjă mică",IF(AND($E102&lt;&gt;"",$E102&gt;=0.2),"În creștere",IF($C102=0,"Fără activitate","Merge bine"))))))))</f>
        <v/>
      </c>
      <c r="M102" s="67">
        <f>IF($A102="","",IF($L102="Nu mai cumpără","Sună-l săptămâna asta și întreabă direct ce s-a schimbat. Nu trimite email.",IF($L102="Adormit","Sună-l cu un motiv concret: o ofertă, o noutate, o reamintire de sezon.",IF($L102="A scăzut","Întreabă-l dacă a împărțit comenzile cu altcineva. De obicei asta s-a întâmplat.",IF($L102="Nemulțumit","Citește ce a spus în 11_CLIENTI. Rezolvă exact acel lucru, apoi sună-l să-i confirmi. Știi deja cauza — nu mai e nevoie să o cauți.",IF($L102="Marjă mică","Verifică ce discount are și cât te costă să-l servești. Poate merită renegociat.",IF($L102="În creștere","Întreabă-l ce altceva i-ar mai trebui. Acum e momentul, nu peste șase luni.",IF($L102="Fără activitate","Client în listă, dar fără vânzări în perioadă. Verifică dacă mai e client.","Nimic urgent. Ține-l cald."))))))))</f>
        <v/>
      </c>
      <c r="N102" s="68">
        <f>IF($A102="","",IFERROR(IF($L102="Nu mai cumpără",$D102,IF($L102="Adormit",$D102,IF($L102="A scăzut",MAX(0,$D102-$C102),IF($L102="Marjă mică",MAX(0,$C102*('02_SETARI'!$B$16-$G102)),$C102*0.15)))),""))</f>
        <v/>
      </c>
      <c r="O102">
        <f>IF(OR($A102="",$C102="",N($C102)&lt;=0),"",$C102+ROW()/1000000)</f>
        <v/>
      </c>
    </row>
    <row r="103">
      <c r="A103" s="67">
        <f>IF('11_CLIENTI'!$A103="","",'11_CLIENTI'!$A103)</f>
        <v/>
      </c>
      <c r="B103" s="67">
        <f>IF($A103="","",IFERROR(INDEX('11_CLIENTI'!$B$5:$B$124,MATCH($A103,'11_CLIENTI'!$A$5:$A$124,0)),""))</f>
        <v/>
      </c>
      <c r="C103" s="68">
        <f>IF($A103="","",SUMIFS('10_VANZARI'!$E$5:$E$604,'10_VANZARI'!$B$5:$B$604,$A103,'10_VANZARI'!$A$5:$A$604,"&gt;="&amp;'02_SETARI'!$B$5,'10_VANZARI'!$A$5:$A$604,"&lt;="&amp;'02_SETARI'!$B$6))</f>
        <v/>
      </c>
      <c r="D103" s="68">
        <f>IF($A103="","",SUMIFS('10_VANZARI'!$E$5:$E$604,'10_VANZARI'!$B$5:$B$604,$A103,'10_VANZARI'!$A$5:$A$604,"&gt;="&amp;'02_SETARI'!$B$7,'10_VANZARI'!$A$5:$A$604,"&lt;="&amp;'02_SETARI'!$B$8))</f>
        <v/>
      </c>
      <c r="E103" s="69">
        <f>IF($A103="","",IFERROR(IF($D103=0,"",($C103-$D103)/ABS($D103)),""))</f>
        <v/>
      </c>
      <c r="F103" s="68">
        <f>IF($A103="","",SUMIFS('10_VANZARI'!$G$5:$G$604,'10_VANZARI'!$B$5:$B$604,$A103,'10_VANZARI'!$A$5:$A$604,"&gt;="&amp;'02_SETARI'!$B$5,'10_VANZARI'!$A$5:$A$604,"&lt;="&amp;'02_SETARI'!$B$6))</f>
        <v/>
      </c>
      <c r="G103" s="69">
        <f>IF($A103="","",IFERROR($F103/$C103,""))</f>
        <v/>
      </c>
      <c r="H103" s="69">
        <f>IF($A103="","",IFERROR($C103/SUMIFS('10_VANZARI'!$E$5:$E$604,'10_VANZARI'!$A$5:$A$604,"&gt;="&amp;'02_SETARI'!$B$5,'10_VANZARI'!$A$5:$A$604,"&lt;="&amp;'02_SETARI'!$B$6),""))</f>
        <v/>
      </c>
      <c r="I103" s="70">
        <f>IF($A103="","",IFERROR(IF(SUMPRODUCT(MAX(('10_VANZARI'!$B$5:$B$604=$A103)*('10_VANZARI'!$E$5:$E$604&lt;&gt;"")*'10_VANZARI'!$A$5:$A$604))=0,"",SUMPRODUCT(MAX(('10_VANZARI'!$B$5:$B$604=$A103)*('10_VANZARI'!$E$5:$E$604&lt;&gt;"")*'10_VANZARI'!$A$5:$A$604))),""))</f>
        <v/>
      </c>
      <c r="J103" s="68">
        <f>IF(OR($A103="",$I103=""),"",'02_SETARI'!$B$19-$I103)</f>
        <v/>
      </c>
      <c r="K103" s="68">
        <f>IF($A103="","",IFERROR(IF(INDEX('11_CLIENTI'!$D$5:$D$124,MATCH($A103,'11_CLIENTI'!$A$5:$A$124,0))="","",INDEX('11_CLIENTI'!$D$5:$D$124,MATCH($A103,'11_CLIENTI'!$A$5:$A$124,0))),""))</f>
        <v/>
      </c>
      <c r="L103" s="67">
        <f>IF($A103="","",IF(AND($K103&lt;&gt;"",$K103&lt;='02_SETARI'!$B$18),"Nemulțumit",IF(AND($D103&gt;0,$C103=0),"Nu mai cumpără",IF(AND($J103&lt;&gt;"",$J103&gt;'02_SETARI'!$B$17,$D103&gt;0),"Adormit",IF(AND($E103&lt;&gt;"",$E103&lt;='02_SETARI'!$B$15),"A scăzut",IF(AND($C103&gt;0,$G103&lt;&gt;"",$G103&lt;'02_SETARI'!$B$16),"Marjă mică",IF(AND($E103&lt;&gt;"",$E103&gt;=0.2),"În creștere",IF($C103=0,"Fără activitate","Merge bine"))))))))</f>
        <v/>
      </c>
      <c r="M103" s="67">
        <f>IF($A103="","",IF($L103="Nu mai cumpără","Sună-l săptămâna asta și întreabă direct ce s-a schimbat. Nu trimite email.",IF($L103="Adormit","Sună-l cu un motiv concret: o ofertă, o noutate, o reamintire de sezon.",IF($L103="A scăzut","Întreabă-l dacă a împărțit comenzile cu altcineva. De obicei asta s-a întâmplat.",IF($L103="Nemulțumit","Citește ce a spus în 11_CLIENTI. Rezolvă exact acel lucru, apoi sună-l să-i confirmi. Știi deja cauza — nu mai e nevoie să o cauți.",IF($L103="Marjă mică","Verifică ce discount are și cât te costă să-l servești. Poate merită renegociat.",IF($L103="În creștere","Întreabă-l ce altceva i-ar mai trebui. Acum e momentul, nu peste șase luni.",IF($L103="Fără activitate","Client în listă, dar fără vânzări în perioadă. Verifică dacă mai e client.","Nimic urgent. Ține-l cald."))))))))</f>
        <v/>
      </c>
      <c r="N103" s="68">
        <f>IF($A103="","",IFERROR(IF($L103="Nu mai cumpără",$D103,IF($L103="Adormit",$D103,IF($L103="A scăzut",MAX(0,$D103-$C103),IF($L103="Marjă mică",MAX(0,$C103*('02_SETARI'!$B$16-$G103)),$C103*0.15)))),""))</f>
        <v/>
      </c>
      <c r="O103">
        <f>IF(OR($A103="",$C103="",N($C103)&lt;=0),"",$C103+ROW()/1000000)</f>
        <v/>
      </c>
    </row>
    <row r="104">
      <c r="A104" s="67">
        <f>IF('11_CLIENTI'!$A104="","",'11_CLIENTI'!$A104)</f>
        <v/>
      </c>
      <c r="B104" s="67">
        <f>IF($A104="","",IFERROR(INDEX('11_CLIENTI'!$B$5:$B$124,MATCH($A104,'11_CLIENTI'!$A$5:$A$124,0)),""))</f>
        <v/>
      </c>
      <c r="C104" s="68">
        <f>IF($A104="","",SUMIFS('10_VANZARI'!$E$5:$E$604,'10_VANZARI'!$B$5:$B$604,$A104,'10_VANZARI'!$A$5:$A$604,"&gt;="&amp;'02_SETARI'!$B$5,'10_VANZARI'!$A$5:$A$604,"&lt;="&amp;'02_SETARI'!$B$6))</f>
        <v/>
      </c>
      <c r="D104" s="68">
        <f>IF($A104="","",SUMIFS('10_VANZARI'!$E$5:$E$604,'10_VANZARI'!$B$5:$B$604,$A104,'10_VANZARI'!$A$5:$A$604,"&gt;="&amp;'02_SETARI'!$B$7,'10_VANZARI'!$A$5:$A$604,"&lt;="&amp;'02_SETARI'!$B$8))</f>
        <v/>
      </c>
      <c r="E104" s="69">
        <f>IF($A104="","",IFERROR(IF($D104=0,"",($C104-$D104)/ABS($D104)),""))</f>
        <v/>
      </c>
      <c r="F104" s="68">
        <f>IF($A104="","",SUMIFS('10_VANZARI'!$G$5:$G$604,'10_VANZARI'!$B$5:$B$604,$A104,'10_VANZARI'!$A$5:$A$604,"&gt;="&amp;'02_SETARI'!$B$5,'10_VANZARI'!$A$5:$A$604,"&lt;="&amp;'02_SETARI'!$B$6))</f>
        <v/>
      </c>
      <c r="G104" s="69">
        <f>IF($A104="","",IFERROR($F104/$C104,""))</f>
        <v/>
      </c>
      <c r="H104" s="69">
        <f>IF($A104="","",IFERROR($C104/SUMIFS('10_VANZARI'!$E$5:$E$604,'10_VANZARI'!$A$5:$A$604,"&gt;="&amp;'02_SETARI'!$B$5,'10_VANZARI'!$A$5:$A$604,"&lt;="&amp;'02_SETARI'!$B$6),""))</f>
        <v/>
      </c>
      <c r="I104" s="70">
        <f>IF($A104="","",IFERROR(IF(SUMPRODUCT(MAX(('10_VANZARI'!$B$5:$B$604=$A104)*('10_VANZARI'!$E$5:$E$604&lt;&gt;"")*'10_VANZARI'!$A$5:$A$604))=0,"",SUMPRODUCT(MAX(('10_VANZARI'!$B$5:$B$604=$A104)*('10_VANZARI'!$E$5:$E$604&lt;&gt;"")*'10_VANZARI'!$A$5:$A$604))),""))</f>
        <v/>
      </c>
      <c r="J104" s="68">
        <f>IF(OR($A104="",$I104=""),"",'02_SETARI'!$B$19-$I104)</f>
        <v/>
      </c>
      <c r="K104" s="68">
        <f>IF($A104="","",IFERROR(IF(INDEX('11_CLIENTI'!$D$5:$D$124,MATCH($A104,'11_CLIENTI'!$A$5:$A$124,0))="","",INDEX('11_CLIENTI'!$D$5:$D$124,MATCH($A104,'11_CLIENTI'!$A$5:$A$124,0))),""))</f>
        <v/>
      </c>
      <c r="L104" s="67">
        <f>IF($A104="","",IF(AND($K104&lt;&gt;"",$K104&lt;='02_SETARI'!$B$18),"Nemulțumit",IF(AND($D104&gt;0,$C104=0),"Nu mai cumpără",IF(AND($J104&lt;&gt;"",$J104&gt;'02_SETARI'!$B$17,$D104&gt;0),"Adormit",IF(AND($E104&lt;&gt;"",$E104&lt;='02_SETARI'!$B$15),"A scăzut",IF(AND($C104&gt;0,$G104&lt;&gt;"",$G104&lt;'02_SETARI'!$B$16),"Marjă mică",IF(AND($E104&lt;&gt;"",$E104&gt;=0.2),"În creștere",IF($C104=0,"Fără activitate","Merge bine"))))))))</f>
        <v/>
      </c>
      <c r="M104" s="67">
        <f>IF($A104="","",IF($L104="Nu mai cumpără","Sună-l săptămâna asta și întreabă direct ce s-a schimbat. Nu trimite email.",IF($L104="Adormit","Sună-l cu un motiv concret: o ofertă, o noutate, o reamintire de sezon.",IF($L104="A scăzut","Întreabă-l dacă a împărțit comenzile cu altcineva. De obicei asta s-a întâmplat.",IF($L104="Nemulțumit","Citește ce a spus în 11_CLIENTI. Rezolvă exact acel lucru, apoi sună-l să-i confirmi. Știi deja cauza — nu mai e nevoie să o cauți.",IF($L104="Marjă mică","Verifică ce discount are și cât te costă să-l servești. Poate merită renegociat.",IF($L104="În creștere","Întreabă-l ce altceva i-ar mai trebui. Acum e momentul, nu peste șase luni.",IF($L104="Fără activitate","Client în listă, dar fără vânzări în perioadă. Verifică dacă mai e client.","Nimic urgent. Ține-l cald."))))))))</f>
        <v/>
      </c>
      <c r="N104" s="68">
        <f>IF($A104="","",IFERROR(IF($L104="Nu mai cumpără",$D104,IF($L104="Adormit",$D104,IF($L104="A scăzut",MAX(0,$D104-$C104),IF($L104="Marjă mică",MAX(0,$C104*('02_SETARI'!$B$16-$G104)),$C104*0.15)))),""))</f>
        <v/>
      </c>
      <c r="O104">
        <f>IF(OR($A104="",$C104="",N($C104)&lt;=0),"",$C104+ROW()/1000000)</f>
        <v/>
      </c>
    </row>
    <row r="105">
      <c r="A105" s="67">
        <f>IF('11_CLIENTI'!$A105="","",'11_CLIENTI'!$A105)</f>
        <v/>
      </c>
      <c r="B105" s="67">
        <f>IF($A105="","",IFERROR(INDEX('11_CLIENTI'!$B$5:$B$124,MATCH($A105,'11_CLIENTI'!$A$5:$A$124,0)),""))</f>
        <v/>
      </c>
      <c r="C105" s="68">
        <f>IF($A105="","",SUMIFS('10_VANZARI'!$E$5:$E$604,'10_VANZARI'!$B$5:$B$604,$A105,'10_VANZARI'!$A$5:$A$604,"&gt;="&amp;'02_SETARI'!$B$5,'10_VANZARI'!$A$5:$A$604,"&lt;="&amp;'02_SETARI'!$B$6))</f>
        <v/>
      </c>
      <c r="D105" s="68">
        <f>IF($A105="","",SUMIFS('10_VANZARI'!$E$5:$E$604,'10_VANZARI'!$B$5:$B$604,$A105,'10_VANZARI'!$A$5:$A$604,"&gt;="&amp;'02_SETARI'!$B$7,'10_VANZARI'!$A$5:$A$604,"&lt;="&amp;'02_SETARI'!$B$8))</f>
        <v/>
      </c>
      <c r="E105" s="69">
        <f>IF($A105="","",IFERROR(IF($D105=0,"",($C105-$D105)/ABS($D105)),""))</f>
        <v/>
      </c>
      <c r="F105" s="68">
        <f>IF($A105="","",SUMIFS('10_VANZARI'!$G$5:$G$604,'10_VANZARI'!$B$5:$B$604,$A105,'10_VANZARI'!$A$5:$A$604,"&gt;="&amp;'02_SETARI'!$B$5,'10_VANZARI'!$A$5:$A$604,"&lt;="&amp;'02_SETARI'!$B$6))</f>
        <v/>
      </c>
      <c r="G105" s="69">
        <f>IF($A105="","",IFERROR($F105/$C105,""))</f>
        <v/>
      </c>
      <c r="H105" s="69">
        <f>IF($A105="","",IFERROR($C105/SUMIFS('10_VANZARI'!$E$5:$E$604,'10_VANZARI'!$A$5:$A$604,"&gt;="&amp;'02_SETARI'!$B$5,'10_VANZARI'!$A$5:$A$604,"&lt;="&amp;'02_SETARI'!$B$6),""))</f>
        <v/>
      </c>
      <c r="I105" s="70">
        <f>IF($A105="","",IFERROR(IF(SUMPRODUCT(MAX(('10_VANZARI'!$B$5:$B$604=$A105)*('10_VANZARI'!$E$5:$E$604&lt;&gt;"")*'10_VANZARI'!$A$5:$A$604))=0,"",SUMPRODUCT(MAX(('10_VANZARI'!$B$5:$B$604=$A105)*('10_VANZARI'!$E$5:$E$604&lt;&gt;"")*'10_VANZARI'!$A$5:$A$604))),""))</f>
        <v/>
      </c>
      <c r="J105" s="68">
        <f>IF(OR($A105="",$I105=""),"",'02_SETARI'!$B$19-$I105)</f>
        <v/>
      </c>
      <c r="K105" s="68">
        <f>IF($A105="","",IFERROR(IF(INDEX('11_CLIENTI'!$D$5:$D$124,MATCH($A105,'11_CLIENTI'!$A$5:$A$124,0))="","",INDEX('11_CLIENTI'!$D$5:$D$124,MATCH($A105,'11_CLIENTI'!$A$5:$A$124,0))),""))</f>
        <v/>
      </c>
      <c r="L105" s="67">
        <f>IF($A105="","",IF(AND($K105&lt;&gt;"",$K105&lt;='02_SETARI'!$B$18),"Nemulțumit",IF(AND($D105&gt;0,$C105=0),"Nu mai cumpără",IF(AND($J105&lt;&gt;"",$J105&gt;'02_SETARI'!$B$17,$D105&gt;0),"Adormit",IF(AND($E105&lt;&gt;"",$E105&lt;='02_SETARI'!$B$15),"A scăzut",IF(AND($C105&gt;0,$G105&lt;&gt;"",$G105&lt;'02_SETARI'!$B$16),"Marjă mică",IF(AND($E105&lt;&gt;"",$E105&gt;=0.2),"În creștere",IF($C105=0,"Fără activitate","Merge bine"))))))))</f>
        <v/>
      </c>
      <c r="M105" s="67">
        <f>IF($A105="","",IF($L105="Nu mai cumpără","Sună-l săptămâna asta și întreabă direct ce s-a schimbat. Nu trimite email.",IF($L105="Adormit","Sună-l cu un motiv concret: o ofertă, o noutate, o reamintire de sezon.",IF($L105="A scăzut","Întreabă-l dacă a împărțit comenzile cu altcineva. De obicei asta s-a întâmplat.",IF($L105="Nemulțumit","Citește ce a spus în 11_CLIENTI. Rezolvă exact acel lucru, apoi sună-l să-i confirmi. Știi deja cauza — nu mai e nevoie să o cauți.",IF($L105="Marjă mică","Verifică ce discount are și cât te costă să-l servești. Poate merită renegociat.",IF($L105="În creștere","Întreabă-l ce altceva i-ar mai trebui. Acum e momentul, nu peste șase luni.",IF($L105="Fără activitate","Client în listă, dar fără vânzări în perioadă. Verifică dacă mai e client.","Nimic urgent. Ține-l cald."))))))))</f>
        <v/>
      </c>
      <c r="N105" s="68">
        <f>IF($A105="","",IFERROR(IF($L105="Nu mai cumpără",$D105,IF($L105="Adormit",$D105,IF($L105="A scăzut",MAX(0,$D105-$C105),IF($L105="Marjă mică",MAX(0,$C105*('02_SETARI'!$B$16-$G105)),$C105*0.15)))),""))</f>
        <v/>
      </c>
      <c r="O105">
        <f>IF(OR($A105="",$C105="",N($C105)&lt;=0),"",$C105+ROW()/1000000)</f>
        <v/>
      </c>
    </row>
    <row r="106">
      <c r="A106" s="67">
        <f>IF('11_CLIENTI'!$A106="","",'11_CLIENTI'!$A106)</f>
        <v/>
      </c>
      <c r="B106" s="67">
        <f>IF($A106="","",IFERROR(INDEX('11_CLIENTI'!$B$5:$B$124,MATCH($A106,'11_CLIENTI'!$A$5:$A$124,0)),""))</f>
        <v/>
      </c>
      <c r="C106" s="68">
        <f>IF($A106="","",SUMIFS('10_VANZARI'!$E$5:$E$604,'10_VANZARI'!$B$5:$B$604,$A106,'10_VANZARI'!$A$5:$A$604,"&gt;="&amp;'02_SETARI'!$B$5,'10_VANZARI'!$A$5:$A$604,"&lt;="&amp;'02_SETARI'!$B$6))</f>
        <v/>
      </c>
      <c r="D106" s="68">
        <f>IF($A106="","",SUMIFS('10_VANZARI'!$E$5:$E$604,'10_VANZARI'!$B$5:$B$604,$A106,'10_VANZARI'!$A$5:$A$604,"&gt;="&amp;'02_SETARI'!$B$7,'10_VANZARI'!$A$5:$A$604,"&lt;="&amp;'02_SETARI'!$B$8))</f>
        <v/>
      </c>
      <c r="E106" s="69">
        <f>IF($A106="","",IFERROR(IF($D106=0,"",($C106-$D106)/ABS($D106)),""))</f>
        <v/>
      </c>
      <c r="F106" s="68">
        <f>IF($A106="","",SUMIFS('10_VANZARI'!$G$5:$G$604,'10_VANZARI'!$B$5:$B$604,$A106,'10_VANZARI'!$A$5:$A$604,"&gt;="&amp;'02_SETARI'!$B$5,'10_VANZARI'!$A$5:$A$604,"&lt;="&amp;'02_SETARI'!$B$6))</f>
        <v/>
      </c>
      <c r="G106" s="69">
        <f>IF($A106="","",IFERROR($F106/$C106,""))</f>
        <v/>
      </c>
      <c r="H106" s="69">
        <f>IF($A106="","",IFERROR($C106/SUMIFS('10_VANZARI'!$E$5:$E$604,'10_VANZARI'!$A$5:$A$604,"&gt;="&amp;'02_SETARI'!$B$5,'10_VANZARI'!$A$5:$A$604,"&lt;="&amp;'02_SETARI'!$B$6),""))</f>
        <v/>
      </c>
      <c r="I106" s="70">
        <f>IF($A106="","",IFERROR(IF(SUMPRODUCT(MAX(('10_VANZARI'!$B$5:$B$604=$A106)*('10_VANZARI'!$E$5:$E$604&lt;&gt;"")*'10_VANZARI'!$A$5:$A$604))=0,"",SUMPRODUCT(MAX(('10_VANZARI'!$B$5:$B$604=$A106)*('10_VANZARI'!$E$5:$E$604&lt;&gt;"")*'10_VANZARI'!$A$5:$A$604))),""))</f>
        <v/>
      </c>
      <c r="J106" s="68">
        <f>IF(OR($A106="",$I106=""),"",'02_SETARI'!$B$19-$I106)</f>
        <v/>
      </c>
      <c r="K106" s="68">
        <f>IF($A106="","",IFERROR(IF(INDEX('11_CLIENTI'!$D$5:$D$124,MATCH($A106,'11_CLIENTI'!$A$5:$A$124,0))="","",INDEX('11_CLIENTI'!$D$5:$D$124,MATCH($A106,'11_CLIENTI'!$A$5:$A$124,0))),""))</f>
        <v/>
      </c>
      <c r="L106" s="67">
        <f>IF($A106="","",IF(AND($K106&lt;&gt;"",$K106&lt;='02_SETARI'!$B$18),"Nemulțumit",IF(AND($D106&gt;0,$C106=0),"Nu mai cumpără",IF(AND($J106&lt;&gt;"",$J106&gt;'02_SETARI'!$B$17,$D106&gt;0),"Adormit",IF(AND($E106&lt;&gt;"",$E106&lt;='02_SETARI'!$B$15),"A scăzut",IF(AND($C106&gt;0,$G106&lt;&gt;"",$G106&lt;'02_SETARI'!$B$16),"Marjă mică",IF(AND($E106&lt;&gt;"",$E106&gt;=0.2),"În creștere",IF($C106=0,"Fără activitate","Merge bine"))))))))</f>
        <v/>
      </c>
      <c r="M106" s="67">
        <f>IF($A106="","",IF($L106="Nu mai cumpără","Sună-l săptămâna asta și întreabă direct ce s-a schimbat. Nu trimite email.",IF($L106="Adormit","Sună-l cu un motiv concret: o ofertă, o noutate, o reamintire de sezon.",IF($L106="A scăzut","Întreabă-l dacă a împărțit comenzile cu altcineva. De obicei asta s-a întâmplat.",IF($L106="Nemulțumit","Citește ce a spus în 11_CLIENTI. Rezolvă exact acel lucru, apoi sună-l să-i confirmi. Știi deja cauza — nu mai e nevoie să o cauți.",IF($L106="Marjă mică","Verifică ce discount are și cât te costă să-l servești. Poate merită renegociat.",IF($L106="În creștere","Întreabă-l ce altceva i-ar mai trebui. Acum e momentul, nu peste șase luni.",IF($L106="Fără activitate","Client în listă, dar fără vânzări în perioadă. Verifică dacă mai e client.","Nimic urgent. Ține-l cald."))))))))</f>
        <v/>
      </c>
      <c r="N106" s="68">
        <f>IF($A106="","",IFERROR(IF($L106="Nu mai cumpără",$D106,IF($L106="Adormit",$D106,IF($L106="A scăzut",MAX(0,$D106-$C106),IF($L106="Marjă mică",MAX(0,$C106*('02_SETARI'!$B$16-$G106)),$C106*0.15)))),""))</f>
        <v/>
      </c>
      <c r="O106">
        <f>IF(OR($A106="",$C106="",N($C106)&lt;=0),"",$C106+ROW()/1000000)</f>
        <v/>
      </c>
    </row>
    <row r="107">
      <c r="A107" s="67">
        <f>IF('11_CLIENTI'!$A107="","",'11_CLIENTI'!$A107)</f>
        <v/>
      </c>
      <c r="B107" s="67">
        <f>IF($A107="","",IFERROR(INDEX('11_CLIENTI'!$B$5:$B$124,MATCH($A107,'11_CLIENTI'!$A$5:$A$124,0)),""))</f>
        <v/>
      </c>
      <c r="C107" s="68">
        <f>IF($A107="","",SUMIFS('10_VANZARI'!$E$5:$E$604,'10_VANZARI'!$B$5:$B$604,$A107,'10_VANZARI'!$A$5:$A$604,"&gt;="&amp;'02_SETARI'!$B$5,'10_VANZARI'!$A$5:$A$604,"&lt;="&amp;'02_SETARI'!$B$6))</f>
        <v/>
      </c>
      <c r="D107" s="68">
        <f>IF($A107="","",SUMIFS('10_VANZARI'!$E$5:$E$604,'10_VANZARI'!$B$5:$B$604,$A107,'10_VANZARI'!$A$5:$A$604,"&gt;="&amp;'02_SETARI'!$B$7,'10_VANZARI'!$A$5:$A$604,"&lt;="&amp;'02_SETARI'!$B$8))</f>
        <v/>
      </c>
      <c r="E107" s="69">
        <f>IF($A107="","",IFERROR(IF($D107=0,"",($C107-$D107)/ABS($D107)),""))</f>
        <v/>
      </c>
      <c r="F107" s="68">
        <f>IF($A107="","",SUMIFS('10_VANZARI'!$G$5:$G$604,'10_VANZARI'!$B$5:$B$604,$A107,'10_VANZARI'!$A$5:$A$604,"&gt;="&amp;'02_SETARI'!$B$5,'10_VANZARI'!$A$5:$A$604,"&lt;="&amp;'02_SETARI'!$B$6))</f>
        <v/>
      </c>
      <c r="G107" s="69">
        <f>IF($A107="","",IFERROR($F107/$C107,""))</f>
        <v/>
      </c>
      <c r="H107" s="69">
        <f>IF($A107="","",IFERROR($C107/SUMIFS('10_VANZARI'!$E$5:$E$604,'10_VANZARI'!$A$5:$A$604,"&gt;="&amp;'02_SETARI'!$B$5,'10_VANZARI'!$A$5:$A$604,"&lt;="&amp;'02_SETARI'!$B$6),""))</f>
        <v/>
      </c>
      <c r="I107" s="70">
        <f>IF($A107="","",IFERROR(IF(SUMPRODUCT(MAX(('10_VANZARI'!$B$5:$B$604=$A107)*('10_VANZARI'!$E$5:$E$604&lt;&gt;"")*'10_VANZARI'!$A$5:$A$604))=0,"",SUMPRODUCT(MAX(('10_VANZARI'!$B$5:$B$604=$A107)*('10_VANZARI'!$E$5:$E$604&lt;&gt;"")*'10_VANZARI'!$A$5:$A$604))),""))</f>
        <v/>
      </c>
      <c r="J107" s="68">
        <f>IF(OR($A107="",$I107=""),"",'02_SETARI'!$B$19-$I107)</f>
        <v/>
      </c>
      <c r="K107" s="68">
        <f>IF($A107="","",IFERROR(IF(INDEX('11_CLIENTI'!$D$5:$D$124,MATCH($A107,'11_CLIENTI'!$A$5:$A$124,0))="","",INDEX('11_CLIENTI'!$D$5:$D$124,MATCH($A107,'11_CLIENTI'!$A$5:$A$124,0))),""))</f>
        <v/>
      </c>
      <c r="L107" s="67">
        <f>IF($A107="","",IF(AND($K107&lt;&gt;"",$K107&lt;='02_SETARI'!$B$18),"Nemulțumit",IF(AND($D107&gt;0,$C107=0),"Nu mai cumpără",IF(AND($J107&lt;&gt;"",$J107&gt;'02_SETARI'!$B$17,$D107&gt;0),"Adormit",IF(AND($E107&lt;&gt;"",$E107&lt;='02_SETARI'!$B$15),"A scăzut",IF(AND($C107&gt;0,$G107&lt;&gt;"",$G107&lt;'02_SETARI'!$B$16),"Marjă mică",IF(AND($E107&lt;&gt;"",$E107&gt;=0.2),"În creștere",IF($C107=0,"Fără activitate","Merge bine"))))))))</f>
        <v/>
      </c>
      <c r="M107" s="67">
        <f>IF($A107="","",IF($L107="Nu mai cumpără","Sună-l săptămâna asta și întreabă direct ce s-a schimbat. Nu trimite email.",IF($L107="Adormit","Sună-l cu un motiv concret: o ofertă, o noutate, o reamintire de sezon.",IF($L107="A scăzut","Întreabă-l dacă a împărțit comenzile cu altcineva. De obicei asta s-a întâmplat.",IF($L107="Nemulțumit","Citește ce a spus în 11_CLIENTI. Rezolvă exact acel lucru, apoi sună-l să-i confirmi. Știi deja cauza — nu mai e nevoie să o cauți.",IF($L107="Marjă mică","Verifică ce discount are și cât te costă să-l servești. Poate merită renegociat.",IF($L107="În creștere","Întreabă-l ce altceva i-ar mai trebui. Acum e momentul, nu peste șase luni.",IF($L107="Fără activitate","Client în listă, dar fără vânzări în perioadă. Verifică dacă mai e client.","Nimic urgent. Ține-l cald."))))))))</f>
        <v/>
      </c>
      <c r="N107" s="68">
        <f>IF($A107="","",IFERROR(IF($L107="Nu mai cumpără",$D107,IF($L107="Adormit",$D107,IF($L107="A scăzut",MAX(0,$D107-$C107),IF($L107="Marjă mică",MAX(0,$C107*('02_SETARI'!$B$16-$G107)),$C107*0.15)))),""))</f>
        <v/>
      </c>
      <c r="O107">
        <f>IF(OR($A107="",$C107="",N($C107)&lt;=0),"",$C107+ROW()/1000000)</f>
        <v/>
      </c>
    </row>
    <row r="108">
      <c r="A108" s="67">
        <f>IF('11_CLIENTI'!$A108="","",'11_CLIENTI'!$A108)</f>
        <v/>
      </c>
      <c r="B108" s="67">
        <f>IF($A108="","",IFERROR(INDEX('11_CLIENTI'!$B$5:$B$124,MATCH($A108,'11_CLIENTI'!$A$5:$A$124,0)),""))</f>
        <v/>
      </c>
      <c r="C108" s="68">
        <f>IF($A108="","",SUMIFS('10_VANZARI'!$E$5:$E$604,'10_VANZARI'!$B$5:$B$604,$A108,'10_VANZARI'!$A$5:$A$604,"&gt;="&amp;'02_SETARI'!$B$5,'10_VANZARI'!$A$5:$A$604,"&lt;="&amp;'02_SETARI'!$B$6))</f>
        <v/>
      </c>
      <c r="D108" s="68">
        <f>IF($A108="","",SUMIFS('10_VANZARI'!$E$5:$E$604,'10_VANZARI'!$B$5:$B$604,$A108,'10_VANZARI'!$A$5:$A$604,"&gt;="&amp;'02_SETARI'!$B$7,'10_VANZARI'!$A$5:$A$604,"&lt;="&amp;'02_SETARI'!$B$8))</f>
        <v/>
      </c>
      <c r="E108" s="69">
        <f>IF($A108="","",IFERROR(IF($D108=0,"",($C108-$D108)/ABS($D108)),""))</f>
        <v/>
      </c>
      <c r="F108" s="68">
        <f>IF($A108="","",SUMIFS('10_VANZARI'!$G$5:$G$604,'10_VANZARI'!$B$5:$B$604,$A108,'10_VANZARI'!$A$5:$A$604,"&gt;="&amp;'02_SETARI'!$B$5,'10_VANZARI'!$A$5:$A$604,"&lt;="&amp;'02_SETARI'!$B$6))</f>
        <v/>
      </c>
      <c r="G108" s="69">
        <f>IF($A108="","",IFERROR($F108/$C108,""))</f>
        <v/>
      </c>
      <c r="H108" s="69">
        <f>IF($A108="","",IFERROR($C108/SUMIFS('10_VANZARI'!$E$5:$E$604,'10_VANZARI'!$A$5:$A$604,"&gt;="&amp;'02_SETARI'!$B$5,'10_VANZARI'!$A$5:$A$604,"&lt;="&amp;'02_SETARI'!$B$6),""))</f>
        <v/>
      </c>
      <c r="I108" s="70">
        <f>IF($A108="","",IFERROR(IF(SUMPRODUCT(MAX(('10_VANZARI'!$B$5:$B$604=$A108)*('10_VANZARI'!$E$5:$E$604&lt;&gt;"")*'10_VANZARI'!$A$5:$A$604))=0,"",SUMPRODUCT(MAX(('10_VANZARI'!$B$5:$B$604=$A108)*('10_VANZARI'!$E$5:$E$604&lt;&gt;"")*'10_VANZARI'!$A$5:$A$604))),""))</f>
        <v/>
      </c>
      <c r="J108" s="68">
        <f>IF(OR($A108="",$I108=""),"",'02_SETARI'!$B$19-$I108)</f>
        <v/>
      </c>
      <c r="K108" s="68">
        <f>IF($A108="","",IFERROR(IF(INDEX('11_CLIENTI'!$D$5:$D$124,MATCH($A108,'11_CLIENTI'!$A$5:$A$124,0))="","",INDEX('11_CLIENTI'!$D$5:$D$124,MATCH($A108,'11_CLIENTI'!$A$5:$A$124,0))),""))</f>
        <v/>
      </c>
      <c r="L108" s="67">
        <f>IF($A108="","",IF(AND($K108&lt;&gt;"",$K108&lt;='02_SETARI'!$B$18),"Nemulțumit",IF(AND($D108&gt;0,$C108=0),"Nu mai cumpără",IF(AND($J108&lt;&gt;"",$J108&gt;'02_SETARI'!$B$17,$D108&gt;0),"Adormit",IF(AND($E108&lt;&gt;"",$E108&lt;='02_SETARI'!$B$15),"A scăzut",IF(AND($C108&gt;0,$G108&lt;&gt;"",$G108&lt;'02_SETARI'!$B$16),"Marjă mică",IF(AND($E108&lt;&gt;"",$E108&gt;=0.2),"În creștere",IF($C108=0,"Fără activitate","Merge bine"))))))))</f>
        <v/>
      </c>
      <c r="M108" s="67">
        <f>IF($A108="","",IF($L108="Nu mai cumpără","Sună-l săptămâna asta și întreabă direct ce s-a schimbat. Nu trimite email.",IF($L108="Adormit","Sună-l cu un motiv concret: o ofertă, o noutate, o reamintire de sezon.",IF($L108="A scăzut","Întreabă-l dacă a împărțit comenzile cu altcineva. De obicei asta s-a întâmplat.",IF($L108="Nemulțumit","Citește ce a spus în 11_CLIENTI. Rezolvă exact acel lucru, apoi sună-l să-i confirmi. Știi deja cauza — nu mai e nevoie să o cauți.",IF($L108="Marjă mică","Verifică ce discount are și cât te costă să-l servești. Poate merită renegociat.",IF($L108="În creștere","Întreabă-l ce altceva i-ar mai trebui. Acum e momentul, nu peste șase luni.",IF($L108="Fără activitate","Client în listă, dar fără vânzări în perioadă. Verifică dacă mai e client.","Nimic urgent. Ține-l cald."))))))))</f>
        <v/>
      </c>
      <c r="N108" s="68">
        <f>IF($A108="","",IFERROR(IF($L108="Nu mai cumpără",$D108,IF($L108="Adormit",$D108,IF($L108="A scăzut",MAX(0,$D108-$C108),IF($L108="Marjă mică",MAX(0,$C108*('02_SETARI'!$B$16-$G108)),$C108*0.15)))),""))</f>
        <v/>
      </c>
      <c r="O108">
        <f>IF(OR($A108="",$C108="",N($C108)&lt;=0),"",$C108+ROW()/1000000)</f>
        <v/>
      </c>
    </row>
    <row r="109">
      <c r="A109" s="67">
        <f>IF('11_CLIENTI'!$A109="","",'11_CLIENTI'!$A109)</f>
        <v/>
      </c>
      <c r="B109" s="67">
        <f>IF($A109="","",IFERROR(INDEX('11_CLIENTI'!$B$5:$B$124,MATCH($A109,'11_CLIENTI'!$A$5:$A$124,0)),""))</f>
        <v/>
      </c>
      <c r="C109" s="68">
        <f>IF($A109="","",SUMIFS('10_VANZARI'!$E$5:$E$604,'10_VANZARI'!$B$5:$B$604,$A109,'10_VANZARI'!$A$5:$A$604,"&gt;="&amp;'02_SETARI'!$B$5,'10_VANZARI'!$A$5:$A$604,"&lt;="&amp;'02_SETARI'!$B$6))</f>
        <v/>
      </c>
      <c r="D109" s="68">
        <f>IF($A109="","",SUMIFS('10_VANZARI'!$E$5:$E$604,'10_VANZARI'!$B$5:$B$604,$A109,'10_VANZARI'!$A$5:$A$604,"&gt;="&amp;'02_SETARI'!$B$7,'10_VANZARI'!$A$5:$A$604,"&lt;="&amp;'02_SETARI'!$B$8))</f>
        <v/>
      </c>
      <c r="E109" s="69">
        <f>IF($A109="","",IFERROR(IF($D109=0,"",($C109-$D109)/ABS($D109)),""))</f>
        <v/>
      </c>
      <c r="F109" s="68">
        <f>IF($A109="","",SUMIFS('10_VANZARI'!$G$5:$G$604,'10_VANZARI'!$B$5:$B$604,$A109,'10_VANZARI'!$A$5:$A$604,"&gt;="&amp;'02_SETARI'!$B$5,'10_VANZARI'!$A$5:$A$604,"&lt;="&amp;'02_SETARI'!$B$6))</f>
        <v/>
      </c>
      <c r="G109" s="69">
        <f>IF($A109="","",IFERROR($F109/$C109,""))</f>
        <v/>
      </c>
      <c r="H109" s="69">
        <f>IF($A109="","",IFERROR($C109/SUMIFS('10_VANZARI'!$E$5:$E$604,'10_VANZARI'!$A$5:$A$604,"&gt;="&amp;'02_SETARI'!$B$5,'10_VANZARI'!$A$5:$A$604,"&lt;="&amp;'02_SETARI'!$B$6),""))</f>
        <v/>
      </c>
      <c r="I109" s="70">
        <f>IF($A109="","",IFERROR(IF(SUMPRODUCT(MAX(('10_VANZARI'!$B$5:$B$604=$A109)*('10_VANZARI'!$E$5:$E$604&lt;&gt;"")*'10_VANZARI'!$A$5:$A$604))=0,"",SUMPRODUCT(MAX(('10_VANZARI'!$B$5:$B$604=$A109)*('10_VANZARI'!$E$5:$E$604&lt;&gt;"")*'10_VANZARI'!$A$5:$A$604))),""))</f>
        <v/>
      </c>
      <c r="J109" s="68">
        <f>IF(OR($A109="",$I109=""),"",'02_SETARI'!$B$19-$I109)</f>
        <v/>
      </c>
      <c r="K109" s="68">
        <f>IF($A109="","",IFERROR(IF(INDEX('11_CLIENTI'!$D$5:$D$124,MATCH($A109,'11_CLIENTI'!$A$5:$A$124,0))="","",INDEX('11_CLIENTI'!$D$5:$D$124,MATCH($A109,'11_CLIENTI'!$A$5:$A$124,0))),""))</f>
        <v/>
      </c>
      <c r="L109" s="67">
        <f>IF($A109="","",IF(AND($K109&lt;&gt;"",$K109&lt;='02_SETARI'!$B$18),"Nemulțumit",IF(AND($D109&gt;0,$C109=0),"Nu mai cumpără",IF(AND($J109&lt;&gt;"",$J109&gt;'02_SETARI'!$B$17,$D109&gt;0),"Adormit",IF(AND($E109&lt;&gt;"",$E109&lt;='02_SETARI'!$B$15),"A scăzut",IF(AND($C109&gt;0,$G109&lt;&gt;"",$G109&lt;'02_SETARI'!$B$16),"Marjă mică",IF(AND($E109&lt;&gt;"",$E109&gt;=0.2),"În creștere",IF($C109=0,"Fără activitate","Merge bine"))))))))</f>
        <v/>
      </c>
      <c r="M109" s="67">
        <f>IF($A109="","",IF($L109="Nu mai cumpără","Sună-l săptămâna asta și întreabă direct ce s-a schimbat. Nu trimite email.",IF($L109="Adormit","Sună-l cu un motiv concret: o ofertă, o noutate, o reamintire de sezon.",IF($L109="A scăzut","Întreabă-l dacă a împărțit comenzile cu altcineva. De obicei asta s-a întâmplat.",IF($L109="Nemulțumit","Citește ce a spus în 11_CLIENTI. Rezolvă exact acel lucru, apoi sună-l să-i confirmi. Știi deja cauza — nu mai e nevoie să o cauți.",IF($L109="Marjă mică","Verifică ce discount are și cât te costă să-l servești. Poate merită renegociat.",IF($L109="În creștere","Întreabă-l ce altceva i-ar mai trebui. Acum e momentul, nu peste șase luni.",IF($L109="Fără activitate","Client în listă, dar fără vânzări în perioadă. Verifică dacă mai e client.","Nimic urgent. Ține-l cald."))))))))</f>
        <v/>
      </c>
      <c r="N109" s="68">
        <f>IF($A109="","",IFERROR(IF($L109="Nu mai cumpără",$D109,IF($L109="Adormit",$D109,IF($L109="A scăzut",MAX(0,$D109-$C109),IF($L109="Marjă mică",MAX(0,$C109*('02_SETARI'!$B$16-$G109)),$C109*0.15)))),""))</f>
        <v/>
      </c>
      <c r="O109">
        <f>IF(OR($A109="",$C109="",N($C109)&lt;=0),"",$C109+ROW()/1000000)</f>
        <v/>
      </c>
    </row>
    <row r="110">
      <c r="A110" s="67">
        <f>IF('11_CLIENTI'!$A110="","",'11_CLIENTI'!$A110)</f>
        <v/>
      </c>
      <c r="B110" s="67">
        <f>IF($A110="","",IFERROR(INDEX('11_CLIENTI'!$B$5:$B$124,MATCH($A110,'11_CLIENTI'!$A$5:$A$124,0)),""))</f>
        <v/>
      </c>
      <c r="C110" s="68">
        <f>IF($A110="","",SUMIFS('10_VANZARI'!$E$5:$E$604,'10_VANZARI'!$B$5:$B$604,$A110,'10_VANZARI'!$A$5:$A$604,"&gt;="&amp;'02_SETARI'!$B$5,'10_VANZARI'!$A$5:$A$604,"&lt;="&amp;'02_SETARI'!$B$6))</f>
        <v/>
      </c>
      <c r="D110" s="68">
        <f>IF($A110="","",SUMIFS('10_VANZARI'!$E$5:$E$604,'10_VANZARI'!$B$5:$B$604,$A110,'10_VANZARI'!$A$5:$A$604,"&gt;="&amp;'02_SETARI'!$B$7,'10_VANZARI'!$A$5:$A$604,"&lt;="&amp;'02_SETARI'!$B$8))</f>
        <v/>
      </c>
      <c r="E110" s="69">
        <f>IF($A110="","",IFERROR(IF($D110=0,"",($C110-$D110)/ABS($D110)),""))</f>
        <v/>
      </c>
      <c r="F110" s="68">
        <f>IF($A110="","",SUMIFS('10_VANZARI'!$G$5:$G$604,'10_VANZARI'!$B$5:$B$604,$A110,'10_VANZARI'!$A$5:$A$604,"&gt;="&amp;'02_SETARI'!$B$5,'10_VANZARI'!$A$5:$A$604,"&lt;="&amp;'02_SETARI'!$B$6))</f>
        <v/>
      </c>
      <c r="G110" s="69">
        <f>IF($A110="","",IFERROR($F110/$C110,""))</f>
        <v/>
      </c>
      <c r="H110" s="69">
        <f>IF($A110="","",IFERROR($C110/SUMIFS('10_VANZARI'!$E$5:$E$604,'10_VANZARI'!$A$5:$A$604,"&gt;="&amp;'02_SETARI'!$B$5,'10_VANZARI'!$A$5:$A$604,"&lt;="&amp;'02_SETARI'!$B$6),""))</f>
        <v/>
      </c>
      <c r="I110" s="70">
        <f>IF($A110="","",IFERROR(IF(SUMPRODUCT(MAX(('10_VANZARI'!$B$5:$B$604=$A110)*('10_VANZARI'!$E$5:$E$604&lt;&gt;"")*'10_VANZARI'!$A$5:$A$604))=0,"",SUMPRODUCT(MAX(('10_VANZARI'!$B$5:$B$604=$A110)*('10_VANZARI'!$E$5:$E$604&lt;&gt;"")*'10_VANZARI'!$A$5:$A$604))),""))</f>
        <v/>
      </c>
      <c r="J110" s="68">
        <f>IF(OR($A110="",$I110=""),"",'02_SETARI'!$B$19-$I110)</f>
        <v/>
      </c>
      <c r="K110" s="68">
        <f>IF($A110="","",IFERROR(IF(INDEX('11_CLIENTI'!$D$5:$D$124,MATCH($A110,'11_CLIENTI'!$A$5:$A$124,0))="","",INDEX('11_CLIENTI'!$D$5:$D$124,MATCH($A110,'11_CLIENTI'!$A$5:$A$124,0))),""))</f>
        <v/>
      </c>
      <c r="L110" s="67">
        <f>IF($A110="","",IF(AND($K110&lt;&gt;"",$K110&lt;='02_SETARI'!$B$18),"Nemulțumit",IF(AND($D110&gt;0,$C110=0),"Nu mai cumpără",IF(AND($J110&lt;&gt;"",$J110&gt;'02_SETARI'!$B$17,$D110&gt;0),"Adormit",IF(AND($E110&lt;&gt;"",$E110&lt;='02_SETARI'!$B$15),"A scăzut",IF(AND($C110&gt;0,$G110&lt;&gt;"",$G110&lt;'02_SETARI'!$B$16),"Marjă mică",IF(AND($E110&lt;&gt;"",$E110&gt;=0.2),"În creștere",IF($C110=0,"Fără activitate","Merge bine"))))))))</f>
        <v/>
      </c>
      <c r="M110" s="67">
        <f>IF($A110="","",IF($L110="Nu mai cumpără","Sună-l săptămâna asta și întreabă direct ce s-a schimbat. Nu trimite email.",IF($L110="Adormit","Sună-l cu un motiv concret: o ofertă, o noutate, o reamintire de sezon.",IF($L110="A scăzut","Întreabă-l dacă a împărțit comenzile cu altcineva. De obicei asta s-a întâmplat.",IF($L110="Nemulțumit","Citește ce a spus în 11_CLIENTI. Rezolvă exact acel lucru, apoi sună-l să-i confirmi. Știi deja cauza — nu mai e nevoie să o cauți.",IF($L110="Marjă mică","Verifică ce discount are și cât te costă să-l servești. Poate merită renegociat.",IF($L110="În creștere","Întreabă-l ce altceva i-ar mai trebui. Acum e momentul, nu peste șase luni.",IF($L110="Fără activitate","Client în listă, dar fără vânzări în perioadă. Verifică dacă mai e client.","Nimic urgent. Ține-l cald."))))))))</f>
        <v/>
      </c>
      <c r="N110" s="68">
        <f>IF($A110="","",IFERROR(IF($L110="Nu mai cumpără",$D110,IF($L110="Adormit",$D110,IF($L110="A scăzut",MAX(0,$D110-$C110),IF($L110="Marjă mică",MAX(0,$C110*('02_SETARI'!$B$16-$G110)),$C110*0.15)))),""))</f>
        <v/>
      </c>
      <c r="O110">
        <f>IF(OR($A110="",$C110="",N($C110)&lt;=0),"",$C110+ROW()/1000000)</f>
        <v/>
      </c>
    </row>
    <row r="111">
      <c r="A111" s="67">
        <f>IF('11_CLIENTI'!$A111="","",'11_CLIENTI'!$A111)</f>
        <v/>
      </c>
      <c r="B111" s="67">
        <f>IF($A111="","",IFERROR(INDEX('11_CLIENTI'!$B$5:$B$124,MATCH($A111,'11_CLIENTI'!$A$5:$A$124,0)),""))</f>
        <v/>
      </c>
      <c r="C111" s="68">
        <f>IF($A111="","",SUMIFS('10_VANZARI'!$E$5:$E$604,'10_VANZARI'!$B$5:$B$604,$A111,'10_VANZARI'!$A$5:$A$604,"&gt;="&amp;'02_SETARI'!$B$5,'10_VANZARI'!$A$5:$A$604,"&lt;="&amp;'02_SETARI'!$B$6))</f>
        <v/>
      </c>
      <c r="D111" s="68">
        <f>IF($A111="","",SUMIFS('10_VANZARI'!$E$5:$E$604,'10_VANZARI'!$B$5:$B$604,$A111,'10_VANZARI'!$A$5:$A$604,"&gt;="&amp;'02_SETARI'!$B$7,'10_VANZARI'!$A$5:$A$604,"&lt;="&amp;'02_SETARI'!$B$8))</f>
        <v/>
      </c>
      <c r="E111" s="69">
        <f>IF($A111="","",IFERROR(IF($D111=0,"",($C111-$D111)/ABS($D111)),""))</f>
        <v/>
      </c>
      <c r="F111" s="68">
        <f>IF($A111="","",SUMIFS('10_VANZARI'!$G$5:$G$604,'10_VANZARI'!$B$5:$B$604,$A111,'10_VANZARI'!$A$5:$A$604,"&gt;="&amp;'02_SETARI'!$B$5,'10_VANZARI'!$A$5:$A$604,"&lt;="&amp;'02_SETARI'!$B$6))</f>
        <v/>
      </c>
      <c r="G111" s="69">
        <f>IF($A111="","",IFERROR($F111/$C111,""))</f>
        <v/>
      </c>
      <c r="H111" s="69">
        <f>IF($A111="","",IFERROR($C111/SUMIFS('10_VANZARI'!$E$5:$E$604,'10_VANZARI'!$A$5:$A$604,"&gt;="&amp;'02_SETARI'!$B$5,'10_VANZARI'!$A$5:$A$604,"&lt;="&amp;'02_SETARI'!$B$6),""))</f>
        <v/>
      </c>
      <c r="I111" s="70">
        <f>IF($A111="","",IFERROR(IF(SUMPRODUCT(MAX(('10_VANZARI'!$B$5:$B$604=$A111)*('10_VANZARI'!$E$5:$E$604&lt;&gt;"")*'10_VANZARI'!$A$5:$A$604))=0,"",SUMPRODUCT(MAX(('10_VANZARI'!$B$5:$B$604=$A111)*('10_VANZARI'!$E$5:$E$604&lt;&gt;"")*'10_VANZARI'!$A$5:$A$604))),""))</f>
        <v/>
      </c>
      <c r="J111" s="68">
        <f>IF(OR($A111="",$I111=""),"",'02_SETARI'!$B$19-$I111)</f>
        <v/>
      </c>
      <c r="K111" s="68">
        <f>IF($A111="","",IFERROR(IF(INDEX('11_CLIENTI'!$D$5:$D$124,MATCH($A111,'11_CLIENTI'!$A$5:$A$124,0))="","",INDEX('11_CLIENTI'!$D$5:$D$124,MATCH($A111,'11_CLIENTI'!$A$5:$A$124,0))),""))</f>
        <v/>
      </c>
      <c r="L111" s="67">
        <f>IF($A111="","",IF(AND($K111&lt;&gt;"",$K111&lt;='02_SETARI'!$B$18),"Nemulțumit",IF(AND($D111&gt;0,$C111=0),"Nu mai cumpără",IF(AND($J111&lt;&gt;"",$J111&gt;'02_SETARI'!$B$17,$D111&gt;0),"Adormit",IF(AND($E111&lt;&gt;"",$E111&lt;='02_SETARI'!$B$15),"A scăzut",IF(AND($C111&gt;0,$G111&lt;&gt;"",$G111&lt;'02_SETARI'!$B$16),"Marjă mică",IF(AND($E111&lt;&gt;"",$E111&gt;=0.2),"În creștere",IF($C111=0,"Fără activitate","Merge bine"))))))))</f>
        <v/>
      </c>
      <c r="M111" s="67">
        <f>IF($A111="","",IF($L111="Nu mai cumpără","Sună-l săptămâna asta și întreabă direct ce s-a schimbat. Nu trimite email.",IF($L111="Adormit","Sună-l cu un motiv concret: o ofertă, o noutate, o reamintire de sezon.",IF($L111="A scăzut","Întreabă-l dacă a împărțit comenzile cu altcineva. De obicei asta s-a întâmplat.",IF($L111="Nemulțumit","Citește ce a spus în 11_CLIENTI. Rezolvă exact acel lucru, apoi sună-l să-i confirmi. Știi deja cauza — nu mai e nevoie să o cauți.",IF($L111="Marjă mică","Verifică ce discount are și cât te costă să-l servești. Poate merită renegociat.",IF($L111="În creștere","Întreabă-l ce altceva i-ar mai trebui. Acum e momentul, nu peste șase luni.",IF($L111="Fără activitate","Client în listă, dar fără vânzări în perioadă. Verifică dacă mai e client.","Nimic urgent. Ține-l cald."))))))))</f>
        <v/>
      </c>
      <c r="N111" s="68">
        <f>IF($A111="","",IFERROR(IF($L111="Nu mai cumpără",$D111,IF($L111="Adormit",$D111,IF($L111="A scăzut",MAX(0,$D111-$C111),IF($L111="Marjă mică",MAX(0,$C111*('02_SETARI'!$B$16-$G111)),$C111*0.15)))),""))</f>
        <v/>
      </c>
      <c r="O111">
        <f>IF(OR($A111="",$C111="",N($C111)&lt;=0),"",$C111+ROW()/1000000)</f>
        <v/>
      </c>
    </row>
    <row r="112">
      <c r="A112" s="67">
        <f>IF('11_CLIENTI'!$A112="","",'11_CLIENTI'!$A112)</f>
        <v/>
      </c>
      <c r="B112" s="67">
        <f>IF($A112="","",IFERROR(INDEX('11_CLIENTI'!$B$5:$B$124,MATCH($A112,'11_CLIENTI'!$A$5:$A$124,0)),""))</f>
        <v/>
      </c>
      <c r="C112" s="68">
        <f>IF($A112="","",SUMIFS('10_VANZARI'!$E$5:$E$604,'10_VANZARI'!$B$5:$B$604,$A112,'10_VANZARI'!$A$5:$A$604,"&gt;="&amp;'02_SETARI'!$B$5,'10_VANZARI'!$A$5:$A$604,"&lt;="&amp;'02_SETARI'!$B$6))</f>
        <v/>
      </c>
      <c r="D112" s="68">
        <f>IF($A112="","",SUMIFS('10_VANZARI'!$E$5:$E$604,'10_VANZARI'!$B$5:$B$604,$A112,'10_VANZARI'!$A$5:$A$604,"&gt;="&amp;'02_SETARI'!$B$7,'10_VANZARI'!$A$5:$A$604,"&lt;="&amp;'02_SETARI'!$B$8))</f>
        <v/>
      </c>
      <c r="E112" s="69">
        <f>IF($A112="","",IFERROR(IF($D112=0,"",($C112-$D112)/ABS($D112)),""))</f>
        <v/>
      </c>
      <c r="F112" s="68">
        <f>IF($A112="","",SUMIFS('10_VANZARI'!$G$5:$G$604,'10_VANZARI'!$B$5:$B$604,$A112,'10_VANZARI'!$A$5:$A$604,"&gt;="&amp;'02_SETARI'!$B$5,'10_VANZARI'!$A$5:$A$604,"&lt;="&amp;'02_SETARI'!$B$6))</f>
        <v/>
      </c>
      <c r="G112" s="69">
        <f>IF($A112="","",IFERROR($F112/$C112,""))</f>
        <v/>
      </c>
      <c r="H112" s="69">
        <f>IF($A112="","",IFERROR($C112/SUMIFS('10_VANZARI'!$E$5:$E$604,'10_VANZARI'!$A$5:$A$604,"&gt;="&amp;'02_SETARI'!$B$5,'10_VANZARI'!$A$5:$A$604,"&lt;="&amp;'02_SETARI'!$B$6),""))</f>
        <v/>
      </c>
      <c r="I112" s="70">
        <f>IF($A112="","",IFERROR(IF(SUMPRODUCT(MAX(('10_VANZARI'!$B$5:$B$604=$A112)*('10_VANZARI'!$E$5:$E$604&lt;&gt;"")*'10_VANZARI'!$A$5:$A$604))=0,"",SUMPRODUCT(MAX(('10_VANZARI'!$B$5:$B$604=$A112)*('10_VANZARI'!$E$5:$E$604&lt;&gt;"")*'10_VANZARI'!$A$5:$A$604))),""))</f>
        <v/>
      </c>
      <c r="J112" s="68">
        <f>IF(OR($A112="",$I112=""),"",'02_SETARI'!$B$19-$I112)</f>
        <v/>
      </c>
      <c r="K112" s="68">
        <f>IF($A112="","",IFERROR(IF(INDEX('11_CLIENTI'!$D$5:$D$124,MATCH($A112,'11_CLIENTI'!$A$5:$A$124,0))="","",INDEX('11_CLIENTI'!$D$5:$D$124,MATCH($A112,'11_CLIENTI'!$A$5:$A$124,0))),""))</f>
        <v/>
      </c>
      <c r="L112" s="67">
        <f>IF($A112="","",IF(AND($K112&lt;&gt;"",$K112&lt;='02_SETARI'!$B$18),"Nemulțumit",IF(AND($D112&gt;0,$C112=0),"Nu mai cumpără",IF(AND($J112&lt;&gt;"",$J112&gt;'02_SETARI'!$B$17,$D112&gt;0),"Adormit",IF(AND($E112&lt;&gt;"",$E112&lt;='02_SETARI'!$B$15),"A scăzut",IF(AND($C112&gt;0,$G112&lt;&gt;"",$G112&lt;'02_SETARI'!$B$16),"Marjă mică",IF(AND($E112&lt;&gt;"",$E112&gt;=0.2),"În creștere",IF($C112=0,"Fără activitate","Merge bine"))))))))</f>
        <v/>
      </c>
      <c r="M112" s="67">
        <f>IF($A112="","",IF($L112="Nu mai cumpără","Sună-l săptămâna asta și întreabă direct ce s-a schimbat. Nu trimite email.",IF($L112="Adormit","Sună-l cu un motiv concret: o ofertă, o noutate, o reamintire de sezon.",IF($L112="A scăzut","Întreabă-l dacă a împărțit comenzile cu altcineva. De obicei asta s-a întâmplat.",IF($L112="Nemulțumit","Citește ce a spus în 11_CLIENTI. Rezolvă exact acel lucru, apoi sună-l să-i confirmi. Știi deja cauza — nu mai e nevoie să o cauți.",IF($L112="Marjă mică","Verifică ce discount are și cât te costă să-l servești. Poate merită renegociat.",IF($L112="În creștere","Întreabă-l ce altceva i-ar mai trebui. Acum e momentul, nu peste șase luni.",IF($L112="Fără activitate","Client în listă, dar fără vânzări în perioadă. Verifică dacă mai e client.","Nimic urgent. Ține-l cald."))))))))</f>
        <v/>
      </c>
      <c r="N112" s="68">
        <f>IF($A112="","",IFERROR(IF($L112="Nu mai cumpără",$D112,IF($L112="Adormit",$D112,IF($L112="A scăzut",MAX(0,$D112-$C112),IF($L112="Marjă mică",MAX(0,$C112*('02_SETARI'!$B$16-$G112)),$C112*0.15)))),""))</f>
        <v/>
      </c>
      <c r="O112">
        <f>IF(OR($A112="",$C112="",N($C112)&lt;=0),"",$C112+ROW()/1000000)</f>
        <v/>
      </c>
    </row>
    <row r="113">
      <c r="A113" s="67">
        <f>IF('11_CLIENTI'!$A113="","",'11_CLIENTI'!$A113)</f>
        <v/>
      </c>
      <c r="B113" s="67">
        <f>IF($A113="","",IFERROR(INDEX('11_CLIENTI'!$B$5:$B$124,MATCH($A113,'11_CLIENTI'!$A$5:$A$124,0)),""))</f>
        <v/>
      </c>
      <c r="C113" s="68">
        <f>IF($A113="","",SUMIFS('10_VANZARI'!$E$5:$E$604,'10_VANZARI'!$B$5:$B$604,$A113,'10_VANZARI'!$A$5:$A$604,"&gt;="&amp;'02_SETARI'!$B$5,'10_VANZARI'!$A$5:$A$604,"&lt;="&amp;'02_SETARI'!$B$6))</f>
        <v/>
      </c>
      <c r="D113" s="68">
        <f>IF($A113="","",SUMIFS('10_VANZARI'!$E$5:$E$604,'10_VANZARI'!$B$5:$B$604,$A113,'10_VANZARI'!$A$5:$A$604,"&gt;="&amp;'02_SETARI'!$B$7,'10_VANZARI'!$A$5:$A$604,"&lt;="&amp;'02_SETARI'!$B$8))</f>
        <v/>
      </c>
      <c r="E113" s="69">
        <f>IF($A113="","",IFERROR(IF($D113=0,"",($C113-$D113)/ABS($D113)),""))</f>
        <v/>
      </c>
      <c r="F113" s="68">
        <f>IF($A113="","",SUMIFS('10_VANZARI'!$G$5:$G$604,'10_VANZARI'!$B$5:$B$604,$A113,'10_VANZARI'!$A$5:$A$604,"&gt;="&amp;'02_SETARI'!$B$5,'10_VANZARI'!$A$5:$A$604,"&lt;="&amp;'02_SETARI'!$B$6))</f>
        <v/>
      </c>
      <c r="G113" s="69">
        <f>IF($A113="","",IFERROR($F113/$C113,""))</f>
        <v/>
      </c>
      <c r="H113" s="69">
        <f>IF($A113="","",IFERROR($C113/SUMIFS('10_VANZARI'!$E$5:$E$604,'10_VANZARI'!$A$5:$A$604,"&gt;="&amp;'02_SETARI'!$B$5,'10_VANZARI'!$A$5:$A$604,"&lt;="&amp;'02_SETARI'!$B$6),""))</f>
        <v/>
      </c>
      <c r="I113" s="70">
        <f>IF($A113="","",IFERROR(IF(SUMPRODUCT(MAX(('10_VANZARI'!$B$5:$B$604=$A113)*('10_VANZARI'!$E$5:$E$604&lt;&gt;"")*'10_VANZARI'!$A$5:$A$604))=0,"",SUMPRODUCT(MAX(('10_VANZARI'!$B$5:$B$604=$A113)*('10_VANZARI'!$E$5:$E$604&lt;&gt;"")*'10_VANZARI'!$A$5:$A$604))),""))</f>
        <v/>
      </c>
      <c r="J113" s="68">
        <f>IF(OR($A113="",$I113=""),"",'02_SETARI'!$B$19-$I113)</f>
        <v/>
      </c>
      <c r="K113" s="68">
        <f>IF($A113="","",IFERROR(IF(INDEX('11_CLIENTI'!$D$5:$D$124,MATCH($A113,'11_CLIENTI'!$A$5:$A$124,0))="","",INDEX('11_CLIENTI'!$D$5:$D$124,MATCH($A113,'11_CLIENTI'!$A$5:$A$124,0))),""))</f>
        <v/>
      </c>
      <c r="L113" s="67">
        <f>IF($A113="","",IF(AND($K113&lt;&gt;"",$K113&lt;='02_SETARI'!$B$18),"Nemulțumit",IF(AND($D113&gt;0,$C113=0),"Nu mai cumpără",IF(AND($J113&lt;&gt;"",$J113&gt;'02_SETARI'!$B$17,$D113&gt;0),"Adormit",IF(AND($E113&lt;&gt;"",$E113&lt;='02_SETARI'!$B$15),"A scăzut",IF(AND($C113&gt;0,$G113&lt;&gt;"",$G113&lt;'02_SETARI'!$B$16),"Marjă mică",IF(AND($E113&lt;&gt;"",$E113&gt;=0.2),"În creștere",IF($C113=0,"Fără activitate","Merge bine"))))))))</f>
        <v/>
      </c>
      <c r="M113" s="67">
        <f>IF($A113="","",IF($L113="Nu mai cumpără","Sună-l săptămâna asta și întreabă direct ce s-a schimbat. Nu trimite email.",IF($L113="Adormit","Sună-l cu un motiv concret: o ofertă, o noutate, o reamintire de sezon.",IF($L113="A scăzut","Întreabă-l dacă a împărțit comenzile cu altcineva. De obicei asta s-a întâmplat.",IF($L113="Nemulțumit","Citește ce a spus în 11_CLIENTI. Rezolvă exact acel lucru, apoi sună-l să-i confirmi. Știi deja cauza — nu mai e nevoie să o cauți.",IF($L113="Marjă mică","Verifică ce discount are și cât te costă să-l servești. Poate merită renegociat.",IF($L113="În creștere","Întreabă-l ce altceva i-ar mai trebui. Acum e momentul, nu peste șase luni.",IF($L113="Fără activitate","Client în listă, dar fără vânzări în perioadă. Verifică dacă mai e client.","Nimic urgent. Ține-l cald."))))))))</f>
        <v/>
      </c>
      <c r="N113" s="68">
        <f>IF($A113="","",IFERROR(IF($L113="Nu mai cumpără",$D113,IF($L113="Adormit",$D113,IF($L113="A scăzut",MAX(0,$D113-$C113),IF($L113="Marjă mică",MAX(0,$C113*('02_SETARI'!$B$16-$G113)),$C113*0.15)))),""))</f>
        <v/>
      </c>
      <c r="O113">
        <f>IF(OR($A113="",$C113="",N($C113)&lt;=0),"",$C113+ROW()/1000000)</f>
        <v/>
      </c>
    </row>
    <row r="114">
      <c r="A114" s="67">
        <f>IF('11_CLIENTI'!$A114="","",'11_CLIENTI'!$A114)</f>
        <v/>
      </c>
      <c r="B114" s="67">
        <f>IF($A114="","",IFERROR(INDEX('11_CLIENTI'!$B$5:$B$124,MATCH($A114,'11_CLIENTI'!$A$5:$A$124,0)),""))</f>
        <v/>
      </c>
      <c r="C114" s="68">
        <f>IF($A114="","",SUMIFS('10_VANZARI'!$E$5:$E$604,'10_VANZARI'!$B$5:$B$604,$A114,'10_VANZARI'!$A$5:$A$604,"&gt;="&amp;'02_SETARI'!$B$5,'10_VANZARI'!$A$5:$A$604,"&lt;="&amp;'02_SETARI'!$B$6))</f>
        <v/>
      </c>
      <c r="D114" s="68">
        <f>IF($A114="","",SUMIFS('10_VANZARI'!$E$5:$E$604,'10_VANZARI'!$B$5:$B$604,$A114,'10_VANZARI'!$A$5:$A$604,"&gt;="&amp;'02_SETARI'!$B$7,'10_VANZARI'!$A$5:$A$604,"&lt;="&amp;'02_SETARI'!$B$8))</f>
        <v/>
      </c>
      <c r="E114" s="69">
        <f>IF($A114="","",IFERROR(IF($D114=0,"",($C114-$D114)/ABS($D114)),""))</f>
        <v/>
      </c>
      <c r="F114" s="68">
        <f>IF($A114="","",SUMIFS('10_VANZARI'!$G$5:$G$604,'10_VANZARI'!$B$5:$B$604,$A114,'10_VANZARI'!$A$5:$A$604,"&gt;="&amp;'02_SETARI'!$B$5,'10_VANZARI'!$A$5:$A$604,"&lt;="&amp;'02_SETARI'!$B$6))</f>
        <v/>
      </c>
      <c r="G114" s="69">
        <f>IF($A114="","",IFERROR($F114/$C114,""))</f>
        <v/>
      </c>
      <c r="H114" s="69">
        <f>IF($A114="","",IFERROR($C114/SUMIFS('10_VANZARI'!$E$5:$E$604,'10_VANZARI'!$A$5:$A$604,"&gt;="&amp;'02_SETARI'!$B$5,'10_VANZARI'!$A$5:$A$604,"&lt;="&amp;'02_SETARI'!$B$6),""))</f>
        <v/>
      </c>
      <c r="I114" s="70">
        <f>IF($A114="","",IFERROR(IF(SUMPRODUCT(MAX(('10_VANZARI'!$B$5:$B$604=$A114)*('10_VANZARI'!$E$5:$E$604&lt;&gt;"")*'10_VANZARI'!$A$5:$A$604))=0,"",SUMPRODUCT(MAX(('10_VANZARI'!$B$5:$B$604=$A114)*('10_VANZARI'!$E$5:$E$604&lt;&gt;"")*'10_VANZARI'!$A$5:$A$604))),""))</f>
        <v/>
      </c>
      <c r="J114" s="68">
        <f>IF(OR($A114="",$I114=""),"",'02_SETARI'!$B$19-$I114)</f>
        <v/>
      </c>
      <c r="K114" s="68">
        <f>IF($A114="","",IFERROR(IF(INDEX('11_CLIENTI'!$D$5:$D$124,MATCH($A114,'11_CLIENTI'!$A$5:$A$124,0))="","",INDEX('11_CLIENTI'!$D$5:$D$124,MATCH($A114,'11_CLIENTI'!$A$5:$A$124,0))),""))</f>
        <v/>
      </c>
      <c r="L114" s="67">
        <f>IF($A114="","",IF(AND($K114&lt;&gt;"",$K114&lt;='02_SETARI'!$B$18),"Nemulțumit",IF(AND($D114&gt;0,$C114=0),"Nu mai cumpără",IF(AND($J114&lt;&gt;"",$J114&gt;'02_SETARI'!$B$17,$D114&gt;0),"Adormit",IF(AND($E114&lt;&gt;"",$E114&lt;='02_SETARI'!$B$15),"A scăzut",IF(AND($C114&gt;0,$G114&lt;&gt;"",$G114&lt;'02_SETARI'!$B$16),"Marjă mică",IF(AND($E114&lt;&gt;"",$E114&gt;=0.2),"În creștere",IF($C114=0,"Fără activitate","Merge bine"))))))))</f>
        <v/>
      </c>
      <c r="M114" s="67">
        <f>IF($A114="","",IF($L114="Nu mai cumpără","Sună-l săptămâna asta și întreabă direct ce s-a schimbat. Nu trimite email.",IF($L114="Adormit","Sună-l cu un motiv concret: o ofertă, o noutate, o reamintire de sezon.",IF($L114="A scăzut","Întreabă-l dacă a împărțit comenzile cu altcineva. De obicei asta s-a întâmplat.",IF($L114="Nemulțumit","Citește ce a spus în 11_CLIENTI. Rezolvă exact acel lucru, apoi sună-l să-i confirmi. Știi deja cauza — nu mai e nevoie să o cauți.",IF($L114="Marjă mică","Verifică ce discount are și cât te costă să-l servești. Poate merită renegociat.",IF($L114="În creștere","Întreabă-l ce altceva i-ar mai trebui. Acum e momentul, nu peste șase luni.",IF($L114="Fără activitate","Client în listă, dar fără vânzări în perioadă. Verifică dacă mai e client.","Nimic urgent. Ține-l cald."))))))))</f>
        <v/>
      </c>
      <c r="N114" s="68">
        <f>IF($A114="","",IFERROR(IF($L114="Nu mai cumpără",$D114,IF($L114="Adormit",$D114,IF($L114="A scăzut",MAX(0,$D114-$C114),IF($L114="Marjă mică",MAX(0,$C114*('02_SETARI'!$B$16-$G114)),$C114*0.15)))),""))</f>
        <v/>
      </c>
      <c r="O114">
        <f>IF(OR($A114="",$C114="",N($C114)&lt;=0),"",$C114+ROW()/1000000)</f>
        <v/>
      </c>
    </row>
    <row r="115">
      <c r="A115" s="67">
        <f>IF('11_CLIENTI'!$A115="","",'11_CLIENTI'!$A115)</f>
        <v/>
      </c>
      <c r="B115" s="67">
        <f>IF($A115="","",IFERROR(INDEX('11_CLIENTI'!$B$5:$B$124,MATCH($A115,'11_CLIENTI'!$A$5:$A$124,0)),""))</f>
        <v/>
      </c>
      <c r="C115" s="68">
        <f>IF($A115="","",SUMIFS('10_VANZARI'!$E$5:$E$604,'10_VANZARI'!$B$5:$B$604,$A115,'10_VANZARI'!$A$5:$A$604,"&gt;="&amp;'02_SETARI'!$B$5,'10_VANZARI'!$A$5:$A$604,"&lt;="&amp;'02_SETARI'!$B$6))</f>
        <v/>
      </c>
      <c r="D115" s="68">
        <f>IF($A115="","",SUMIFS('10_VANZARI'!$E$5:$E$604,'10_VANZARI'!$B$5:$B$604,$A115,'10_VANZARI'!$A$5:$A$604,"&gt;="&amp;'02_SETARI'!$B$7,'10_VANZARI'!$A$5:$A$604,"&lt;="&amp;'02_SETARI'!$B$8))</f>
        <v/>
      </c>
      <c r="E115" s="69">
        <f>IF($A115="","",IFERROR(IF($D115=0,"",($C115-$D115)/ABS($D115)),""))</f>
        <v/>
      </c>
      <c r="F115" s="68">
        <f>IF($A115="","",SUMIFS('10_VANZARI'!$G$5:$G$604,'10_VANZARI'!$B$5:$B$604,$A115,'10_VANZARI'!$A$5:$A$604,"&gt;="&amp;'02_SETARI'!$B$5,'10_VANZARI'!$A$5:$A$604,"&lt;="&amp;'02_SETARI'!$B$6))</f>
        <v/>
      </c>
      <c r="G115" s="69">
        <f>IF($A115="","",IFERROR($F115/$C115,""))</f>
        <v/>
      </c>
      <c r="H115" s="69">
        <f>IF($A115="","",IFERROR($C115/SUMIFS('10_VANZARI'!$E$5:$E$604,'10_VANZARI'!$A$5:$A$604,"&gt;="&amp;'02_SETARI'!$B$5,'10_VANZARI'!$A$5:$A$604,"&lt;="&amp;'02_SETARI'!$B$6),""))</f>
        <v/>
      </c>
      <c r="I115" s="70">
        <f>IF($A115="","",IFERROR(IF(SUMPRODUCT(MAX(('10_VANZARI'!$B$5:$B$604=$A115)*('10_VANZARI'!$E$5:$E$604&lt;&gt;"")*'10_VANZARI'!$A$5:$A$604))=0,"",SUMPRODUCT(MAX(('10_VANZARI'!$B$5:$B$604=$A115)*('10_VANZARI'!$E$5:$E$604&lt;&gt;"")*'10_VANZARI'!$A$5:$A$604))),""))</f>
        <v/>
      </c>
      <c r="J115" s="68">
        <f>IF(OR($A115="",$I115=""),"",'02_SETARI'!$B$19-$I115)</f>
        <v/>
      </c>
      <c r="K115" s="68">
        <f>IF($A115="","",IFERROR(IF(INDEX('11_CLIENTI'!$D$5:$D$124,MATCH($A115,'11_CLIENTI'!$A$5:$A$124,0))="","",INDEX('11_CLIENTI'!$D$5:$D$124,MATCH($A115,'11_CLIENTI'!$A$5:$A$124,0))),""))</f>
        <v/>
      </c>
      <c r="L115" s="67">
        <f>IF($A115="","",IF(AND($K115&lt;&gt;"",$K115&lt;='02_SETARI'!$B$18),"Nemulțumit",IF(AND($D115&gt;0,$C115=0),"Nu mai cumpără",IF(AND($J115&lt;&gt;"",$J115&gt;'02_SETARI'!$B$17,$D115&gt;0),"Adormit",IF(AND($E115&lt;&gt;"",$E115&lt;='02_SETARI'!$B$15),"A scăzut",IF(AND($C115&gt;0,$G115&lt;&gt;"",$G115&lt;'02_SETARI'!$B$16),"Marjă mică",IF(AND($E115&lt;&gt;"",$E115&gt;=0.2),"În creștere",IF($C115=0,"Fără activitate","Merge bine"))))))))</f>
        <v/>
      </c>
      <c r="M115" s="67">
        <f>IF($A115="","",IF($L115="Nu mai cumpără","Sună-l săptămâna asta și întreabă direct ce s-a schimbat. Nu trimite email.",IF($L115="Adormit","Sună-l cu un motiv concret: o ofertă, o noutate, o reamintire de sezon.",IF($L115="A scăzut","Întreabă-l dacă a împărțit comenzile cu altcineva. De obicei asta s-a întâmplat.",IF($L115="Nemulțumit","Citește ce a spus în 11_CLIENTI. Rezolvă exact acel lucru, apoi sună-l să-i confirmi. Știi deja cauza — nu mai e nevoie să o cauți.",IF($L115="Marjă mică","Verifică ce discount are și cât te costă să-l servești. Poate merită renegociat.",IF($L115="În creștere","Întreabă-l ce altceva i-ar mai trebui. Acum e momentul, nu peste șase luni.",IF($L115="Fără activitate","Client în listă, dar fără vânzări în perioadă. Verifică dacă mai e client.","Nimic urgent. Ține-l cald."))))))))</f>
        <v/>
      </c>
      <c r="N115" s="68">
        <f>IF($A115="","",IFERROR(IF($L115="Nu mai cumpără",$D115,IF($L115="Adormit",$D115,IF($L115="A scăzut",MAX(0,$D115-$C115),IF($L115="Marjă mică",MAX(0,$C115*('02_SETARI'!$B$16-$G115)),$C115*0.15)))),""))</f>
        <v/>
      </c>
      <c r="O115">
        <f>IF(OR($A115="",$C115="",N($C115)&lt;=0),"",$C115+ROW()/1000000)</f>
        <v/>
      </c>
    </row>
    <row r="116">
      <c r="A116" s="67">
        <f>IF('11_CLIENTI'!$A116="","",'11_CLIENTI'!$A116)</f>
        <v/>
      </c>
      <c r="B116" s="67">
        <f>IF($A116="","",IFERROR(INDEX('11_CLIENTI'!$B$5:$B$124,MATCH($A116,'11_CLIENTI'!$A$5:$A$124,0)),""))</f>
        <v/>
      </c>
      <c r="C116" s="68">
        <f>IF($A116="","",SUMIFS('10_VANZARI'!$E$5:$E$604,'10_VANZARI'!$B$5:$B$604,$A116,'10_VANZARI'!$A$5:$A$604,"&gt;="&amp;'02_SETARI'!$B$5,'10_VANZARI'!$A$5:$A$604,"&lt;="&amp;'02_SETARI'!$B$6))</f>
        <v/>
      </c>
      <c r="D116" s="68">
        <f>IF($A116="","",SUMIFS('10_VANZARI'!$E$5:$E$604,'10_VANZARI'!$B$5:$B$604,$A116,'10_VANZARI'!$A$5:$A$604,"&gt;="&amp;'02_SETARI'!$B$7,'10_VANZARI'!$A$5:$A$604,"&lt;="&amp;'02_SETARI'!$B$8))</f>
        <v/>
      </c>
      <c r="E116" s="69">
        <f>IF($A116="","",IFERROR(IF($D116=0,"",($C116-$D116)/ABS($D116)),""))</f>
        <v/>
      </c>
      <c r="F116" s="68">
        <f>IF($A116="","",SUMIFS('10_VANZARI'!$G$5:$G$604,'10_VANZARI'!$B$5:$B$604,$A116,'10_VANZARI'!$A$5:$A$604,"&gt;="&amp;'02_SETARI'!$B$5,'10_VANZARI'!$A$5:$A$604,"&lt;="&amp;'02_SETARI'!$B$6))</f>
        <v/>
      </c>
      <c r="G116" s="69">
        <f>IF($A116="","",IFERROR($F116/$C116,""))</f>
        <v/>
      </c>
      <c r="H116" s="69">
        <f>IF($A116="","",IFERROR($C116/SUMIFS('10_VANZARI'!$E$5:$E$604,'10_VANZARI'!$A$5:$A$604,"&gt;="&amp;'02_SETARI'!$B$5,'10_VANZARI'!$A$5:$A$604,"&lt;="&amp;'02_SETARI'!$B$6),""))</f>
        <v/>
      </c>
      <c r="I116" s="70">
        <f>IF($A116="","",IFERROR(IF(SUMPRODUCT(MAX(('10_VANZARI'!$B$5:$B$604=$A116)*('10_VANZARI'!$E$5:$E$604&lt;&gt;"")*'10_VANZARI'!$A$5:$A$604))=0,"",SUMPRODUCT(MAX(('10_VANZARI'!$B$5:$B$604=$A116)*('10_VANZARI'!$E$5:$E$604&lt;&gt;"")*'10_VANZARI'!$A$5:$A$604))),""))</f>
        <v/>
      </c>
      <c r="J116" s="68">
        <f>IF(OR($A116="",$I116=""),"",'02_SETARI'!$B$19-$I116)</f>
        <v/>
      </c>
      <c r="K116" s="68">
        <f>IF($A116="","",IFERROR(IF(INDEX('11_CLIENTI'!$D$5:$D$124,MATCH($A116,'11_CLIENTI'!$A$5:$A$124,0))="","",INDEX('11_CLIENTI'!$D$5:$D$124,MATCH($A116,'11_CLIENTI'!$A$5:$A$124,0))),""))</f>
        <v/>
      </c>
      <c r="L116" s="67">
        <f>IF($A116="","",IF(AND($K116&lt;&gt;"",$K116&lt;='02_SETARI'!$B$18),"Nemulțumit",IF(AND($D116&gt;0,$C116=0),"Nu mai cumpără",IF(AND($J116&lt;&gt;"",$J116&gt;'02_SETARI'!$B$17,$D116&gt;0),"Adormit",IF(AND($E116&lt;&gt;"",$E116&lt;='02_SETARI'!$B$15),"A scăzut",IF(AND($C116&gt;0,$G116&lt;&gt;"",$G116&lt;'02_SETARI'!$B$16),"Marjă mică",IF(AND($E116&lt;&gt;"",$E116&gt;=0.2),"În creștere",IF($C116=0,"Fără activitate","Merge bine"))))))))</f>
        <v/>
      </c>
      <c r="M116" s="67">
        <f>IF($A116="","",IF($L116="Nu mai cumpără","Sună-l săptămâna asta și întreabă direct ce s-a schimbat. Nu trimite email.",IF($L116="Adormit","Sună-l cu un motiv concret: o ofertă, o noutate, o reamintire de sezon.",IF($L116="A scăzut","Întreabă-l dacă a împărțit comenzile cu altcineva. De obicei asta s-a întâmplat.",IF($L116="Nemulțumit","Citește ce a spus în 11_CLIENTI. Rezolvă exact acel lucru, apoi sună-l să-i confirmi. Știi deja cauza — nu mai e nevoie să o cauți.",IF($L116="Marjă mică","Verifică ce discount are și cât te costă să-l servești. Poate merită renegociat.",IF($L116="În creștere","Întreabă-l ce altceva i-ar mai trebui. Acum e momentul, nu peste șase luni.",IF($L116="Fără activitate","Client în listă, dar fără vânzări în perioadă. Verifică dacă mai e client.","Nimic urgent. Ține-l cald."))))))))</f>
        <v/>
      </c>
      <c r="N116" s="68">
        <f>IF($A116="","",IFERROR(IF($L116="Nu mai cumpără",$D116,IF($L116="Adormit",$D116,IF($L116="A scăzut",MAX(0,$D116-$C116),IF($L116="Marjă mică",MAX(0,$C116*('02_SETARI'!$B$16-$G116)),$C116*0.15)))),""))</f>
        <v/>
      </c>
      <c r="O116">
        <f>IF(OR($A116="",$C116="",N($C116)&lt;=0),"",$C116+ROW()/1000000)</f>
        <v/>
      </c>
    </row>
    <row r="117">
      <c r="A117" s="67">
        <f>IF('11_CLIENTI'!$A117="","",'11_CLIENTI'!$A117)</f>
        <v/>
      </c>
      <c r="B117" s="67">
        <f>IF($A117="","",IFERROR(INDEX('11_CLIENTI'!$B$5:$B$124,MATCH($A117,'11_CLIENTI'!$A$5:$A$124,0)),""))</f>
        <v/>
      </c>
      <c r="C117" s="68">
        <f>IF($A117="","",SUMIFS('10_VANZARI'!$E$5:$E$604,'10_VANZARI'!$B$5:$B$604,$A117,'10_VANZARI'!$A$5:$A$604,"&gt;="&amp;'02_SETARI'!$B$5,'10_VANZARI'!$A$5:$A$604,"&lt;="&amp;'02_SETARI'!$B$6))</f>
        <v/>
      </c>
      <c r="D117" s="68">
        <f>IF($A117="","",SUMIFS('10_VANZARI'!$E$5:$E$604,'10_VANZARI'!$B$5:$B$604,$A117,'10_VANZARI'!$A$5:$A$604,"&gt;="&amp;'02_SETARI'!$B$7,'10_VANZARI'!$A$5:$A$604,"&lt;="&amp;'02_SETARI'!$B$8))</f>
        <v/>
      </c>
      <c r="E117" s="69">
        <f>IF($A117="","",IFERROR(IF($D117=0,"",($C117-$D117)/ABS($D117)),""))</f>
        <v/>
      </c>
      <c r="F117" s="68">
        <f>IF($A117="","",SUMIFS('10_VANZARI'!$G$5:$G$604,'10_VANZARI'!$B$5:$B$604,$A117,'10_VANZARI'!$A$5:$A$604,"&gt;="&amp;'02_SETARI'!$B$5,'10_VANZARI'!$A$5:$A$604,"&lt;="&amp;'02_SETARI'!$B$6))</f>
        <v/>
      </c>
      <c r="G117" s="69">
        <f>IF($A117="","",IFERROR($F117/$C117,""))</f>
        <v/>
      </c>
      <c r="H117" s="69">
        <f>IF($A117="","",IFERROR($C117/SUMIFS('10_VANZARI'!$E$5:$E$604,'10_VANZARI'!$A$5:$A$604,"&gt;="&amp;'02_SETARI'!$B$5,'10_VANZARI'!$A$5:$A$604,"&lt;="&amp;'02_SETARI'!$B$6),""))</f>
        <v/>
      </c>
      <c r="I117" s="70">
        <f>IF($A117="","",IFERROR(IF(SUMPRODUCT(MAX(('10_VANZARI'!$B$5:$B$604=$A117)*('10_VANZARI'!$E$5:$E$604&lt;&gt;"")*'10_VANZARI'!$A$5:$A$604))=0,"",SUMPRODUCT(MAX(('10_VANZARI'!$B$5:$B$604=$A117)*('10_VANZARI'!$E$5:$E$604&lt;&gt;"")*'10_VANZARI'!$A$5:$A$604))),""))</f>
        <v/>
      </c>
      <c r="J117" s="68">
        <f>IF(OR($A117="",$I117=""),"",'02_SETARI'!$B$19-$I117)</f>
        <v/>
      </c>
      <c r="K117" s="68">
        <f>IF($A117="","",IFERROR(IF(INDEX('11_CLIENTI'!$D$5:$D$124,MATCH($A117,'11_CLIENTI'!$A$5:$A$124,0))="","",INDEX('11_CLIENTI'!$D$5:$D$124,MATCH($A117,'11_CLIENTI'!$A$5:$A$124,0))),""))</f>
        <v/>
      </c>
      <c r="L117" s="67">
        <f>IF($A117="","",IF(AND($K117&lt;&gt;"",$K117&lt;='02_SETARI'!$B$18),"Nemulțumit",IF(AND($D117&gt;0,$C117=0),"Nu mai cumpără",IF(AND($J117&lt;&gt;"",$J117&gt;'02_SETARI'!$B$17,$D117&gt;0),"Adormit",IF(AND($E117&lt;&gt;"",$E117&lt;='02_SETARI'!$B$15),"A scăzut",IF(AND($C117&gt;0,$G117&lt;&gt;"",$G117&lt;'02_SETARI'!$B$16),"Marjă mică",IF(AND($E117&lt;&gt;"",$E117&gt;=0.2),"În creștere",IF($C117=0,"Fără activitate","Merge bine"))))))))</f>
        <v/>
      </c>
      <c r="M117" s="67">
        <f>IF($A117="","",IF($L117="Nu mai cumpără","Sună-l săptămâna asta și întreabă direct ce s-a schimbat. Nu trimite email.",IF($L117="Adormit","Sună-l cu un motiv concret: o ofertă, o noutate, o reamintire de sezon.",IF($L117="A scăzut","Întreabă-l dacă a împărțit comenzile cu altcineva. De obicei asta s-a întâmplat.",IF($L117="Nemulțumit","Citește ce a spus în 11_CLIENTI. Rezolvă exact acel lucru, apoi sună-l să-i confirmi. Știi deja cauza — nu mai e nevoie să o cauți.",IF($L117="Marjă mică","Verifică ce discount are și cât te costă să-l servești. Poate merită renegociat.",IF($L117="În creștere","Întreabă-l ce altceva i-ar mai trebui. Acum e momentul, nu peste șase luni.",IF($L117="Fără activitate","Client în listă, dar fără vânzări în perioadă. Verifică dacă mai e client.","Nimic urgent. Ține-l cald."))))))))</f>
        <v/>
      </c>
      <c r="N117" s="68">
        <f>IF($A117="","",IFERROR(IF($L117="Nu mai cumpără",$D117,IF($L117="Adormit",$D117,IF($L117="A scăzut",MAX(0,$D117-$C117),IF($L117="Marjă mică",MAX(0,$C117*('02_SETARI'!$B$16-$G117)),$C117*0.15)))),""))</f>
        <v/>
      </c>
      <c r="O117">
        <f>IF(OR($A117="",$C117="",N($C117)&lt;=0),"",$C117+ROW()/1000000)</f>
        <v/>
      </c>
    </row>
    <row r="118">
      <c r="A118" s="67">
        <f>IF('11_CLIENTI'!$A118="","",'11_CLIENTI'!$A118)</f>
        <v/>
      </c>
      <c r="B118" s="67">
        <f>IF($A118="","",IFERROR(INDEX('11_CLIENTI'!$B$5:$B$124,MATCH($A118,'11_CLIENTI'!$A$5:$A$124,0)),""))</f>
        <v/>
      </c>
      <c r="C118" s="68">
        <f>IF($A118="","",SUMIFS('10_VANZARI'!$E$5:$E$604,'10_VANZARI'!$B$5:$B$604,$A118,'10_VANZARI'!$A$5:$A$604,"&gt;="&amp;'02_SETARI'!$B$5,'10_VANZARI'!$A$5:$A$604,"&lt;="&amp;'02_SETARI'!$B$6))</f>
        <v/>
      </c>
      <c r="D118" s="68">
        <f>IF($A118="","",SUMIFS('10_VANZARI'!$E$5:$E$604,'10_VANZARI'!$B$5:$B$604,$A118,'10_VANZARI'!$A$5:$A$604,"&gt;="&amp;'02_SETARI'!$B$7,'10_VANZARI'!$A$5:$A$604,"&lt;="&amp;'02_SETARI'!$B$8))</f>
        <v/>
      </c>
      <c r="E118" s="69">
        <f>IF($A118="","",IFERROR(IF($D118=0,"",($C118-$D118)/ABS($D118)),""))</f>
        <v/>
      </c>
      <c r="F118" s="68">
        <f>IF($A118="","",SUMIFS('10_VANZARI'!$G$5:$G$604,'10_VANZARI'!$B$5:$B$604,$A118,'10_VANZARI'!$A$5:$A$604,"&gt;="&amp;'02_SETARI'!$B$5,'10_VANZARI'!$A$5:$A$604,"&lt;="&amp;'02_SETARI'!$B$6))</f>
        <v/>
      </c>
      <c r="G118" s="69">
        <f>IF($A118="","",IFERROR($F118/$C118,""))</f>
        <v/>
      </c>
      <c r="H118" s="69">
        <f>IF($A118="","",IFERROR($C118/SUMIFS('10_VANZARI'!$E$5:$E$604,'10_VANZARI'!$A$5:$A$604,"&gt;="&amp;'02_SETARI'!$B$5,'10_VANZARI'!$A$5:$A$604,"&lt;="&amp;'02_SETARI'!$B$6),""))</f>
        <v/>
      </c>
      <c r="I118" s="70">
        <f>IF($A118="","",IFERROR(IF(SUMPRODUCT(MAX(('10_VANZARI'!$B$5:$B$604=$A118)*('10_VANZARI'!$E$5:$E$604&lt;&gt;"")*'10_VANZARI'!$A$5:$A$604))=0,"",SUMPRODUCT(MAX(('10_VANZARI'!$B$5:$B$604=$A118)*('10_VANZARI'!$E$5:$E$604&lt;&gt;"")*'10_VANZARI'!$A$5:$A$604))),""))</f>
        <v/>
      </c>
      <c r="J118" s="68">
        <f>IF(OR($A118="",$I118=""),"",'02_SETARI'!$B$19-$I118)</f>
        <v/>
      </c>
      <c r="K118" s="68">
        <f>IF($A118="","",IFERROR(IF(INDEX('11_CLIENTI'!$D$5:$D$124,MATCH($A118,'11_CLIENTI'!$A$5:$A$124,0))="","",INDEX('11_CLIENTI'!$D$5:$D$124,MATCH($A118,'11_CLIENTI'!$A$5:$A$124,0))),""))</f>
        <v/>
      </c>
      <c r="L118" s="67">
        <f>IF($A118="","",IF(AND($K118&lt;&gt;"",$K118&lt;='02_SETARI'!$B$18),"Nemulțumit",IF(AND($D118&gt;0,$C118=0),"Nu mai cumpără",IF(AND($J118&lt;&gt;"",$J118&gt;'02_SETARI'!$B$17,$D118&gt;0),"Adormit",IF(AND($E118&lt;&gt;"",$E118&lt;='02_SETARI'!$B$15),"A scăzut",IF(AND($C118&gt;0,$G118&lt;&gt;"",$G118&lt;'02_SETARI'!$B$16),"Marjă mică",IF(AND($E118&lt;&gt;"",$E118&gt;=0.2),"În creștere",IF($C118=0,"Fără activitate","Merge bine"))))))))</f>
        <v/>
      </c>
      <c r="M118" s="67">
        <f>IF($A118="","",IF($L118="Nu mai cumpără","Sună-l săptămâna asta și întreabă direct ce s-a schimbat. Nu trimite email.",IF($L118="Adormit","Sună-l cu un motiv concret: o ofertă, o noutate, o reamintire de sezon.",IF($L118="A scăzut","Întreabă-l dacă a împărțit comenzile cu altcineva. De obicei asta s-a întâmplat.",IF($L118="Nemulțumit","Citește ce a spus în 11_CLIENTI. Rezolvă exact acel lucru, apoi sună-l să-i confirmi. Știi deja cauza — nu mai e nevoie să o cauți.",IF($L118="Marjă mică","Verifică ce discount are și cât te costă să-l servești. Poate merită renegociat.",IF($L118="În creștere","Întreabă-l ce altceva i-ar mai trebui. Acum e momentul, nu peste șase luni.",IF($L118="Fără activitate","Client în listă, dar fără vânzări în perioadă. Verifică dacă mai e client.","Nimic urgent. Ține-l cald."))))))))</f>
        <v/>
      </c>
      <c r="N118" s="68">
        <f>IF($A118="","",IFERROR(IF($L118="Nu mai cumpără",$D118,IF($L118="Adormit",$D118,IF($L118="A scăzut",MAX(0,$D118-$C118),IF($L118="Marjă mică",MAX(0,$C118*('02_SETARI'!$B$16-$G118)),$C118*0.15)))),""))</f>
        <v/>
      </c>
      <c r="O118">
        <f>IF(OR($A118="",$C118="",N($C118)&lt;=0),"",$C118+ROW()/1000000)</f>
        <v/>
      </c>
    </row>
    <row r="119">
      <c r="A119" s="67">
        <f>IF('11_CLIENTI'!$A119="","",'11_CLIENTI'!$A119)</f>
        <v/>
      </c>
      <c r="B119" s="67">
        <f>IF($A119="","",IFERROR(INDEX('11_CLIENTI'!$B$5:$B$124,MATCH($A119,'11_CLIENTI'!$A$5:$A$124,0)),""))</f>
        <v/>
      </c>
      <c r="C119" s="68">
        <f>IF($A119="","",SUMIFS('10_VANZARI'!$E$5:$E$604,'10_VANZARI'!$B$5:$B$604,$A119,'10_VANZARI'!$A$5:$A$604,"&gt;="&amp;'02_SETARI'!$B$5,'10_VANZARI'!$A$5:$A$604,"&lt;="&amp;'02_SETARI'!$B$6))</f>
        <v/>
      </c>
      <c r="D119" s="68">
        <f>IF($A119="","",SUMIFS('10_VANZARI'!$E$5:$E$604,'10_VANZARI'!$B$5:$B$604,$A119,'10_VANZARI'!$A$5:$A$604,"&gt;="&amp;'02_SETARI'!$B$7,'10_VANZARI'!$A$5:$A$604,"&lt;="&amp;'02_SETARI'!$B$8))</f>
        <v/>
      </c>
      <c r="E119" s="69">
        <f>IF($A119="","",IFERROR(IF($D119=0,"",($C119-$D119)/ABS($D119)),""))</f>
        <v/>
      </c>
      <c r="F119" s="68">
        <f>IF($A119="","",SUMIFS('10_VANZARI'!$G$5:$G$604,'10_VANZARI'!$B$5:$B$604,$A119,'10_VANZARI'!$A$5:$A$604,"&gt;="&amp;'02_SETARI'!$B$5,'10_VANZARI'!$A$5:$A$604,"&lt;="&amp;'02_SETARI'!$B$6))</f>
        <v/>
      </c>
      <c r="G119" s="69">
        <f>IF($A119="","",IFERROR($F119/$C119,""))</f>
        <v/>
      </c>
      <c r="H119" s="69">
        <f>IF($A119="","",IFERROR($C119/SUMIFS('10_VANZARI'!$E$5:$E$604,'10_VANZARI'!$A$5:$A$604,"&gt;="&amp;'02_SETARI'!$B$5,'10_VANZARI'!$A$5:$A$604,"&lt;="&amp;'02_SETARI'!$B$6),""))</f>
        <v/>
      </c>
      <c r="I119" s="70">
        <f>IF($A119="","",IFERROR(IF(SUMPRODUCT(MAX(('10_VANZARI'!$B$5:$B$604=$A119)*('10_VANZARI'!$E$5:$E$604&lt;&gt;"")*'10_VANZARI'!$A$5:$A$604))=0,"",SUMPRODUCT(MAX(('10_VANZARI'!$B$5:$B$604=$A119)*('10_VANZARI'!$E$5:$E$604&lt;&gt;"")*'10_VANZARI'!$A$5:$A$604))),""))</f>
        <v/>
      </c>
      <c r="J119" s="68">
        <f>IF(OR($A119="",$I119=""),"",'02_SETARI'!$B$19-$I119)</f>
        <v/>
      </c>
      <c r="K119" s="68">
        <f>IF($A119="","",IFERROR(IF(INDEX('11_CLIENTI'!$D$5:$D$124,MATCH($A119,'11_CLIENTI'!$A$5:$A$124,0))="","",INDEX('11_CLIENTI'!$D$5:$D$124,MATCH($A119,'11_CLIENTI'!$A$5:$A$124,0))),""))</f>
        <v/>
      </c>
      <c r="L119" s="67">
        <f>IF($A119="","",IF(AND($K119&lt;&gt;"",$K119&lt;='02_SETARI'!$B$18),"Nemulțumit",IF(AND($D119&gt;0,$C119=0),"Nu mai cumpără",IF(AND($J119&lt;&gt;"",$J119&gt;'02_SETARI'!$B$17,$D119&gt;0),"Adormit",IF(AND($E119&lt;&gt;"",$E119&lt;='02_SETARI'!$B$15),"A scăzut",IF(AND($C119&gt;0,$G119&lt;&gt;"",$G119&lt;'02_SETARI'!$B$16),"Marjă mică",IF(AND($E119&lt;&gt;"",$E119&gt;=0.2),"În creștere",IF($C119=0,"Fără activitate","Merge bine"))))))))</f>
        <v/>
      </c>
      <c r="M119" s="67">
        <f>IF($A119="","",IF($L119="Nu mai cumpără","Sună-l săptămâna asta și întreabă direct ce s-a schimbat. Nu trimite email.",IF($L119="Adormit","Sună-l cu un motiv concret: o ofertă, o noutate, o reamintire de sezon.",IF($L119="A scăzut","Întreabă-l dacă a împărțit comenzile cu altcineva. De obicei asta s-a întâmplat.",IF($L119="Nemulțumit","Citește ce a spus în 11_CLIENTI. Rezolvă exact acel lucru, apoi sună-l să-i confirmi. Știi deja cauza — nu mai e nevoie să o cauți.",IF($L119="Marjă mică","Verifică ce discount are și cât te costă să-l servești. Poate merită renegociat.",IF($L119="În creștere","Întreabă-l ce altceva i-ar mai trebui. Acum e momentul, nu peste șase luni.",IF($L119="Fără activitate","Client în listă, dar fără vânzări în perioadă. Verifică dacă mai e client.","Nimic urgent. Ține-l cald."))))))))</f>
        <v/>
      </c>
      <c r="N119" s="68">
        <f>IF($A119="","",IFERROR(IF($L119="Nu mai cumpără",$D119,IF($L119="Adormit",$D119,IF($L119="A scăzut",MAX(0,$D119-$C119),IF($L119="Marjă mică",MAX(0,$C119*('02_SETARI'!$B$16-$G119)),$C119*0.15)))),""))</f>
        <v/>
      </c>
      <c r="O119">
        <f>IF(OR($A119="",$C119="",N($C119)&lt;=0),"",$C119+ROW()/1000000)</f>
        <v/>
      </c>
    </row>
    <row r="120">
      <c r="A120" s="67">
        <f>IF('11_CLIENTI'!$A120="","",'11_CLIENTI'!$A120)</f>
        <v/>
      </c>
      <c r="B120" s="67">
        <f>IF($A120="","",IFERROR(INDEX('11_CLIENTI'!$B$5:$B$124,MATCH($A120,'11_CLIENTI'!$A$5:$A$124,0)),""))</f>
        <v/>
      </c>
      <c r="C120" s="68">
        <f>IF($A120="","",SUMIFS('10_VANZARI'!$E$5:$E$604,'10_VANZARI'!$B$5:$B$604,$A120,'10_VANZARI'!$A$5:$A$604,"&gt;="&amp;'02_SETARI'!$B$5,'10_VANZARI'!$A$5:$A$604,"&lt;="&amp;'02_SETARI'!$B$6))</f>
        <v/>
      </c>
      <c r="D120" s="68">
        <f>IF($A120="","",SUMIFS('10_VANZARI'!$E$5:$E$604,'10_VANZARI'!$B$5:$B$604,$A120,'10_VANZARI'!$A$5:$A$604,"&gt;="&amp;'02_SETARI'!$B$7,'10_VANZARI'!$A$5:$A$604,"&lt;="&amp;'02_SETARI'!$B$8))</f>
        <v/>
      </c>
      <c r="E120" s="69">
        <f>IF($A120="","",IFERROR(IF($D120=0,"",($C120-$D120)/ABS($D120)),""))</f>
        <v/>
      </c>
      <c r="F120" s="68">
        <f>IF($A120="","",SUMIFS('10_VANZARI'!$G$5:$G$604,'10_VANZARI'!$B$5:$B$604,$A120,'10_VANZARI'!$A$5:$A$604,"&gt;="&amp;'02_SETARI'!$B$5,'10_VANZARI'!$A$5:$A$604,"&lt;="&amp;'02_SETARI'!$B$6))</f>
        <v/>
      </c>
      <c r="G120" s="69">
        <f>IF($A120="","",IFERROR($F120/$C120,""))</f>
        <v/>
      </c>
      <c r="H120" s="69">
        <f>IF($A120="","",IFERROR($C120/SUMIFS('10_VANZARI'!$E$5:$E$604,'10_VANZARI'!$A$5:$A$604,"&gt;="&amp;'02_SETARI'!$B$5,'10_VANZARI'!$A$5:$A$604,"&lt;="&amp;'02_SETARI'!$B$6),""))</f>
        <v/>
      </c>
      <c r="I120" s="70">
        <f>IF($A120="","",IFERROR(IF(SUMPRODUCT(MAX(('10_VANZARI'!$B$5:$B$604=$A120)*('10_VANZARI'!$E$5:$E$604&lt;&gt;"")*'10_VANZARI'!$A$5:$A$604))=0,"",SUMPRODUCT(MAX(('10_VANZARI'!$B$5:$B$604=$A120)*('10_VANZARI'!$E$5:$E$604&lt;&gt;"")*'10_VANZARI'!$A$5:$A$604))),""))</f>
        <v/>
      </c>
      <c r="J120" s="68">
        <f>IF(OR($A120="",$I120=""),"",'02_SETARI'!$B$19-$I120)</f>
        <v/>
      </c>
      <c r="K120" s="68">
        <f>IF($A120="","",IFERROR(IF(INDEX('11_CLIENTI'!$D$5:$D$124,MATCH($A120,'11_CLIENTI'!$A$5:$A$124,0))="","",INDEX('11_CLIENTI'!$D$5:$D$124,MATCH($A120,'11_CLIENTI'!$A$5:$A$124,0))),""))</f>
        <v/>
      </c>
      <c r="L120" s="67">
        <f>IF($A120="","",IF(AND($K120&lt;&gt;"",$K120&lt;='02_SETARI'!$B$18),"Nemulțumit",IF(AND($D120&gt;0,$C120=0),"Nu mai cumpără",IF(AND($J120&lt;&gt;"",$J120&gt;'02_SETARI'!$B$17,$D120&gt;0),"Adormit",IF(AND($E120&lt;&gt;"",$E120&lt;='02_SETARI'!$B$15),"A scăzut",IF(AND($C120&gt;0,$G120&lt;&gt;"",$G120&lt;'02_SETARI'!$B$16),"Marjă mică",IF(AND($E120&lt;&gt;"",$E120&gt;=0.2),"În creștere",IF($C120=0,"Fără activitate","Merge bine"))))))))</f>
        <v/>
      </c>
      <c r="M120" s="67">
        <f>IF($A120="","",IF($L120="Nu mai cumpără","Sună-l săptămâna asta și întreabă direct ce s-a schimbat. Nu trimite email.",IF($L120="Adormit","Sună-l cu un motiv concret: o ofertă, o noutate, o reamintire de sezon.",IF($L120="A scăzut","Întreabă-l dacă a împărțit comenzile cu altcineva. De obicei asta s-a întâmplat.",IF($L120="Nemulțumit","Citește ce a spus în 11_CLIENTI. Rezolvă exact acel lucru, apoi sună-l să-i confirmi. Știi deja cauza — nu mai e nevoie să o cauți.",IF($L120="Marjă mică","Verifică ce discount are și cât te costă să-l servești. Poate merită renegociat.",IF($L120="În creștere","Întreabă-l ce altceva i-ar mai trebui. Acum e momentul, nu peste șase luni.",IF($L120="Fără activitate","Client în listă, dar fără vânzări în perioadă. Verifică dacă mai e client.","Nimic urgent. Ține-l cald."))))))))</f>
        <v/>
      </c>
      <c r="N120" s="68">
        <f>IF($A120="","",IFERROR(IF($L120="Nu mai cumpără",$D120,IF($L120="Adormit",$D120,IF($L120="A scăzut",MAX(0,$D120-$C120),IF($L120="Marjă mică",MAX(0,$C120*('02_SETARI'!$B$16-$G120)),$C120*0.15)))),""))</f>
        <v/>
      </c>
      <c r="O120">
        <f>IF(OR($A120="",$C120="",N($C120)&lt;=0),"",$C120+ROW()/1000000)</f>
        <v/>
      </c>
    </row>
    <row r="121">
      <c r="A121" s="67">
        <f>IF('11_CLIENTI'!$A121="","",'11_CLIENTI'!$A121)</f>
        <v/>
      </c>
      <c r="B121" s="67">
        <f>IF($A121="","",IFERROR(INDEX('11_CLIENTI'!$B$5:$B$124,MATCH($A121,'11_CLIENTI'!$A$5:$A$124,0)),""))</f>
        <v/>
      </c>
      <c r="C121" s="68">
        <f>IF($A121="","",SUMIFS('10_VANZARI'!$E$5:$E$604,'10_VANZARI'!$B$5:$B$604,$A121,'10_VANZARI'!$A$5:$A$604,"&gt;="&amp;'02_SETARI'!$B$5,'10_VANZARI'!$A$5:$A$604,"&lt;="&amp;'02_SETARI'!$B$6))</f>
        <v/>
      </c>
      <c r="D121" s="68">
        <f>IF($A121="","",SUMIFS('10_VANZARI'!$E$5:$E$604,'10_VANZARI'!$B$5:$B$604,$A121,'10_VANZARI'!$A$5:$A$604,"&gt;="&amp;'02_SETARI'!$B$7,'10_VANZARI'!$A$5:$A$604,"&lt;="&amp;'02_SETARI'!$B$8))</f>
        <v/>
      </c>
      <c r="E121" s="69">
        <f>IF($A121="","",IFERROR(IF($D121=0,"",($C121-$D121)/ABS($D121)),""))</f>
        <v/>
      </c>
      <c r="F121" s="68">
        <f>IF($A121="","",SUMIFS('10_VANZARI'!$G$5:$G$604,'10_VANZARI'!$B$5:$B$604,$A121,'10_VANZARI'!$A$5:$A$604,"&gt;="&amp;'02_SETARI'!$B$5,'10_VANZARI'!$A$5:$A$604,"&lt;="&amp;'02_SETARI'!$B$6))</f>
        <v/>
      </c>
      <c r="G121" s="69">
        <f>IF($A121="","",IFERROR($F121/$C121,""))</f>
        <v/>
      </c>
      <c r="H121" s="69">
        <f>IF($A121="","",IFERROR($C121/SUMIFS('10_VANZARI'!$E$5:$E$604,'10_VANZARI'!$A$5:$A$604,"&gt;="&amp;'02_SETARI'!$B$5,'10_VANZARI'!$A$5:$A$604,"&lt;="&amp;'02_SETARI'!$B$6),""))</f>
        <v/>
      </c>
      <c r="I121" s="70">
        <f>IF($A121="","",IFERROR(IF(SUMPRODUCT(MAX(('10_VANZARI'!$B$5:$B$604=$A121)*('10_VANZARI'!$E$5:$E$604&lt;&gt;"")*'10_VANZARI'!$A$5:$A$604))=0,"",SUMPRODUCT(MAX(('10_VANZARI'!$B$5:$B$604=$A121)*('10_VANZARI'!$E$5:$E$604&lt;&gt;"")*'10_VANZARI'!$A$5:$A$604))),""))</f>
        <v/>
      </c>
      <c r="J121" s="68">
        <f>IF(OR($A121="",$I121=""),"",'02_SETARI'!$B$19-$I121)</f>
        <v/>
      </c>
      <c r="K121" s="68">
        <f>IF($A121="","",IFERROR(IF(INDEX('11_CLIENTI'!$D$5:$D$124,MATCH($A121,'11_CLIENTI'!$A$5:$A$124,0))="","",INDEX('11_CLIENTI'!$D$5:$D$124,MATCH($A121,'11_CLIENTI'!$A$5:$A$124,0))),""))</f>
        <v/>
      </c>
      <c r="L121" s="67">
        <f>IF($A121="","",IF(AND($K121&lt;&gt;"",$K121&lt;='02_SETARI'!$B$18),"Nemulțumit",IF(AND($D121&gt;0,$C121=0),"Nu mai cumpără",IF(AND($J121&lt;&gt;"",$J121&gt;'02_SETARI'!$B$17,$D121&gt;0),"Adormit",IF(AND($E121&lt;&gt;"",$E121&lt;='02_SETARI'!$B$15),"A scăzut",IF(AND($C121&gt;0,$G121&lt;&gt;"",$G121&lt;'02_SETARI'!$B$16),"Marjă mică",IF(AND($E121&lt;&gt;"",$E121&gt;=0.2),"În creștere",IF($C121=0,"Fără activitate","Merge bine"))))))))</f>
        <v/>
      </c>
      <c r="M121" s="67">
        <f>IF($A121="","",IF($L121="Nu mai cumpără","Sună-l săptămâna asta și întreabă direct ce s-a schimbat. Nu trimite email.",IF($L121="Adormit","Sună-l cu un motiv concret: o ofertă, o noutate, o reamintire de sezon.",IF($L121="A scăzut","Întreabă-l dacă a împărțit comenzile cu altcineva. De obicei asta s-a întâmplat.",IF($L121="Nemulțumit","Citește ce a spus în 11_CLIENTI. Rezolvă exact acel lucru, apoi sună-l să-i confirmi. Știi deja cauza — nu mai e nevoie să o cauți.",IF($L121="Marjă mică","Verifică ce discount are și cât te costă să-l servești. Poate merită renegociat.",IF($L121="În creștere","Întreabă-l ce altceva i-ar mai trebui. Acum e momentul, nu peste șase luni.",IF($L121="Fără activitate","Client în listă, dar fără vânzări în perioadă. Verifică dacă mai e client.","Nimic urgent. Ține-l cald."))))))))</f>
        <v/>
      </c>
      <c r="N121" s="68">
        <f>IF($A121="","",IFERROR(IF($L121="Nu mai cumpără",$D121,IF($L121="Adormit",$D121,IF($L121="A scăzut",MAX(0,$D121-$C121),IF($L121="Marjă mică",MAX(0,$C121*('02_SETARI'!$B$16-$G121)),$C121*0.15)))),""))</f>
        <v/>
      </c>
      <c r="O121">
        <f>IF(OR($A121="",$C121="",N($C121)&lt;=0),"",$C121+ROW()/1000000)</f>
        <v/>
      </c>
    </row>
    <row r="122">
      <c r="A122" s="67">
        <f>IF('11_CLIENTI'!$A122="","",'11_CLIENTI'!$A122)</f>
        <v/>
      </c>
      <c r="B122" s="67">
        <f>IF($A122="","",IFERROR(INDEX('11_CLIENTI'!$B$5:$B$124,MATCH($A122,'11_CLIENTI'!$A$5:$A$124,0)),""))</f>
        <v/>
      </c>
      <c r="C122" s="68">
        <f>IF($A122="","",SUMIFS('10_VANZARI'!$E$5:$E$604,'10_VANZARI'!$B$5:$B$604,$A122,'10_VANZARI'!$A$5:$A$604,"&gt;="&amp;'02_SETARI'!$B$5,'10_VANZARI'!$A$5:$A$604,"&lt;="&amp;'02_SETARI'!$B$6))</f>
        <v/>
      </c>
      <c r="D122" s="68">
        <f>IF($A122="","",SUMIFS('10_VANZARI'!$E$5:$E$604,'10_VANZARI'!$B$5:$B$604,$A122,'10_VANZARI'!$A$5:$A$604,"&gt;="&amp;'02_SETARI'!$B$7,'10_VANZARI'!$A$5:$A$604,"&lt;="&amp;'02_SETARI'!$B$8))</f>
        <v/>
      </c>
      <c r="E122" s="69">
        <f>IF($A122="","",IFERROR(IF($D122=0,"",($C122-$D122)/ABS($D122)),""))</f>
        <v/>
      </c>
      <c r="F122" s="68">
        <f>IF($A122="","",SUMIFS('10_VANZARI'!$G$5:$G$604,'10_VANZARI'!$B$5:$B$604,$A122,'10_VANZARI'!$A$5:$A$604,"&gt;="&amp;'02_SETARI'!$B$5,'10_VANZARI'!$A$5:$A$604,"&lt;="&amp;'02_SETARI'!$B$6))</f>
        <v/>
      </c>
      <c r="G122" s="69">
        <f>IF($A122="","",IFERROR($F122/$C122,""))</f>
        <v/>
      </c>
      <c r="H122" s="69">
        <f>IF($A122="","",IFERROR($C122/SUMIFS('10_VANZARI'!$E$5:$E$604,'10_VANZARI'!$A$5:$A$604,"&gt;="&amp;'02_SETARI'!$B$5,'10_VANZARI'!$A$5:$A$604,"&lt;="&amp;'02_SETARI'!$B$6),""))</f>
        <v/>
      </c>
      <c r="I122" s="70">
        <f>IF($A122="","",IFERROR(IF(SUMPRODUCT(MAX(('10_VANZARI'!$B$5:$B$604=$A122)*('10_VANZARI'!$E$5:$E$604&lt;&gt;"")*'10_VANZARI'!$A$5:$A$604))=0,"",SUMPRODUCT(MAX(('10_VANZARI'!$B$5:$B$604=$A122)*('10_VANZARI'!$E$5:$E$604&lt;&gt;"")*'10_VANZARI'!$A$5:$A$604))),""))</f>
        <v/>
      </c>
      <c r="J122" s="68">
        <f>IF(OR($A122="",$I122=""),"",'02_SETARI'!$B$19-$I122)</f>
        <v/>
      </c>
      <c r="K122" s="68">
        <f>IF($A122="","",IFERROR(IF(INDEX('11_CLIENTI'!$D$5:$D$124,MATCH($A122,'11_CLIENTI'!$A$5:$A$124,0))="","",INDEX('11_CLIENTI'!$D$5:$D$124,MATCH($A122,'11_CLIENTI'!$A$5:$A$124,0))),""))</f>
        <v/>
      </c>
      <c r="L122" s="67">
        <f>IF($A122="","",IF(AND($K122&lt;&gt;"",$K122&lt;='02_SETARI'!$B$18),"Nemulțumit",IF(AND($D122&gt;0,$C122=0),"Nu mai cumpără",IF(AND($J122&lt;&gt;"",$J122&gt;'02_SETARI'!$B$17,$D122&gt;0),"Adormit",IF(AND($E122&lt;&gt;"",$E122&lt;='02_SETARI'!$B$15),"A scăzut",IF(AND($C122&gt;0,$G122&lt;&gt;"",$G122&lt;'02_SETARI'!$B$16),"Marjă mică",IF(AND($E122&lt;&gt;"",$E122&gt;=0.2),"În creștere",IF($C122=0,"Fără activitate","Merge bine"))))))))</f>
        <v/>
      </c>
      <c r="M122" s="67">
        <f>IF($A122="","",IF($L122="Nu mai cumpără","Sună-l săptămâna asta și întreabă direct ce s-a schimbat. Nu trimite email.",IF($L122="Adormit","Sună-l cu un motiv concret: o ofertă, o noutate, o reamintire de sezon.",IF($L122="A scăzut","Întreabă-l dacă a împărțit comenzile cu altcineva. De obicei asta s-a întâmplat.",IF($L122="Nemulțumit","Citește ce a spus în 11_CLIENTI. Rezolvă exact acel lucru, apoi sună-l să-i confirmi. Știi deja cauza — nu mai e nevoie să o cauți.",IF($L122="Marjă mică","Verifică ce discount are și cât te costă să-l servești. Poate merită renegociat.",IF($L122="În creștere","Întreabă-l ce altceva i-ar mai trebui. Acum e momentul, nu peste șase luni.",IF($L122="Fără activitate","Client în listă, dar fără vânzări în perioadă. Verifică dacă mai e client.","Nimic urgent. Ține-l cald."))))))))</f>
        <v/>
      </c>
      <c r="N122" s="68">
        <f>IF($A122="","",IFERROR(IF($L122="Nu mai cumpără",$D122,IF($L122="Adormit",$D122,IF($L122="A scăzut",MAX(0,$D122-$C122),IF($L122="Marjă mică",MAX(0,$C122*('02_SETARI'!$B$16-$G122)),$C122*0.15)))),""))</f>
        <v/>
      </c>
      <c r="O122">
        <f>IF(OR($A122="",$C122="",N($C122)&lt;=0),"",$C122+ROW()/1000000)</f>
        <v/>
      </c>
    </row>
    <row r="123">
      <c r="A123" s="67">
        <f>IF('11_CLIENTI'!$A123="","",'11_CLIENTI'!$A123)</f>
        <v/>
      </c>
      <c r="B123" s="67">
        <f>IF($A123="","",IFERROR(INDEX('11_CLIENTI'!$B$5:$B$124,MATCH($A123,'11_CLIENTI'!$A$5:$A$124,0)),""))</f>
        <v/>
      </c>
      <c r="C123" s="68">
        <f>IF($A123="","",SUMIFS('10_VANZARI'!$E$5:$E$604,'10_VANZARI'!$B$5:$B$604,$A123,'10_VANZARI'!$A$5:$A$604,"&gt;="&amp;'02_SETARI'!$B$5,'10_VANZARI'!$A$5:$A$604,"&lt;="&amp;'02_SETARI'!$B$6))</f>
        <v/>
      </c>
      <c r="D123" s="68">
        <f>IF($A123="","",SUMIFS('10_VANZARI'!$E$5:$E$604,'10_VANZARI'!$B$5:$B$604,$A123,'10_VANZARI'!$A$5:$A$604,"&gt;="&amp;'02_SETARI'!$B$7,'10_VANZARI'!$A$5:$A$604,"&lt;="&amp;'02_SETARI'!$B$8))</f>
        <v/>
      </c>
      <c r="E123" s="69">
        <f>IF($A123="","",IFERROR(IF($D123=0,"",($C123-$D123)/ABS($D123)),""))</f>
        <v/>
      </c>
      <c r="F123" s="68">
        <f>IF($A123="","",SUMIFS('10_VANZARI'!$G$5:$G$604,'10_VANZARI'!$B$5:$B$604,$A123,'10_VANZARI'!$A$5:$A$604,"&gt;="&amp;'02_SETARI'!$B$5,'10_VANZARI'!$A$5:$A$604,"&lt;="&amp;'02_SETARI'!$B$6))</f>
        <v/>
      </c>
      <c r="G123" s="69">
        <f>IF($A123="","",IFERROR($F123/$C123,""))</f>
        <v/>
      </c>
      <c r="H123" s="69">
        <f>IF($A123="","",IFERROR($C123/SUMIFS('10_VANZARI'!$E$5:$E$604,'10_VANZARI'!$A$5:$A$604,"&gt;="&amp;'02_SETARI'!$B$5,'10_VANZARI'!$A$5:$A$604,"&lt;="&amp;'02_SETARI'!$B$6),""))</f>
        <v/>
      </c>
      <c r="I123" s="70">
        <f>IF($A123="","",IFERROR(IF(SUMPRODUCT(MAX(('10_VANZARI'!$B$5:$B$604=$A123)*('10_VANZARI'!$E$5:$E$604&lt;&gt;"")*'10_VANZARI'!$A$5:$A$604))=0,"",SUMPRODUCT(MAX(('10_VANZARI'!$B$5:$B$604=$A123)*('10_VANZARI'!$E$5:$E$604&lt;&gt;"")*'10_VANZARI'!$A$5:$A$604))),""))</f>
        <v/>
      </c>
      <c r="J123" s="68">
        <f>IF(OR($A123="",$I123=""),"",'02_SETARI'!$B$19-$I123)</f>
        <v/>
      </c>
      <c r="K123" s="68">
        <f>IF($A123="","",IFERROR(IF(INDEX('11_CLIENTI'!$D$5:$D$124,MATCH($A123,'11_CLIENTI'!$A$5:$A$124,0))="","",INDEX('11_CLIENTI'!$D$5:$D$124,MATCH($A123,'11_CLIENTI'!$A$5:$A$124,0))),""))</f>
        <v/>
      </c>
      <c r="L123" s="67">
        <f>IF($A123="","",IF(AND($K123&lt;&gt;"",$K123&lt;='02_SETARI'!$B$18),"Nemulțumit",IF(AND($D123&gt;0,$C123=0),"Nu mai cumpără",IF(AND($J123&lt;&gt;"",$J123&gt;'02_SETARI'!$B$17,$D123&gt;0),"Adormit",IF(AND($E123&lt;&gt;"",$E123&lt;='02_SETARI'!$B$15),"A scăzut",IF(AND($C123&gt;0,$G123&lt;&gt;"",$G123&lt;'02_SETARI'!$B$16),"Marjă mică",IF(AND($E123&lt;&gt;"",$E123&gt;=0.2),"În creștere",IF($C123=0,"Fără activitate","Merge bine"))))))))</f>
        <v/>
      </c>
      <c r="M123" s="67">
        <f>IF($A123="","",IF($L123="Nu mai cumpără","Sună-l săptămâna asta și întreabă direct ce s-a schimbat. Nu trimite email.",IF($L123="Adormit","Sună-l cu un motiv concret: o ofertă, o noutate, o reamintire de sezon.",IF($L123="A scăzut","Întreabă-l dacă a împărțit comenzile cu altcineva. De obicei asta s-a întâmplat.",IF($L123="Nemulțumit","Citește ce a spus în 11_CLIENTI. Rezolvă exact acel lucru, apoi sună-l să-i confirmi. Știi deja cauza — nu mai e nevoie să o cauți.",IF($L123="Marjă mică","Verifică ce discount are și cât te costă să-l servești. Poate merită renegociat.",IF($L123="În creștere","Întreabă-l ce altceva i-ar mai trebui. Acum e momentul, nu peste șase luni.",IF($L123="Fără activitate","Client în listă, dar fără vânzări în perioadă. Verifică dacă mai e client.","Nimic urgent. Ține-l cald."))))))))</f>
        <v/>
      </c>
      <c r="N123" s="68">
        <f>IF($A123="","",IFERROR(IF($L123="Nu mai cumpără",$D123,IF($L123="Adormit",$D123,IF($L123="A scăzut",MAX(0,$D123-$C123),IF($L123="Marjă mică",MAX(0,$C123*('02_SETARI'!$B$16-$G123)),$C123*0.15)))),""))</f>
        <v/>
      </c>
      <c r="O123">
        <f>IF(OR($A123="",$C123="",N($C123)&lt;=0),"",$C123+ROW()/1000000)</f>
        <v/>
      </c>
    </row>
    <row r="124">
      <c r="A124" s="67">
        <f>IF('11_CLIENTI'!$A124="","",'11_CLIENTI'!$A124)</f>
        <v/>
      </c>
      <c r="B124" s="67">
        <f>IF($A124="","",IFERROR(INDEX('11_CLIENTI'!$B$5:$B$124,MATCH($A124,'11_CLIENTI'!$A$5:$A$124,0)),""))</f>
        <v/>
      </c>
      <c r="C124" s="68">
        <f>IF($A124="","",SUMIFS('10_VANZARI'!$E$5:$E$604,'10_VANZARI'!$B$5:$B$604,$A124,'10_VANZARI'!$A$5:$A$604,"&gt;="&amp;'02_SETARI'!$B$5,'10_VANZARI'!$A$5:$A$604,"&lt;="&amp;'02_SETARI'!$B$6))</f>
        <v/>
      </c>
      <c r="D124" s="68">
        <f>IF($A124="","",SUMIFS('10_VANZARI'!$E$5:$E$604,'10_VANZARI'!$B$5:$B$604,$A124,'10_VANZARI'!$A$5:$A$604,"&gt;="&amp;'02_SETARI'!$B$7,'10_VANZARI'!$A$5:$A$604,"&lt;="&amp;'02_SETARI'!$B$8))</f>
        <v/>
      </c>
      <c r="E124" s="69">
        <f>IF($A124="","",IFERROR(IF($D124=0,"",($C124-$D124)/ABS($D124)),""))</f>
        <v/>
      </c>
      <c r="F124" s="68">
        <f>IF($A124="","",SUMIFS('10_VANZARI'!$G$5:$G$604,'10_VANZARI'!$B$5:$B$604,$A124,'10_VANZARI'!$A$5:$A$604,"&gt;="&amp;'02_SETARI'!$B$5,'10_VANZARI'!$A$5:$A$604,"&lt;="&amp;'02_SETARI'!$B$6))</f>
        <v/>
      </c>
      <c r="G124" s="69">
        <f>IF($A124="","",IFERROR($F124/$C124,""))</f>
        <v/>
      </c>
      <c r="H124" s="69">
        <f>IF($A124="","",IFERROR($C124/SUMIFS('10_VANZARI'!$E$5:$E$604,'10_VANZARI'!$A$5:$A$604,"&gt;="&amp;'02_SETARI'!$B$5,'10_VANZARI'!$A$5:$A$604,"&lt;="&amp;'02_SETARI'!$B$6),""))</f>
        <v/>
      </c>
      <c r="I124" s="70">
        <f>IF($A124="","",IFERROR(IF(SUMPRODUCT(MAX(('10_VANZARI'!$B$5:$B$604=$A124)*('10_VANZARI'!$E$5:$E$604&lt;&gt;"")*'10_VANZARI'!$A$5:$A$604))=0,"",SUMPRODUCT(MAX(('10_VANZARI'!$B$5:$B$604=$A124)*('10_VANZARI'!$E$5:$E$604&lt;&gt;"")*'10_VANZARI'!$A$5:$A$604))),""))</f>
        <v/>
      </c>
      <c r="J124" s="68">
        <f>IF(OR($A124="",$I124=""),"",'02_SETARI'!$B$19-$I124)</f>
        <v/>
      </c>
      <c r="K124" s="68">
        <f>IF($A124="","",IFERROR(IF(INDEX('11_CLIENTI'!$D$5:$D$124,MATCH($A124,'11_CLIENTI'!$A$5:$A$124,0))="","",INDEX('11_CLIENTI'!$D$5:$D$124,MATCH($A124,'11_CLIENTI'!$A$5:$A$124,0))),""))</f>
        <v/>
      </c>
      <c r="L124" s="67">
        <f>IF($A124="","",IF(AND($K124&lt;&gt;"",$K124&lt;='02_SETARI'!$B$18),"Nemulțumit",IF(AND($D124&gt;0,$C124=0),"Nu mai cumpără",IF(AND($J124&lt;&gt;"",$J124&gt;'02_SETARI'!$B$17,$D124&gt;0),"Adormit",IF(AND($E124&lt;&gt;"",$E124&lt;='02_SETARI'!$B$15),"A scăzut",IF(AND($C124&gt;0,$G124&lt;&gt;"",$G124&lt;'02_SETARI'!$B$16),"Marjă mică",IF(AND($E124&lt;&gt;"",$E124&gt;=0.2),"În creștere",IF($C124=0,"Fără activitate","Merge bine"))))))))</f>
        <v/>
      </c>
      <c r="M124" s="67">
        <f>IF($A124="","",IF($L124="Nu mai cumpără","Sună-l săptămâna asta și întreabă direct ce s-a schimbat. Nu trimite email.",IF($L124="Adormit","Sună-l cu un motiv concret: o ofertă, o noutate, o reamintire de sezon.",IF($L124="A scăzut","Întreabă-l dacă a împărțit comenzile cu altcineva. De obicei asta s-a întâmplat.",IF($L124="Nemulțumit","Citește ce a spus în 11_CLIENTI. Rezolvă exact acel lucru, apoi sună-l să-i confirmi. Știi deja cauza — nu mai e nevoie să o cauți.",IF($L124="Marjă mică","Verifică ce discount are și cât te costă să-l servești. Poate merită renegociat.",IF($L124="În creștere","Întreabă-l ce altceva i-ar mai trebui. Acum e momentul, nu peste șase luni.",IF($L124="Fără activitate","Client în listă, dar fără vânzări în perioadă. Verifică dacă mai e client.","Nimic urgent. Ține-l cald."))))))))</f>
        <v/>
      </c>
      <c r="N124" s="68">
        <f>IF($A124="","",IFERROR(IF($L124="Nu mai cumpără",$D124,IF($L124="Adormit",$D124,IF($L124="A scăzut",MAX(0,$D124-$C124),IF($L124="Marjă mică",MAX(0,$C124*('02_SETARI'!$B$16-$G124)),$C124*0.15)))),""))</f>
        <v/>
      </c>
      <c r="O124">
        <f>IF(OR($A124="",$C124="",N($C124)&lt;=0),"",$C124+ROW()/1000000)</f>
        <v/>
      </c>
    </row>
  </sheetData>
  <autoFilter ref="A4:N124"/>
  <conditionalFormatting sqref="L5:L124">
    <cfRule type="cellIs" priority="1" operator="equal" dxfId="0">
      <formula>"Nu mai cumpără"</formula>
    </cfRule>
    <cfRule type="cellIs" priority="2" operator="equal" dxfId="6">
      <formula>"Adormit"</formula>
    </cfRule>
    <cfRule type="cellIs" priority="3" operator="equal" dxfId="0">
      <formula>"A scăzut"</formula>
    </cfRule>
    <cfRule type="cellIs" priority="4" operator="equal" dxfId="0">
      <formula>"Nemulțumit"</formula>
    </cfRule>
    <cfRule type="cellIs" priority="5" operator="equal" dxfId="7">
      <formula>"Marjă mică"</formula>
    </cfRule>
    <cfRule type="cellIs" priority="6" operator="equal" dxfId="1">
      <formula>"În creștere"</formula>
    </cfRule>
    <cfRule type="cellIs" priority="7" operator="equal" dxfId="8">
      <formula>"Fără activitate"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24" customWidth="1" min="2" max="2"/>
    <col width="34" customWidth="1" min="3" max="3"/>
    <col width="14" customWidth="1" min="4" max="4"/>
    <col width="11" customWidth="1" min="5" max="5"/>
    <col width="13" customWidth="1" min="6" max="6"/>
    <col width="11" customWidth="1" min="7" max="7"/>
    <col width="12" customWidth="1" min="8" max="8"/>
    <col width="13" customWidth="1" min="9" max="9"/>
    <col width="26" customWidth="1" min="10" max="10"/>
  </cols>
  <sheetData>
    <row r="1" ht="26" customHeight="1">
      <c r="A1" s="1" t="inlineStr">
        <is>
          <t>30 — PLANUL</t>
        </is>
      </c>
    </row>
    <row r="2" ht="16" customHeight="1">
      <c r="A2" s="2" t="inlineStr">
        <is>
          <t>Maximum zece rânduri. Ia semnalele din foaia 21 și scrie ce faci concret. Ordinea se calculează singură: primele trei sunt cele de făcut acum.</t>
        </is>
      </c>
    </row>
    <row r="3"/>
    <row r="4" ht="38" customHeight="1">
      <c r="A4" s="21" t="inlineStr">
        <is>
          <t>Ce fac</t>
        </is>
      </c>
      <c r="B4" s="21" t="inlineStr">
        <is>
          <t>Cu cine / la ce client</t>
        </is>
      </c>
      <c r="C4" s="21" t="inlineStr">
        <is>
          <t>De ce (ce am văzut în cifre)</t>
        </is>
      </c>
      <c r="D4" s="21" t="inlineStr">
        <is>
          <t>Cât cred că aduce</t>
        </is>
      </c>
      <c r="E4" s="21" t="inlineStr">
        <is>
          <t>Cât de ușor e</t>
        </is>
      </c>
      <c r="F4" s="21" t="inlineStr">
        <is>
          <t>Scor</t>
        </is>
      </c>
      <c r="G4" s="21" t="inlineStr">
        <is>
          <t>Când</t>
        </is>
      </c>
      <c r="H4" s="21" t="inlineStr">
        <is>
          <t>Până când</t>
        </is>
      </c>
      <c r="I4" s="21" t="inlineStr">
        <is>
          <t>Status</t>
        </is>
      </c>
      <c r="J4" s="21" t="inlineStr">
        <is>
          <t>Ce a ieșit</t>
        </is>
      </c>
    </row>
    <row r="5">
      <c r="A5" s="10" t="inlineStr">
        <is>
          <t>Sun toți clienții care nu au mai comandat de 3 luni</t>
        </is>
      </c>
      <c r="B5" s="10" t="n"/>
      <c r="C5" s="10" t="inlineStr">
        <is>
          <t>Filtrate din foaia 21: „Adormit”</t>
        </is>
      </c>
      <c r="D5" s="18" t="n"/>
      <c r="E5" s="19" t="n">
        <v>0.9</v>
      </c>
      <c r="F5" s="23">
        <f>IF($D5="","",N($D5)*N($E5))</f>
        <v/>
      </c>
      <c r="G5" s="25">
        <f>IF($F5="","",IF(COUNTIF($F$5:$F$16,"&gt;"&amp;$F5)&lt;3,"ACUM",IF(COUNTIF($F$5:$F$16,"&gt;"&amp;$F5)&lt;6,"URMEAZĂ","MAI TÂRZIU")))</f>
        <v/>
      </c>
      <c r="H5" s="15" t="n"/>
      <c r="I5" s="10" t="inlineStr">
        <is>
          <t>De făcut</t>
        </is>
      </c>
      <c r="J5" s="10" t="n"/>
    </row>
    <row r="6">
      <c r="A6" s="10" t="inlineStr">
        <is>
          <t>Întreb primii 10 clienți ce notă ne dau</t>
        </is>
      </c>
      <c r="B6" s="10" t="n"/>
      <c r="C6" s="10" t="inlineStr">
        <is>
          <t>Nicio notă completată în 11_CLIENTI</t>
        </is>
      </c>
      <c r="D6" s="18" t="n"/>
      <c r="E6" s="19" t="n">
        <v>1</v>
      </c>
      <c r="F6" s="23">
        <f>IF($D6="","",N($D6)*N($E6))</f>
        <v/>
      </c>
      <c r="G6" s="25">
        <f>IF($F6="","",IF(COUNTIF($F$5:$F$16,"&gt;"&amp;$F6)&lt;3,"ACUM",IF(COUNTIF($F$5:$F$16,"&gt;"&amp;$F6)&lt;6,"URMEAZĂ","MAI TÂRZIU")))</f>
        <v/>
      </c>
      <c r="H6" s="15" t="n"/>
      <c r="I6" s="10" t="inlineStr">
        <is>
          <t>De făcut</t>
        </is>
      </c>
      <c r="J6" s="10" t="n"/>
    </row>
    <row r="7">
      <c r="A7" s="10" t="inlineStr">
        <is>
          <t>Renegociez prețul la clientul cu marja cea mai mică</t>
        </is>
      </c>
      <c r="B7" s="10" t="n"/>
      <c r="C7" s="10" t="inlineStr">
        <is>
          <t>Foaia 21: „Marjă mică”</t>
        </is>
      </c>
      <c r="D7" s="18" t="n"/>
      <c r="E7" s="19" t="n">
        <v>0.5</v>
      </c>
      <c r="F7" s="23">
        <f>IF($D7="","",N($D7)*N($E7))</f>
        <v/>
      </c>
      <c r="G7" s="25">
        <f>IF($F7="","",IF(COUNTIF($F$5:$F$16,"&gt;"&amp;$F7)&lt;3,"ACUM",IF(COUNTIF($F$5:$F$16,"&gt;"&amp;$F7)&lt;6,"URMEAZĂ","MAI TÂRZIU")))</f>
        <v/>
      </c>
      <c r="H7" s="15" t="n"/>
      <c r="I7" s="10" t="inlineStr">
        <is>
          <t>De făcut</t>
        </is>
      </c>
      <c r="J7" s="10" t="n"/>
    </row>
    <row r="8">
      <c r="A8" s="10" t="n"/>
      <c r="B8" s="10" t="n"/>
      <c r="C8" s="10" t="n"/>
      <c r="D8" s="18" t="n"/>
      <c r="E8" s="19" t="n"/>
      <c r="F8" s="23">
        <f>IF($D8="","",N($D8)*N($E8))</f>
        <v/>
      </c>
      <c r="G8" s="25">
        <f>IF($F8="","",IF(COUNTIF($F$5:$F$16,"&gt;"&amp;$F8)&lt;3,"ACUM",IF(COUNTIF($F$5:$F$16,"&gt;"&amp;$F8)&lt;6,"URMEAZĂ","MAI TÂRZIU")))</f>
        <v/>
      </c>
      <c r="H8" s="15" t="n"/>
      <c r="I8" s="10" t="n"/>
      <c r="J8" s="10" t="n"/>
    </row>
    <row r="9">
      <c r="A9" s="10" t="n"/>
      <c r="B9" s="10" t="n"/>
      <c r="C9" s="10" t="n"/>
      <c r="D9" s="18" t="n"/>
      <c r="E9" s="19" t="n"/>
      <c r="F9" s="23">
        <f>IF($D9="","",N($D9)*N($E9))</f>
        <v/>
      </c>
      <c r="G9" s="25">
        <f>IF($F9="","",IF(COUNTIF($F$5:$F$16,"&gt;"&amp;$F9)&lt;3,"ACUM",IF(COUNTIF($F$5:$F$16,"&gt;"&amp;$F9)&lt;6,"URMEAZĂ","MAI TÂRZIU")))</f>
        <v/>
      </c>
      <c r="H9" s="15" t="n"/>
      <c r="I9" s="10" t="n"/>
      <c r="J9" s="10" t="n"/>
    </row>
    <row r="10">
      <c r="A10" s="10" t="n"/>
      <c r="B10" s="10" t="n"/>
      <c r="C10" s="10" t="n"/>
      <c r="D10" s="18" t="n"/>
      <c r="E10" s="19" t="n"/>
      <c r="F10" s="23">
        <f>IF($D10="","",N($D10)*N($E10))</f>
        <v/>
      </c>
      <c r="G10" s="25">
        <f>IF($F10="","",IF(COUNTIF($F$5:$F$16,"&gt;"&amp;$F10)&lt;3,"ACUM",IF(COUNTIF($F$5:$F$16,"&gt;"&amp;$F10)&lt;6,"URMEAZĂ","MAI TÂRZIU")))</f>
        <v/>
      </c>
      <c r="H10" s="15" t="n"/>
      <c r="I10" s="10" t="n"/>
      <c r="J10" s="10" t="n"/>
    </row>
    <row r="11">
      <c r="A11" s="10" t="n"/>
      <c r="B11" s="10" t="n"/>
      <c r="C11" s="10" t="n"/>
      <c r="D11" s="18" t="n"/>
      <c r="E11" s="19" t="n"/>
      <c r="F11" s="23">
        <f>IF($D11="","",N($D11)*N($E11))</f>
        <v/>
      </c>
      <c r="G11" s="25">
        <f>IF($F11="","",IF(COUNTIF($F$5:$F$16,"&gt;"&amp;$F11)&lt;3,"ACUM",IF(COUNTIF($F$5:$F$16,"&gt;"&amp;$F11)&lt;6,"URMEAZĂ","MAI TÂRZIU")))</f>
        <v/>
      </c>
      <c r="H11" s="15" t="n"/>
      <c r="I11" s="10" t="n"/>
      <c r="J11" s="10" t="n"/>
    </row>
    <row r="12">
      <c r="A12" s="10" t="n"/>
      <c r="B12" s="10" t="n"/>
      <c r="C12" s="10" t="n"/>
      <c r="D12" s="18" t="n"/>
      <c r="E12" s="19" t="n"/>
      <c r="F12" s="23">
        <f>IF($D12="","",N($D12)*N($E12))</f>
        <v/>
      </c>
      <c r="G12" s="25">
        <f>IF($F12="","",IF(COUNTIF($F$5:$F$16,"&gt;"&amp;$F12)&lt;3,"ACUM",IF(COUNTIF($F$5:$F$16,"&gt;"&amp;$F12)&lt;6,"URMEAZĂ","MAI TÂRZIU")))</f>
        <v/>
      </c>
      <c r="H12" s="15" t="n"/>
      <c r="I12" s="10" t="n"/>
      <c r="J12" s="10" t="n"/>
    </row>
    <row r="13">
      <c r="A13" s="10" t="n"/>
      <c r="B13" s="10" t="n"/>
      <c r="C13" s="10" t="n"/>
      <c r="D13" s="18" t="n"/>
      <c r="E13" s="19" t="n"/>
      <c r="F13" s="23">
        <f>IF($D13="","",N($D13)*N($E13))</f>
        <v/>
      </c>
      <c r="G13" s="25">
        <f>IF($F13="","",IF(COUNTIF($F$5:$F$16,"&gt;"&amp;$F13)&lt;3,"ACUM",IF(COUNTIF($F$5:$F$16,"&gt;"&amp;$F13)&lt;6,"URMEAZĂ","MAI TÂRZIU")))</f>
        <v/>
      </c>
      <c r="H13" s="15" t="n"/>
      <c r="I13" s="10" t="n"/>
      <c r="J13" s="10" t="n"/>
    </row>
    <row r="14">
      <c r="A14" s="10" t="n"/>
      <c r="B14" s="10" t="n"/>
      <c r="C14" s="10" t="n"/>
      <c r="D14" s="18" t="n"/>
      <c r="E14" s="19" t="n"/>
      <c r="F14" s="23">
        <f>IF($D14="","",N($D14)*N($E14))</f>
        <v/>
      </c>
      <c r="G14" s="25">
        <f>IF($F14="","",IF(COUNTIF($F$5:$F$16,"&gt;"&amp;$F14)&lt;3,"ACUM",IF(COUNTIF($F$5:$F$16,"&gt;"&amp;$F14)&lt;6,"URMEAZĂ","MAI TÂRZIU")))</f>
        <v/>
      </c>
      <c r="H14" s="15" t="n"/>
      <c r="I14" s="10" t="n"/>
      <c r="J14" s="10" t="n"/>
    </row>
    <row r="15">
      <c r="A15" s="10" t="n"/>
      <c r="B15" s="10" t="n"/>
      <c r="C15" s="10" t="n"/>
      <c r="D15" s="18" t="n"/>
      <c r="E15" s="19" t="n"/>
      <c r="F15" s="23">
        <f>IF($D15="","",N($D15)*N($E15))</f>
        <v/>
      </c>
      <c r="G15" s="25">
        <f>IF($F15="","",IF(COUNTIF($F$5:$F$16,"&gt;"&amp;$F15)&lt;3,"ACUM",IF(COUNTIF($F$5:$F$16,"&gt;"&amp;$F15)&lt;6,"URMEAZĂ","MAI TÂRZIU")))</f>
        <v/>
      </c>
      <c r="H15" s="15" t="n"/>
      <c r="I15" s="10" t="n"/>
      <c r="J15" s="10" t="n"/>
    </row>
    <row r="16">
      <c r="A16" s="10" t="n"/>
      <c r="B16" s="10" t="n"/>
      <c r="C16" s="10" t="n"/>
      <c r="D16" s="18" t="n"/>
      <c r="E16" s="19" t="n"/>
      <c r="F16" s="23">
        <f>IF($D16="","",N($D16)*N($E16))</f>
        <v/>
      </c>
      <c r="G16" s="25">
        <f>IF($F16="","",IF(COUNTIF($F$5:$F$16,"&gt;"&amp;$F16)&lt;3,"ACUM",IF(COUNTIF($F$5:$F$16,"&gt;"&amp;$F16)&lt;6,"URMEAZĂ","MAI TÂRZIU")))</f>
        <v/>
      </c>
      <c r="H16" s="15" t="n"/>
      <c r="I16" s="10" t="n"/>
      <c r="J16" s="10" t="n"/>
    </row>
    <row r="17"/>
    <row r="18">
      <c r="A18" s="14" t="inlineStr">
        <is>
          <t>Rândurile de mai sus sunt exemple. Șterge-le și scrie ale tale — completează „Cât cred că aduce”, altfel scorul rămâne gol.</t>
        </is>
      </c>
    </row>
  </sheetData>
  <autoFilter ref="A4:J16"/>
  <conditionalFormatting sqref="G5:G16">
    <cfRule type="cellIs" priority="1" operator="equal" dxfId="9">
      <formula>"ACUM"</formula>
    </cfRule>
    <cfRule type="cellIs" priority="2" operator="equal" dxfId="10">
      <formula>"URMEAZĂ"</formula>
    </cfRule>
    <cfRule type="cellIs" priority="3" operator="equal" dxfId="11">
      <formula>"MAI TÂRZIU"</formula>
    </cfRule>
  </conditionalFormatting>
  <dataValidations count="1">
    <dataValidation sqref="I5:I16" showDropDown="0" showInputMessage="0" showErrorMessage="0" allowBlank="1" errorTitle="Valoare neacceptată" error="Valoare în afara listei permise. Alege din listă sau completează lista de valori." type="list">
      <formula1>'02_SETARI'!$F$6:$F$9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3" customWidth="1" min="4" max="4"/>
    <col width="26" customWidth="1" min="6" max="6"/>
    <col width="13" customWidth="1" min="7" max="7"/>
    <col width="20" customWidth="1" min="9" max="9"/>
    <col width="10" customWidth="1" min="10" max="10"/>
  </cols>
  <sheetData>
    <row r="1" ht="26" customHeight="1">
      <c r="A1" s="1" t="inlineStr">
        <is>
          <t>40 — GRAFICE</t>
        </is>
      </c>
    </row>
    <row r="2" ht="16" customHeight="1">
      <c r="A2" s="2" t="inlineStr">
        <is>
          <t>Se desenează singure. Dacă par goale, apasă Ctrl+Alt+F9.</t>
        </is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>
      <c r="A39" s="71" t="inlineStr">
        <is>
          <t>ZONA DE CALCUL — nu se editează, nu se șterge.</t>
        </is>
      </c>
    </row>
    <row r="40">
      <c r="A40" s="72" t="inlineStr">
        <is>
          <t>Lună</t>
        </is>
      </c>
      <c r="B40" s="72" t="inlineStr">
        <is>
          <t>Etichetă</t>
        </is>
      </c>
      <c r="C40" s="72" t="inlineStr">
        <is>
          <t>Încasat</t>
        </is>
      </c>
      <c r="D40" s="72" t="inlineStr">
        <is>
          <t>Profit brut</t>
        </is>
      </c>
      <c r="F40" s="72" t="inlineStr">
        <is>
          <t>Top 8 clienți</t>
        </is>
      </c>
      <c r="G40" s="72" t="inlineStr">
        <is>
          <t>Încasat</t>
        </is>
      </c>
      <c r="I40" s="72" t="inlineStr">
        <is>
          <t>Notele clienților</t>
        </is>
      </c>
      <c r="J40" s="72" t="inlineStr">
        <is>
          <t>Câți</t>
        </is>
      </c>
    </row>
    <row r="41">
      <c r="A41" s="73">
        <f>DATE(YEAR('02_SETARI'!$B$6),MONTH('02_SETARI'!$B$6)+1-12,1)</f>
        <v/>
      </c>
      <c r="B41" s="74">
        <f>YEAR($A41)&amp;"-"&amp;RIGHT("0"&amp;MONTH($A41),2)</f>
        <v/>
      </c>
      <c r="C41" s="75">
        <f>SUMIFS('10_VANZARI'!$E$5:$E$604,'10_VANZARI'!$A$5:$A$604,"&gt;="&amp;$A41,'10_VANZARI'!$A$5:$A$604,"&lt;="&amp;DATE(YEAR($A41),MONTH($A41)+1,0))</f>
        <v/>
      </c>
      <c r="D41" s="75">
        <f>SUMIFS('10_VANZARI'!$G$5:$G$604,'10_VANZARI'!$A$5:$A$604,"&gt;="&amp;$A41,'10_VANZARI'!$A$5:$A$604,"&lt;="&amp;DATE(YEAR($A41),MONTH($A41)+1,0))</f>
        <v/>
      </c>
      <c r="F41" s="74">
        <f>IFERROR(INDEX('21_CE_SE_INTAMPLA'!$A$5:$A$124,MATCH(LARGE('21_CE_SE_INTAMPLA'!$O$5:$O$124,1),'21_CE_SE_INTAMPLA'!$O$5:$O$124,0)),"")</f>
        <v/>
      </c>
      <c r="G41" s="75">
        <f>IFERROR(INDEX('21_CE_SE_INTAMPLA'!$C$5:$C$124,MATCH(LARGE('21_CE_SE_INTAMPLA'!$O$5:$O$124,1),'21_CE_SE_INTAMPLA'!$O$5:$O$124,0)),0)</f>
        <v/>
      </c>
      <c r="I41" s="74">
        <f>"Mulțumiți (9-10)"</f>
        <v/>
      </c>
      <c r="J41" s="75">
        <f>SUMPRODUCT(('11_CLIENTI'!$A$5:$A$124&lt;&gt;"")*('11_CLIENTI'!$D$5:$D$124&gt;=9))</f>
        <v/>
      </c>
    </row>
    <row r="42">
      <c r="A42" s="73">
        <f>DATE(YEAR('02_SETARI'!$B$6),MONTH('02_SETARI'!$B$6)+2-12,1)</f>
        <v/>
      </c>
      <c r="B42" s="74">
        <f>YEAR($A42)&amp;"-"&amp;RIGHT("0"&amp;MONTH($A42),2)</f>
        <v/>
      </c>
      <c r="C42" s="75">
        <f>SUMIFS('10_VANZARI'!$E$5:$E$604,'10_VANZARI'!$A$5:$A$604,"&gt;="&amp;$A42,'10_VANZARI'!$A$5:$A$604,"&lt;="&amp;DATE(YEAR($A42),MONTH($A42)+1,0))</f>
        <v/>
      </c>
      <c r="D42" s="75">
        <f>SUMIFS('10_VANZARI'!$G$5:$G$604,'10_VANZARI'!$A$5:$A$604,"&gt;="&amp;$A42,'10_VANZARI'!$A$5:$A$604,"&lt;="&amp;DATE(YEAR($A42),MONTH($A42)+1,0))</f>
        <v/>
      </c>
      <c r="F42" s="74">
        <f>IFERROR(INDEX('21_CE_SE_INTAMPLA'!$A$5:$A$124,MATCH(LARGE('21_CE_SE_INTAMPLA'!$O$5:$O$124,2),'21_CE_SE_INTAMPLA'!$O$5:$O$124,0)),"")</f>
        <v/>
      </c>
      <c r="G42" s="75">
        <f>IFERROR(INDEX('21_CE_SE_INTAMPLA'!$C$5:$C$124,MATCH(LARGE('21_CE_SE_INTAMPLA'!$O$5:$O$124,2),'21_CE_SE_INTAMPLA'!$O$5:$O$124,0)),0)</f>
        <v/>
      </c>
      <c r="I42" s="74">
        <f>"Neutri (7-8)"</f>
        <v/>
      </c>
      <c r="J42" s="75">
        <f>SUMPRODUCT(('11_CLIENTI'!$A$5:$A$124&lt;&gt;"")*('11_CLIENTI'!$D$5:$D$124&gt;=7)*('11_CLIENTI'!$D$5:$D$124&lt;=8))</f>
        <v/>
      </c>
    </row>
    <row r="43">
      <c r="A43" s="73">
        <f>DATE(YEAR('02_SETARI'!$B$6),MONTH('02_SETARI'!$B$6)+3-12,1)</f>
        <v/>
      </c>
      <c r="B43" s="74">
        <f>YEAR($A43)&amp;"-"&amp;RIGHT("0"&amp;MONTH($A43),2)</f>
        <v/>
      </c>
      <c r="C43" s="75">
        <f>SUMIFS('10_VANZARI'!$E$5:$E$604,'10_VANZARI'!$A$5:$A$604,"&gt;="&amp;$A43,'10_VANZARI'!$A$5:$A$604,"&lt;="&amp;DATE(YEAR($A43),MONTH($A43)+1,0))</f>
        <v/>
      </c>
      <c r="D43" s="75">
        <f>SUMIFS('10_VANZARI'!$G$5:$G$604,'10_VANZARI'!$A$5:$A$604,"&gt;="&amp;$A43,'10_VANZARI'!$A$5:$A$604,"&lt;="&amp;DATE(YEAR($A43),MONTH($A43)+1,0))</f>
        <v/>
      </c>
      <c r="F43" s="74">
        <f>IFERROR(INDEX('21_CE_SE_INTAMPLA'!$A$5:$A$124,MATCH(LARGE('21_CE_SE_INTAMPLA'!$O$5:$O$124,3),'21_CE_SE_INTAMPLA'!$O$5:$O$124,0)),"")</f>
        <v/>
      </c>
      <c r="G43" s="75">
        <f>IFERROR(INDEX('21_CE_SE_INTAMPLA'!$C$5:$C$124,MATCH(LARGE('21_CE_SE_INTAMPLA'!$O$5:$O$124,3),'21_CE_SE_INTAMPLA'!$O$5:$O$124,0)),0)</f>
        <v/>
      </c>
      <c r="I43" s="74">
        <f>"Nemulțumiți (0-6)"</f>
        <v/>
      </c>
      <c r="J43" s="75">
        <f>SUMPRODUCT(('11_CLIENTI'!$A$5:$A$124&lt;&gt;"")*('11_CLIENTI'!$D$5:$D$124&lt;&gt;"")*('11_CLIENTI'!$D$5:$D$124&lt;=6))</f>
        <v/>
      </c>
    </row>
    <row r="44">
      <c r="A44" s="73">
        <f>DATE(YEAR('02_SETARI'!$B$6),MONTH('02_SETARI'!$B$6)+4-12,1)</f>
        <v/>
      </c>
      <c r="B44" s="74">
        <f>YEAR($A44)&amp;"-"&amp;RIGHT("0"&amp;MONTH($A44),2)</f>
        <v/>
      </c>
      <c r="C44" s="75">
        <f>SUMIFS('10_VANZARI'!$E$5:$E$604,'10_VANZARI'!$A$5:$A$604,"&gt;="&amp;$A44,'10_VANZARI'!$A$5:$A$604,"&lt;="&amp;DATE(YEAR($A44),MONTH($A44)+1,0))</f>
        <v/>
      </c>
      <c r="D44" s="75">
        <f>SUMIFS('10_VANZARI'!$G$5:$G$604,'10_VANZARI'!$A$5:$A$604,"&gt;="&amp;$A44,'10_VANZARI'!$A$5:$A$604,"&lt;="&amp;DATE(YEAR($A44),MONTH($A44)+1,0))</f>
        <v/>
      </c>
      <c r="F44" s="74">
        <f>IFERROR(INDEX('21_CE_SE_INTAMPLA'!$A$5:$A$124,MATCH(LARGE('21_CE_SE_INTAMPLA'!$O$5:$O$124,4),'21_CE_SE_INTAMPLA'!$O$5:$O$124,0)),"")</f>
        <v/>
      </c>
      <c r="G44" s="75">
        <f>IFERROR(INDEX('21_CE_SE_INTAMPLA'!$C$5:$C$124,MATCH(LARGE('21_CE_SE_INTAMPLA'!$O$5:$O$124,4),'21_CE_SE_INTAMPLA'!$O$5:$O$124,0)),0)</f>
        <v/>
      </c>
    </row>
    <row r="45">
      <c r="A45" s="73">
        <f>DATE(YEAR('02_SETARI'!$B$6),MONTH('02_SETARI'!$B$6)+5-12,1)</f>
        <v/>
      </c>
      <c r="B45" s="74">
        <f>YEAR($A45)&amp;"-"&amp;RIGHT("0"&amp;MONTH($A45),2)</f>
        <v/>
      </c>
      <c r="C45" s="75">
        <f>SUMIFS('10_VANZARI'!$E$5:$E$604,'10_VANZARI'!$A$5:$A$604,"&gt;="&amp;$A45,'10_VANZARI'!$A$5:$A$604,"&lt;="&amp;DATE(YEAR($A45),MONTH($A45)+1,0))</f>
        <v/>
      </c>
      <c r="D45" s="75">
        <f>SUMIFS('10_VANZARI'!$G$5:$G$604,'10_VANZARI'!$A$5:$A$604,"&gt;="&amp;$A45,'10_VANZARI'!$A$5:$A$604,"&lt;="&amp;DATE(YEAR($A45),MONTH($A45)+1,0))</f>
        <v/>
      </c>
      <c r="F45" s="74">
        <f>IFERROR(INDEX('21_CE_SE_INTAMPLA'!$A$5:$A$124,MATCH(LARGE('21_CE_SE_INTAMPLA'!$O$5:$O$124,5),'21_CE_SE_INTAMPLA'!$O$5:$O$124,0)),"")</f>
        <v/>
      </c>
      <c r="G45" s="75">
        <f>IFERROR(INDEX('21_CE_SE_INTAMPLA'!$C$5:$C$124,MATCH(LARGE('21_CE_SE_INTAMPLA'!$O$5:$O$124,5),'21_CE_SE_INTAMPLA'!$O$5:$O$124,0)),0)</f>
        <v/>
      </c>
    </row>
    <row r="46">
      <c r="A46" s="73">
        <f>DATE(YEAR('02_SETARI'!$B$6),MONTH('02_SETARI'!$B$6)+6-12,1)</f>
        <v/>
      </c>
      <c r="B46" s="74">
        <f>YEAR($A46)&amp;"-"&amp;RIGHT("0"&amp;MONTH($A46),2)</f>
        <v/>
      </c>
      <c r="C46" s="75">
        <f>SUMIFS('10_VANZARI'!$E$5:$E$604,'10_VANZARI'!$A$5:$A$604,"&gt;="&amp;$A46,'10_VANZARI'!$A$5:$A$604,"&lt;="&amp;DATE(YEAR($A46),MONTH($A46)+1,0))</f>
        <v/>
      </c>
      <c r="D46" s="75">
        <f>SUMIFS('10_VANZARI'!$G$5:$G$604,'10_VANZARI'!$A$5:$A$604,"&gt;="&amp;$A46,'10_VANZARI'!$A$5:$A$604,"&lt;="&amp;DATE(YEAR($A46),MONTH($A46)+1,0))</f>
        <v/>
      </c>
      <c r="F46" s="74">
        <f>IFERROR(INDEX('21_CE_SE_INTAMPLA'!$A$5:$A$124,MATCH(LARGE('21_CE_SE_INTAMPLA'!$O$5:$O$124,6),'21_CE_SE_INTAMPLA'!$O$5:$O$124,0)),"")</f>
        <v/>
      </c>
      <c r="G46" s="75">
        <f>IFERROR(INDEX('21_CE_SE_INTAMPLA'!$C$5:$C$124,MATCH(LARGE('21_CE_SE_INTAMPLA'!$O$5:$O$124,6),'21_CE_SE_INTAMPLA'!$O$5:$O$124,0)),0)</f>
        <v/>
      </c>
    </row>
    <row r="47">
      <c r="A47" s="73">
        <f>DATE(YEAR('02_SETARI'!$B$6),MONTH('02_SETARI'!$B$6)+7-12,1)</f>
        <v/>
      </c>
      <c r="B47" s="74">
        <f>YEAR($A47)&amp;"-"&amp;RIGHT("0"&amp;MONTH($A47),2)</f>
        <v/>
      </c>
      <c r="C47" s="75">
        <f>SUMIFS('10_VANZARI'!$E$5:$E$604,'10_VANZARI'!$A$5:$A$604,"&gt;="&amp;$A47,'10_VANZARI'!$A$5:$A$604,"&lt;="&amp;DATE(YEAR($A47),MONTH($A47)+1,0))</f>
        <v/>
      </c>
      <c r="D47" s="75">
        <f>SUMIFS('10_VANZARI'!$G$5:$G$604,'10_VANZARI'!$A$5:$A$604,"&gt;="&amp;$A47,'10_VANZARI'!$A$5:$A$604,"&lt;="&amp;DATE(YEAR($A47),MONTH($A47)+1,0))</f>
        <v/>
      </c>
      <c r="F47" s="74">
        <f>IFERROR(INDEX('21_CE_SE_INTAMPLA'!$A$5:$A$124,MATCH(LARGE('21_CE_SE_INTAMPLA'!$O$5:$O$124,7),'21_CE_SE_INTAMPLA'!$O$5:$O$124,0)),"")</f>
        <v/>
      </c>
      <c r="G47" s="75">
        <f>IFERROR(INDEX('21_CE_SE_INTAMPLA'!$C$5:$C$124,MATCH(LARGE('21_CE_SE_INTAMPLA'!$O$5:$O$124,7),'21_CE_SE_INTAMPLA'!$O$5:$O$124,0)),0)</f>
        <v/>
      </c>
    </row>
    <row r="48">
      <c r="A48" s="73">
        <f>DATE(YEAR('02_SETARI'!$B$6),MONTH('02_SETARI'!$B$6)+8-12,1)</f>
        <v/>
      </c>
      <c r="B48" s="74">
        <f>YEAR($A48)&amp;"-"&amp;RIGHT("0"&amp;MONTH($A48),2)</f>
        <v/>
      </c>
      <c r="C48" s="75">
        <f>SUMIFS('10_VANZARI'!$E$5:$E$604,'10_VANZARI'!$A$5:$A$604,"&gt;="&amp;$A48,'10_VANZARI'!$A$5:$A$604,"&lt;="&amp;DATE(YEAR($A48),MONTH($A48)+1,0))</f>
        <v/>
      </c>
      <c r="D48" s="75">
        <f>SUMIFS('10_VANZARI'!$G$5:$G$604,'10_VANZARI'!$A$5:$A$604,"&gt;="&amp;$A48,'10_VANZARI'!$A$5:$A$604,"&lt;="&amp;DATE(YEAR($A48),MONTH($A48)+1,0))</f>
        <v/>
      </c>
      <c r="F48" s="74">
        <f>IFERROR(INDEX('21_CE_SE_INTAMPLA'!$A$5:$A$124,MATCH(LARGE('21_CE_SE_INTAMPLA'!$O$5:$O$124,8),'21_CE_SE_INTAMPLA'!$O$5:$O$124,0)),"")</f>
        <v/>
      </c>
      <c r="G48" s="75">
        <f>IFERROR(INDEX('21_CE_SE_INTAMPLA'!$C$5:$C$124,MATCH(LARGE('21_CE_SE_INTAMPLA'!$O$5:$O$124,8),'21_CE_SE_INTAMPLA'!$O$5:$O$124,0)),0)</f>
        <v/>
      </c>
    </row>
    <row r="49">
      <c r="A49" s="73">
        <f>DATE(YEAR('02_SETARI'!$B$6),MONTH('02_SETARI'!$B$6)+9-12,1)</f>
        <v/>
      </c>
      <c r="B49" s="74">
        <f>YEAR($A49)&amp;"-"&amp;RIGHT("0"&amp;MONTH($A49),2)</f>
        <v/>
      </c>
      <c r="C49" s="75">
        <f>SUMIFS('10_VANZARI'!$E$5:$E$604,'10_VANZARI'!$A$5:$A$604,"&gt;="&amp;$A49,'10_VANZARI'!$A$5:$A$604,"&lt;="&amp;DATE(YEAR($A49),MONTH($A49)+1,0))</f>
        <v/>
      </c>
      <c r="D49" s="75">
        <f>SUMIFS('10_VANZARI'!$G$5:$G$604,'10_VANZARI'!$A$5:$A$604,"&gt;="&amp;$A49,'10_VANZARI'!$A$5:$A$604,"&lt;="&amp;DATE(YEAR($A49),MONTH($A49)+1,0))</f>
        <v/>
      </c>
    </row>
    <row r="50">
      <c r="A50" s="73">
        <f>DATE(YEAR('02_SETARI'!$B$6),MONTH('02_SETARI'!$B$6)+10-12,1)</f>
        <v/>
      </c>
      <c r="B50" s="74">
        <f>YEAR($A50)&amp;"-"&amp;RIGHT("0"&amp;MONTH($A50),2)</f>
        <v/>
      </c>
      <c r="C50" s="75">
        <f>SUMIFS('10_VANZARI'!$E$5:$E$604,'10_VANZARI'!$A$5:$A$604,"&gt;="&amp;$A50,'10_VANZARI'!$A$5:$A$604,"&lt;="&amp;DATE(YEAR($A50),MONTH($A50)+1,0))</f>
        <v/>
      </c>
      <c r="D50" s="75">
        <f>SUMIFS('10_VANZARI'!$G$5:$G$604,'10_VANZARI'!$A$5:$A$604,"&gt;="&amp;$A50,'10_VANZARI'!$A$5:$A$604,"&lt;="&amp;DATE(YEAR($A50),MONTH($A50)+1,0))</f>
        <v/>
      </c>
    </row>
    <row r="51">
      <c r="A51" s="73">
        <f>DATE(YEAR('02_SETARI'!$B$6),MONTH('02_SETARI'!$B$6)+11-12,1)</f>
        <v/>
      </c>
      <c r="B51" s="74">
        <f>YEAR($A51)&amp;"-"&amp;RIGHT("0"&amp;MONTH($A51),2)</f>
        <v/>
      </c>
      <c r="C51" s="75">
        <f>SUMIFS('10_VANZARI'!$E$5:$E$604,'10_VANZARI'!$A$5:$A$604,"&gt;="&amp;$A51,'10_VANZARI'!$A$5:$A$604,"&lt;="&amp;DATE(YEAR($A51),MONTH($A51)+1,0))</f>
        <v/>
      </c>
      <c r="D51" s="75">
        <f>SUMIFS('10_VANZARI'!$G$5:$G$604,'10_VANZARI'!$A$5:$A$604,"&gt;="&amp;$A51,'10_VANZARI'!$A$5:$A$604,"&lt;="&amp;DATE(YEAR($A51),MONTH($A51)+1,0))</f>
        <v/>
      </c>
    </row>
    <row r="52">
      <c r="A52" s="73">
        <f>DATE(YEAR('02_SETARI'!$B$6),MONTH('02_SETARI'!$B$6)+12-12,1)</f>
        <v/>
      </c>
      <c r="B52" s="74">
        <f>YEAR($A52)&amp;"-"&amp;RIGHT("0"&amp;MONTH($A52),2)</f>
        <v/>
      </c>
      <c r="C52" s="75">
        <f>SUMIFS('10_VANZARI'!$E$5:$E$604,'10_VANZARI'!$A$5:$A$604,"&gt;="&amp;$A52,'10_VANZARI'!$A$5:$A$604,"&lt;="&amp;DATE(YEAR($A52),MONTH($A52)+1,0))</f>
        <v/>
      </c>
      <c r="D52" s="75">
        <f>SUMIFS('10_VANZARI'!$G$5:$G$604,'10_VANZARI'!$A$5:$A$604,"&gt;="&amp;$A52,'10_VANZARI'!$A$5:$A$604,"&lt;="&amp;DATE(YEAR($A52),MONTH($A52)+1,0))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2026-09-13T07:19:18Z</dcterms:created>
  <dcterms:modified xsi:type="dcterms:W3CDTF">2026-09-13T07:19:19Z</dcterms:modified>
</cp:coreProperties>
</file>