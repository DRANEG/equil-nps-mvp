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HID" sheetId="1" state="visible" r:id="rId1"/>
    <sheet name="01_FIRMA" sheetId="2" state="visible" r:id="rId2"/>
    <sheet name="02_CONTACTE" sheetId="3" state="visible" r:id="rId3"/>
    <sheet name="03_CHECKLIST_DATE" sheetId="4" state="visible" r:id="rId4"/>
    <sheet name="04_DICTIONAR" sheetId="5" state="visible" r:id="rId5"/>
    <sheet name="09_PARAMETRI" sheetId="6" state="visible" r:id="rId6"/>
    <sheet name="10_CLIENTI" sheetId="7" state="visible" r:id="rId7"/>
    <sheet name="11_PRODUSE" sheetId="8" state="visible" r:id="rId8"/>
    <sheet name="12_OAMENI" sheetId="9" state="visible" r:id="rId9"/>
    <sheet name="13_VANZARI" sheetId="10" state="visible" r:id="rId10"/>
    <sheet name="14_TINTE" sheetId="11" state="visible" r:id="rId11"/>
    <sheet name="15_NPS" sheetId="12" state="visible" r:id="rId12"/>
    <sheet name="20_KPI" sheetId="13" state="visible" r:id="rId13"/>
    <sheet name="21_ANALIZA_CLIENTI" sheetId="14" state="visible" r:id="rId14"/>
    <sheet name="22_ANALIZA_PRODUSE" sheetId="15" state="visible" r:id="rId15"/>
    <sheet name="23_ANALIZA_OAMENI" sheetId="16" state="visible" r:id="rId16"/>
    <sheet name="30_OPORTUNITATI" sheetId="17" state="visible" r:id="rId17"/>
    <sheet name="40_RAPORT" sheetId="18" state="visible" r:id="rId18"/>
    <sheet name="41_GRAFICE" sheetId="19" state="visible" r:id="rId19"/>
    <sheet name="90_LISTE" sheetId="20" state="visible" r:id="rId20"/>
  </sheets>
  <definedNames>
    <definedName name="_xlnm._FilterDatabase" localSheetId="2" hidden="1">'02_CONTACTE'!$A$4:$O$34</definedName>
    <definedName name="_xlnm._FilterDatabase" localSheetId="3" hidden="1">'03_CHECKLIST_DATE'!$A$4:$P$70</definedName>
    <definedName name="_xlnm._FilterDatabase" localSheetId="4" hidden="1">'04_DICTIONAR'!$A$4:$E$70</definedName>
    <definedName name="_xlnm._FilterDatabase" localSheetId="6" hidden="1">'10_CLIENTI'!$A$4:$L$204</definedName>
    <definedName name="_xlnm._FilterDatabase" localSheetId="7" hidden="1">'11_PRODUSE'!$A$4:$I$104</definedName>
    <definedName name="_xlnm._FilterDatabase" localSheetId="8" hidden="1">'12_OAMENI'!$A$4:$I$64</definedName>
    <definedName name="_xlnm._FilterDatabase" localSheetId="9" hidden="1">'13_VANZARI'!$A$4:$P$1004</definedName>
    <definedName name="_xlnm._FilterDatabase" localSheetId="10" hidden="1">'14_TINTE'!$A$4:$F$304</definedName>
    <definedName name="_xlnm._FilterDatabase" localSheetId="11" hidden="1">'15_NPS'!$A$4:$M$504</definedName>
    <definedName name="_xlnm._FilterDatabase" localSheetId="13" hidden="1">'21_ANALIZA_CLIENTI'!$A$4:$R$204</definedName>
    <definedName name="_xlnm._FilterDatabase" localSheetId="14" hidden="1">'22_ANALIZA_PRODUSE'!$A$4:$P$104</definedName>
    <definedName name="_xlnm._FilterDatabase" localSheetId="15" hidden="1">'23_ANALIZA_OAMENI'!$A$4:$Q$64</definedName>
    <definedName name="_xlnm._FilterDatabase" localSheetId="16" hidden="1">'30_OPORTUNITATI'!$A$4:$Q$64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"/>
  </numFmts>
  <fonts count="15">
    <font>
      <name val="Calibri"/>
      <family val="2"/>
      <color theme="1"/>
      <sz val="11"/>
      <scheme val="minor"/>
    </font>
    <font>
      <sz val="10"/>
    </font>
    <font>
      <b val="1"/>
      <color rgb="00FFFFFF"/>
      <sz val="10"/>
    </font>
    <font>
      <b val="1"/>
      <color rgb="001F3A3D"/>
      <sz val="16"/>
    </font>
    <font>
      <i val="1"/>
      <color rgb="005B6770"/>
      <sz val="10"/>
    </font>
    <font>
      <b val="1"/>
      <color rgb="001F3A3D"/>
      <sz val="10"/>
    </font>
    <font>
      <color rgb="00333333"/>
      <sz val="10"/>
    </font>
    <font>
      <b val="1"/>
      <color rgb="0012706E"/>
      <sz val="11"/>
    </font>
    <font>
      <b val="1"/>
      <color rgb="00FFFFFF"/>
      <sz val="11"/>
    </font>
    <font>
      <color rgb="00000000"/>
      <sz val="10"/>
    </font>
    <font>
      <i val="1"/>
      <color rgb="005B6770"/>
      <sz val="9"/>
    </font>
    <font>
      <color rgb="005B6770"/>
      <sz val="10"/>
    </font>
    <font>
      <color rgb="005B6770"/>
      <sz val="9"/>
    </font>
    <font>
      <b val="1"/>
      <color rgb="009C2A2A"/>
      <sz val="10"/>
    </font>
    <font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A3D"/>
      </patternFill>
    </fill>
    <fill>
      <patternFill patternType="solid">
        <fgColor rgb="00D7EDEC"/>
      </patternFill>
    </fill>
    <fill>
      <patternFill patternType="solid">
        <fgColor rgb="00FFF8DC"/>
      </patternFill>
    </fill>
    <fill>
      <patternFill patternType="solid">
        <fgColor rgb="00EEF1F3"/>
      </patternFill>
    </fill>
    <fill>
      <patternFill patternType="solid">
        <fgColor rgb="0012706E"/>
      </patternFill>
    </fill>
    <fill>
      <patternFill patternType="solid">
        <fgColor rgb="00E4EDF6"/>
      </patternFill>
    </fill>
    <fill>
      <patternFill patternType="solid">
        <fgColor rgb="00E8F1EC"/>
      </patternFill>
    </fill>
    <fill>
      <patternFill patternType="solid">
        <fgColor rgb="00FBF0DC"/>
      </patternFill>
    </fill>
    <fill>
      <patternFill patternType="solid">
        <fgColor rgb="00F3E9F2"/>
      </patternFill>
    </fill>
    <fill>
      <patternFill patternType="solid">
        <fgColor rgb="00EDEFF5"/>
      </patternFill>
    </fill>
    <fill>
      <patternFill patternType="solid">
        <fgColor rgb="00E9F2F2"/>
      </patternFill>
    </fill>
    <fill>
      <patternFill patternType="solid">
        <fgColor rgb="00EFEFEC"/>
      </patternFill>
    </fill>
  </fills>
  <borders count="2">
    <border>
      <left/>
      <right/>
      <top/>
      <bottom/>
      <diagonal/>
    </border>
    <border>
      <left style="thin">
        <color rgb="00C9D2D6"/>
      </left>
      <right style="thin">
        <color rgb="00C9D2D6"/>
      </right>
      <top style="thin">
        <color rgb="00C9D2D6"/>
      </top>
      <bottom style="thin">
        <color rgb="00C9D2D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6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9" fillId="4" borderId="1" pivotButton="0" quotePrefix="0" xfId="0"/>
    <xf numFmtId="0" fontId="10" fillId="0" borderId="0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164" fontId="1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vertical="top" wrapText="1"/>
    </xf>
    <xf numFmtId="3" fontId="11" fillId="5" borderId="1" pivotButton="0" quotePrefix="0" xfId="0"/>
    <xf numFmtId="165" fontId="11" fillId="5" borderId="1" pivotButton="0" quotePrefix="0" xfId="0"/>
    <xf numFmtId="0" fontId="5" fillId="0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164" fontId="9" fillId="4" borderId="1" pivotButton="0" quotePrefix="0" xfId="0"/>
    <xf numFmtId="164" fontId="11" fillId="5" borderId="1" pivotButton="0" quotePrefix="0" xfId="0"/>
    <xf numFmtId="165" fontId="9" fillId="4" borderId="1" pivotButton="0" quotePrefix="0" xfId="0"/>
    <xf numFmtId="3" fontId="9" fillId="4" borderId="1" pivotButton="0" quotePrefix="0" xfId="0"/>
    <xf numFmtId="0" fontId="11" fillId="5" borderId="1" pivotButton="0" quotePrefix="0" xfId="0"/>
    <xf numFmtId="4" fontId="9" fillId="4" borderId="1" pivotButton="0" quotePrefix="0" xfId="0"/>
    <xf numFmtId="0" fontId="4" fillId="0" borderId="0" applyAlignment="1" pivotButton="0" quotePrefix="0" xfId="0">
      <alignment wrapText="1"/>
    </xf>
    <xf numFmtId="164" fontId="10" fillId="0" borderId="0" pivotButton="0" quotePrefix="0" xfId="0"/>
    <xf numFmtId="3" fontId="5" fillId="5" borderId="1" pivotButton="0" quotePrefix="0" xfId="0"/>
    <xf numFmtId="0" fontId="12" fillId="0" borderId="0" applyAlignment="1" pivotButton="0" quotePrefix="0" xfId="0">
      <alignment vertical="center" wrapText="1"/>
    </xf>
    <xf numFmtId="165" fontId="5" fillId="5" borderId="1" pivotButton="0" quotePrefix="0" xfId="0"/>
    <xf numFmtId="0" fontId="11" fillId="5" borderId="1" applyAlignment="1" pivotButton="0" quotePrefix="0" xfId="0">
      <alignment horizontal="center"/>
    </xf>
    <xf numFmtId="4" fontId="5" fillId="5" borderId="1" pivotButton="0" quotePrefix="0" xfId="0"/>
    <xf numFmtId="4" fontId="11" fillId="5" borderId="1" pivotButton="0" quotePrefix="0" xfId="0"/>
    <xf numFmtId="2" fontId="5" fillId="5" borderId="1" pivotButton="0" quotePrefix="0" xfId="0"/>
    <xf numFmtId="2" fontId="11" fillId="5" borderId="1" pivotButton="0" quotePrefix="0" xfId="0"/>
    <xf numFmtId="3" fontId="1" fillId="4" borderId="1" applyAlignment="1" pivotButton="0" quotePrefix="0" xfId="0">
      <alignment vertical="top" wrapText="1"/>
    </xf>
    <xf numFmtId="165" fontId="1" fillId="4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3" fontId="0" fillId="5" borderId="1" pivotButton="0" quotePrefix="0" xfId="0"/>
    <xf numFmtId="165" fontId="0" fillId="5" borderId="1" pivotButton="0" quotePrefix="0" xfId="0"/>
    <xf numFmtId="0" fontId="6" fillId="5" borderId="1" applyAlignment="1" pivotButton="0" quotePrefix="0" xfId="0">
      <alignment vertical="center" wrapText="1"/>
    </xf>
    <xf numFmtId="0" fontId="10" fillId="0" borderId="0" pivotButton="0" quotePrefix="0" xfId="0"/>
    <xf numFmtId="0" fontId="2" fillId="2" borderId="0" applyAlignment="1" pivotButton="0" quotePrefix="0" xfId="0">
      <alignment horizontal="center"/>
    </xf>
    <xf numFmtId="0" fontId="11" fillId="5" borderId="1" applyAlignment="1" pivotButton="0" quotePrefix="0" xfId="0">
      <alignment vertical="top" wrapText="1"/>
    </xf>
    <xf numFmtId="3" fontId="11" fillId="5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2" borderId="0" applyAlignment="1" pivotButton="0" quotePrefix="0" xfId="0">
      <alignment horizontal="center" wrapText="1"/>
    </xf>
    <xf numFmtId="166" fontId="12" fillId="5" borderId="1" pivotButton="0" quotePrefix="0" xfId="0"/>
    <xf numFmtId="0" fontId="12" fillId="5" borderId="1" pivotButton="0" quotePrefix="0" xfId="0"/>
    <xf numFmtId="3" fontId="12" fillId="5" borderId="1" pivotButton="0" quotePrefix="0" xfId="0"/>
    <xf numFmtId="165" fontId="12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dxfs count="13">
    <dxf>
      <fill>
        <patternFill patternType="solid">
          <fgColor rgb="00D6F0D6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BCE3BC"/>
        </patternFill>
      </fill>
    </dxf>
    <dxf>
      <font>
        <b val="1"/>
        <color rgb="009C2A2A"/>
      </font>
      <fill>
        <patternFill patternType="solid">
          <fgColor rgb="00FBD7D7"/>
        </patternFill>
      </fill>
    </dxf>
    <dxf>
      <font>
        <color rgb="00B02A37"/>
      </font>
    </dxf>
    <dxf>
      <font>
        <color rgb="001B7A3D"/>
      </font>
    </dxf>
    <dxf>
      <fill>
        <patternFill patternType="solid">
          <fgColor rgb="00FDE2C8"/>
        </patternFill>
      </fill>
    </dxf>
    <dxf>
      <fill>
        <patternFill patternType="solid">
          <fgColor rgb="00FBE3C2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DEDED"/>
        </patternFill>
      </fill>
    </dxf>
    <dxf>
      <font>
        <b val="1"/>
        <color rgb="009C2A2A"/>
      </font>
      <fill>
        <patternFill patternType="solid">
          <fgColor rgb="00F8D7DA"/>
        </patternFill>
      </fill>
    </dxf>
    <dxf>
      <font>
        <b val="1"/>
        <color rgb="008A6D1F"/>
      </font>
      <fill>
        <patternFill patternType="solid">
          <fgColor rgb="00FFF3CD"/>
        </patternFill>
      </fill>
    </dxf>
    <dxf>
      <font>
        <b val="1"/>
        <color rgb="005B677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Venit net și profit brut, pe lună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'41_GRAFICE'!C60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'41_GRAFICE'!$B$61:$B$72</f>
            </strRef>
          </cat>
          <val>
            <numRef>
              <f>'41_GRAFICE'!$C$61:$C$72</f>
            </numRef>
          </val>
        </ser>
        <ser>
          <idx val="1"/>
          <order val="1"/>
          <tx>
            <strRef>
              <f>'41_GRAFICE'!D60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strRef>
              <f>'41_GRAFICE'!$B$61:$B$72</f>
            </strRef>
          </cat>
          <val>
            <numRef>
              <f>'41_GRAFICE'!$D$61:$D$72</f>
            </numRef>
          </val>
        </ser>
        <gapWidth val="60"/>
        <overlap val="-10"/>
        <axId val="10"/>
        <axId val="100"/>
      </barChart>
      <lineChart>
        <grouping val="standard"/>
        <ser>
          <idx val="2"/>
          <order val="2"/>
          <tx>
            <strRef>
              <f>'41_GRAFICE'!E60</f>
            </strRef>
          </tx>
          <spPr>
            <a:ln w="25400">
              <a:solidFill>
                <a:srgbClr val="8987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'41_GRAFICE'!$E$61:$E$72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Marjă brută %, pe lună</a:t>
            </a:r>
          </a:p>
        </rich>
      </tx>
    </title>
    <plotArea>
      <lineChart>
        <grouping val="standard"/>
        <ser>
          <idx val="0"/>
          <order val="0"/>
          <tx>
            <strRef>
              <f>'41_GRAFICE'!F60</f>
            </strRef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'41_GRAFICE'!$B$61:$B$72</f>
            </strRef>
          </cat>
          <val>
            <numRef>
              <f>'41_GRAFICE'!$F$61:$F$72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clienți după venit (perioada curentă)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'41_GRAFICE'!I60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'41_GRAFICE'!$H$61:$H$70</f>
            </strRef>
          </cat>
          <val>
            <numRef>
              <f>'41_GRAFICE'!$I$61:$I$70</f>
            </numRef>
          </val>
        </ser>
        <dLbls>
          <numFmt formatCode="#,##0"/>
          <showVal val="1"/>
        </dLbls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b"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produse după venit (perioada curentă)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'41_GRAFICE'!L60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'41_GRAFICE'!$K$61:$K$70</f>
            </strRef>
          </cat>
          <val>
            <numRef>
              <f>'41_GRAFICE'!$L$61:$L$70</f>
            </numRef>
          </val>
        </ser>
        <dLbls>
          <numFmt formatCode="#,##0"/>
          <showVal val="1"/>
        </dLbls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b"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Structura răspunsurilor NPS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'41_GRAFICE'!O60</f>
            </strRef>
          </tx>
          <spPr>
            <a:solidFill>
              <a:srgbClr val="0CA30C"/>
            </a:solidFill>
            <a:ln>
              <a:noFill/>
              <a:prstDash val="solid"/>
            </a:ln>
          </spPr>
          <dPt>
            <idx val="0"/>
            <spPr>
              <a:solidFill>
                <a:srgbClr val="0CA30C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FAB219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D03B3B"/>
              </a:solidFill>
              <a:ln>
                <a:noFill/>
                <a:prstDash val="solid"/>
              </a:ln>
            </spPr>
          </dPt>
          <cat>
            <strRef>
              <f>'41_GRAFICE'!$N$61:$N$63</f>
            </strRef>
          </cat>
          <val>
            <numRef>
              <f>'41_GRAFICE'!$O$61:$O$63</f>
            </numRef>
          </val>
        </ser>
        <dLbls>
          <showVal val="1"/>
        </dLbls>
        <gapWidth val="8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Valoarea ponderată a oportunităților, pe prioritate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'41_GRAFICE'!R60</f>
            </strRef>
          </tx>
          <spPr>
            <a:solidFill>
              <a:srgbClr val="1C5CAB"/>
            </a:solidFill>
            <a:ln>
              <a:noFill/>
              <a:prstDash val="solid"/>
            </a:ln>
          </spPr>
          <dPt>
            <idx val="0"/>
            <spPr>
              <a:solidFill>
                <a:srgbClr val="1C5CA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2A78D6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86B6EF"/>
              </a:solidFill>
              <a:ln>
                <a:noFill/>
                <a:prstDash val="solid"/>
              </a:ln>
            </spPr>
          </dPt>
          <cat>
            <strRef>
              <f>'41_GRAFICE'!$Q$61:$Q$63</f>
            </strRef>
          </cat>
          <val>
            <numRef>
              <f>'41_GRAFICE'!$R$61:$R$63</f>
            </numRef>
          </val>
        </ser>
        <dLbls>
          <numFmt formatCode="#,##0"/>
          <showVal val="1"/>
        </dLbls>
        <gapWidth val="8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EQUIL</author>
  </authors>
  <commentList>
    <comment ref="A4" authorId="0" shapeId="0">
      <text>
        <t>ID client (Customer_ID)
Cod unic de client, exact cum apare în ERP/CRM. Se folosește în foaia de vânzări.
Obligatoriu: Obligatoriu
Sursă tipică: ERP / Facturare
Cine îl poate da: IT / ERP
Exemplu: C001</t>
      </text>
    </comment>
    <comment ref="B4" authorId="0" shapeId="0">
      <text>
        <t>Denumire client (Customer_Name)
Denumirea comercială a clientului.
Obligatoriu: Obligatoriu
Sursă tipică: ERP / Facturare
Cine îl poate da: Director Vânzări
Exemplu: Alfa Distribution SRL</t>
      </text>
    </comment>
    <comment ref="C4" authorId="0" shapeId="0">
      <text>
        <t>Segment (Segment)
Segmentul de client (ex. Key Account, Mid, Small, Online).
Obligatoriu: Recomandat
Sursă tipică: CRM
Cine îl poate da: Director Vânzări
Exemplu: Key Account</t>
      </text>
    </comment>
    <comment ref="D4" authorId="0" shapeId="0">
      <text>
        <t>Canal (Channel)
Canalul prin care se vinde: Retail, Wholesale, Online, Direct, Partener.
Obligatoriu: Recomandat
Sursă tipică: CRM
Cine îl poate da: Director Vânzări
Exemplu: Wholesale</t>
      </text>
    </comment>
    <comment ref="E4" authorId="0" shapeId="0">
      <text>
        <t>Regiune / Țară (Region)
Regiunea sau țara clientului.
Obligatoriu: Recomandat
Sursă tipică: ERP / Facturare
Cine îl poate da: Sales Ops / CRM
Exemplu: București-Ilfov</t>
      </text>
    </comment>
    <comment ref="F4" authorId="0" shapeId="0">
      <text>
        <t>Țară (Country)
Cod țară (RO, HU, BG...).
Obligatoriu: Opțional
Sursă tipică: ERP / Facturare
Cine îl poate da: Sales Ops / CRM
Exemplu: RO</t>
      </text>
    </comment>
    <comment ref="G4" authorId="0" shapeId="0">
      <text>
        <t>ID responsabil cont (Account_Owner_ID)
ID-ul persoanei din 12_OAMENI care răspunde de acest client.
Obligatoriu: Recomandat
Sursă tipică: CRM
Cine îl poate da: Director Vânzări
Exemplu: S001</t>
      </text>
    </comment>
    <comment ref="H4" authorId="0" shapeId="0">
      <text>
        <t>Client din data (Customer_Since)
Data primei relații comerciale.
Obligatoriu: Recomandat
Sursă tipică: ERP / Facturare
Cine îl poate da: Sales Ops / CRM
Exemplu: 2021-03-15</t>
      </text>
    </comment>
    <comment ref="I4" authorId="0" shapeId="0">
      <text>
        <t>Status (Status)
Activ / Inactiv / Prospect / Pierdut.
Obligatoriu: Recomandat
Sursă tipică: CRM
Cine îl poate da: Director Vânzări
Exemplu: Activ</t>
      </text>
    </comment>
    <comment ref="J4" authorId="0" shapeId="0">
      <text>
        <t>Termen plată (zile) (Payment_Terms_Days)
Termenul de plată agreat, în zile.
Obligatoriu: Opțional
Sursă tipică: Balanță / Contabilitate
Cine îl poate da: CFO / Contabilitate
Exemplu: 30</t>
      </text>
    </comment>
    <comment ref="K4" authorId="0" shapeId="0">
      <text>
        <t>Limită credit (Credit_Limit)
Plafonul de credit acordat.
Obligatoriu: Opțional
Sursă tipică: Balanță / Contabilitate
Cine îl poate da: CFO / Contabilitate
Exemplu: 50000</t>
      </text>
    </comment>
    <comment ref="L4" authorId="0" shapeId="0">
      <text>
        <t>Observații (Notes)
Context util: istoric, relație, riscuri cunoscute.
Obligatoriu: Opțional
Sursă tipică: Interviu / Workshop
Cine îl poate da: Director Vânzări
Exemplu: Renegociere contract în T3</t>
      </text>
    </comment>
  </commentList>
</comments>
</file>

<file path=xl/comments/comment2.xml><?xml version="1.0" encoding="utf-8"?>
<comments xmlns="http://schemas.openxmlformats.org/spreadsheetml/2006/main">
  <authors>
    <author>EQUIL</author>
  </authors>
  <commentList>
    <comment ref="A4" authorId="0" shapeId="0">
      <text>
        <t>ID produs (Product_ID)
Cod unic de produs/serviciu (SKU), exact ca în ERP.
Obligatoriu: Obligatoriu
Sursă tipică: ERP / Facturare
Cine îl poate da: IT / ERP
Exemplu: P001</t>
      </text>
    </comment>
    <comment ref="B4" authorId="0" shapeId="0">
      <text>
        <t>Denumire produs (Product_Name)
Denumirea produsului sau serviciului.
Obligatoriu: Obligatoriu
Sursă tipică: ERP / Facturare
Cine îl poate da: Operațiuni / Logistică
Exemplu: Serviciu mentenanță Premium</t>
      </text>
    </comment>
    <comment ref="C4" authorId="0" shapeId="0">
      <text>
        <t>Categorie (Category)
Categoria/linia de business.
Obligatoriu: Recomandat
Sursă tipică: ERP / Facturare
Cine îl poate da: Operațiuni / Logistică
Exemplu: Servicii recurente</t>
      </text>
    </comment>
    <comment ref="D4" authorId="0" shapeId="0">
      <text>
        <t>Subcategorie (Subcategory)
Nivel suplimentar de grupare, dacă există.
Obligatoriu: Opțional
Sursă tipică: ERP / Facturare
Cine îl poate da: Operațiuni / Logistică
Exemplu: Contracte anuale</t>
      </text>
    </comment>
    <comment ref="E4" authorId="0" shapeId="0">
      <text>
        <t>Preț de listă (List_Price)
Prețul standard de listă, fără TVA.
Obligatoriu: Recomandat
Sursă tipică: Excel intern
Cine îl poate da: Director Vânzări
Exemplu: 1200</t>
      </text>
    </comment>
    <comment ref="F4" authorId="0" shapeId="0">
      <text>
        <t>Cost standard (Standard_Cost)
Costul unitar standard (COGS).
Obligatoriu: Recomandat
Sursă tipică: Balanță / Contabilitate
Cine îl poate da: CFO / Contabilitate
Exemplu: 760</t>
      </text>
    </comment>
    <comment ref="G4" authorId="0" shapeId="0">
      <text>
        <t>Recurent (Da/Nu) (Is_Recurring)
Produs recurent/abonament sau vânzare unică.
Obligatoriu: Opțional
Sursă tipică: Excel intern
Cine îl poate da: Director Vânzări
Exemplu: Da</t>
      </text>
    </comment>
    <comment ref="H4" authorId="0" shapeId="0">
      <text>
        <t>Data lansării (Launch_Date)
Când a fost lansat produsul.
Obligatoriu: Opțional
Sursă tipică: Excel intern
Cine îl poate da: Marketing
Exemplu: 2024-09-01</t>
      </text>
    </comment>
    <comment ref="I4" authorId="0" shapeId="0">
      <text>
        <t>Status (Status)
Activ / Retras / În pilot.
Obligatoriu: Opțional
Sursă tipică: Excel intern
Cine îl poate da: Operațiuni / Logistică
Exemplu: Activ</t>
      </text>
    </comment>
  </commentList>
</comments>
</file>

<file path=xl/comments/comment3.xml><?xml version="1.0" encoding="utf-8"?>
<comments xmlns="http://schemas.openxmlformats.org/spreadsheetml/2006/main">
  <authors>
    <author>EQUIL</author>
  </authors>
  <commentList>
    <comment ref="A4" authorId="0" shapeId="0">
      <text>
        <t>ID persoană (Person_ID)
Cod intern al persoanei (nu CNP, nu date personale sensibile).
Obligatoriu: Obligatoriu
Sursă tipică: HR / State de plată
Cine îl poate da: HR / Resurse Umane
Exemplu: S001</t>
      </text>
    </comment>
    <comment ref="B4" authorId="0" shapeId="0">
      <text>
        <t>Nume (Person_Name)
Nume și prenume sau inițiale, dacă se preferă anonimizarea.
Obligatoriu: Obligatoriu
Sursă tipică: HR / State de plată
Cine îl poate da: HR / Resurse Umane
Exemplu: Ana P.</t>
      </text>
    </comment>
    <comment ref="C4" authorId="0" shapeId="0">
      <text>
        <t>Rol (Role)
Rolul: Sales, Key Account, Customer Service, Operațiuni, Management.
Obligatoriu: Obligatoriu
Sursă tipică: HR / State de plată
Cine îl poate da: HR / Resurse Umane
Exemplu: Key Account Manager</t>
      </text>
    </comment>
    <comment ref="D4" authorId="0" shapeId="0">
      <text>
        <t>Echipă (Team)
Echipa sau departamentul.
Obligatoriu: Recomandat
Sursă tipică: HR / State de plată
Cine îl poate da: HR / Resurse Umane
Exemplu: Vânzări B2B</t>
      </text>
    </comment>
    <comment ref="E4" authorId="0" shapeId="0">
      <text>
        <t>FTE (normă) (FTE)
Fracțiune de normă: 1 = full-time, 0.5 = jumătate de normă.
Obligatoriu: Obligatoriu
Sursă tipică: HR / State de plată
Cine îl poate da: HR / Resurse Umane
Exemplu: 1</t>
      </text>
    </comment>
    <comment ref="F4" authorId="0" shapeId="0">
      <text>
        <t>Data angajării (Start_Date)
Data intrării în echipă.
Obligatoriu: Recomandat
Sursă tipică: HR / State de plată
Cine îl poate da: HR / Resurse Umane
Exemplu: 2023-02-01</t>
      </text>
    </comment>
    <comment ref="G4" authorId="0" shapeId="0">
      <text>
        <t xml:space="preserve">Data plecării (Exit_Date)
Se lasă gol dacă persoana este activă.
Obligatoriu: Recomandat
Sursă tipică: HR / State de plată
Cine îl poate da: HR / Resurse Umane
Exemplu: </t>
      </text>
    </comment>
    <comment ref="H4" authorId="0" shapeId="0">
      <text>
        <t>Cost anual total (Annual_Cost)
Cost total angajator pe an (opțional, se poate da agregat pe echipă).
Obligatoriu: Opțional
Sursă tipică: HR / State de plată
Cine îl poate da: CFO / Contabilitate
Exemplu: 96000</t>
      </text>
    </comment>
    <comment ref="I4" authorId="0" shapeId="0">
      <text>
        <t>Are țintă (Da/Nu) (Is_Quota_Carrying)
Dacă persoana are țintă de vânzări.
Obligatoriu: Recomandat
Sursă tipică: Director Vânzări
Cine îl poate da: Director Vânzări
Exemplu: Da</t>
      </text>
    </comment>
  </commentList>
</comments>
</file>

<file path=xl/comments/comment4.xml><?xml version="1.0" encoding="utf-8"?>
<comments xmlns="http://schemas.openxmlformats.org/spreadsheetml/2006/main">
  <authors>
    <author>EQUIL</author>
  </authors>
  <commentList>
    <comment ref="A4" authorId="0" shapeId="0">
      <text>
        <t>Data document (Doc_Date)
Data facturii sau a lunii de raportare. O linie = o combinație client × produs × perioadă.
Obligatoriu: Obligatoriu
Sursă tipică: ERP / Facturare
Cine îl poate da: CFO / Contabilitate
Exemplu: 2026-01-31</t>
      </text>
    </comment>
    <comment ref="B4" authorId="0" shapeId="0">
      <text>
        <t>Perioadă (AAAA-LL) (Period)
Se calculează automat din data documentului.
Obligatoriu: Auto
Sursă tipică: Calculat automat
Cine îl poate da: EQUIL (calculat)
Exemplu: 2026-01</t>
      </text>
    </comment>
    <comment ref="C4" authorId="0" shapeId="0">
      <text>
        <t>Tip document (Doc_Type)
Factură / Storno / Avans. Stornările se trec cu valori negative.
Obligatoriu: Recomandat
Sursă tipică: ERP / Facturare
Cine îl poate da: CFO / Contabilitate
Exemplu: Factură</t>
      </text>
    </comment>
    <comment ref="D4" authorId="0" shapeId="0">
      <text>
        <t>ID client (Customer_ID)
Trebuie să existe în 10_CLIENTI.
Obligatoriu: Obligatoriu
Sursă tipică: ERP / Facturare
Cine îl poate da: IT / ERP
Exemplu: C001</t>
      </text>
    </comment>
    <comment ref="E4" authorId="0" shapeId="0">
      <text>
        <t>ID produs (Product_ID)
Trebuie să existe în 11_PRODUSE.
Obligatoriu: Obligatoriu
Sursă tipică: ERP / Facturare
Cine îl poate da: IT / ERP
Exemplu: P001</t>
      </text>
    </comment>
    <comment ref="F4" authorId="0" shapeId="0">
      <text>
        <t>ID persoană vânzări (Person_ID)
Cine a făcut vânzarea; trebuie să existe în 12_OAMENI.
Obligatoriu: Recomandat
Sursă tipică: CRM
Cine îl poate da: Sales Ops / CRM
Exemplu: S001</t>
      </text>
    </comment>
    <comment ref="G4" authorId="0" shapeId="0">
      <text>
        <t>Cantitate (Units)
Număr de unități / ore / licențe.
Obligatoriu: Recomandat
Sursă tipică: ERP / Facturare
Cine îl poate da: IT / ERP
Exemplu: 100</t>
      </text>
    </comment>
    <comment ref="H4" authorId="0" shapeId="0">
      <text>
        <t>Venit net (Revenue_Net)
Venit fără TVA, după discount.
Obligatoriu: Obligatoriu
Sursă tipică: ERP / Facturare
Cine îl poate da: CFO / Contabilitate
Exemplu: 10000</t>
      </text>
    </comment>
    <comment ref="I4" authorId="0" shapeId="0">
      <text>
        <t>Valoare discount (Discount_Value)
Discountul acordat, în valoare absolută.
Obligatoriu: Opțional
Sursă tipică: ERP / Facturare
Cine îl poate da: CFO / Contabilitate
Exemplu: 800</t>
      </text>
    </comment>
    <comment ref="J4" authorId="0" shapeId="0">
      <text>
        <t>Cost direct (COGS) (COGS)
Costul direct aferent vânzării.
Obligatoriu: Obligatoriu
Sursă tipică: Balanță / Contabilitate
Cine îl poate da: CFO / Contabilitate
Exemplu: 7500</t>
      </text>
    </comment>
    <comment ref="K4" authorId="0" shapeId="0">
      <text>
        <t>Profit brut (Gross_Profit)
Se calculează automat: Venit net − COGS.
Obligatoriu: Auto
Sursă tipică: Calculat automat
Cine îl poate da: EQUIL (calculat)
Exemplu: 2500</t>
      </text>
    </comment>
    <comment ref="L4" authorId="0" shapeId="0">
      <text>
        <t>Marjă % (Margin_Pct)
Se calculează automat: Profit brut / Venit net.
Obligatoriu: Auto
Sursă tipică: Calculat automat
Cine îl poate da: EQUIL (calculat)
Exemplu: 25%</t>
      </text>
    </comment>
    <comment ref="M4" authorId="0" shapeId="0">
      <text>
        <t>Denumire client (Customer_Name)
Se aduce automat din 10_CLIENTI.
Obligatoriu: Auto
Sursă tipică: Calculat automat
Cine îl poate da: EQUIL (calculat)
Exemplu: Alfa Distribution SRL</t>
      </text>
    </comment>
    <comment ref="N4" authorId="0" shapeId="0">
      <text>
        <t>Denumire produs (Product_Name)
Se aduce automat din 11_PRODUSE.
Obligatoriu: Auto
Sursă tipică: Calculat automat
Cine îl poate da: EQUIL (calculat)
Exemplu: Serviciu mentenanță</t>
      </text>
    </comment>
    <comment ref="O4" authorId="0" shapeId="0">
      <text>
        <t>Monedă (Currency)
Moneda documentului. Ideal toate liniile în aceeași monedă.
Obligatoriu: Recomandat
Sursă tipică: ERP / Facturare
Cine îl poate da: CFO / Contabilitate
Exemplu: RON</t>
      </text>
    </comment>
    <comment ref="P4" authorId="0" shapeId="0">
      <text>
        <t xml:space="preserve">Observații (Notes)
Context pe linie, dacă e nevoie.
Obligatoriu: Opțional
Sursă tipică: Interviu / Workshop
Cine îl poate da: Director Vânzări
Exemplu: </t>
      </text>
    </comment>
  </commentList>
</comments>
</file>

<file path=xl/comments/comment5.xml><?xml version="1.0" encoding="utf-8"?>
<comments xmlns="http://schemas.openxmlformats.org/spreadsheetml/2006/main">
  <authors>
    <author>EQUIL</author>
  </authors>
  <commentList>
    <comment ref="A4" authorId="0" shapeId="0">
      <text>
        <t>Perioadă (data) (Period_Date)
Ultima zi a lunii/trimestrului pentru care e stabilită ținta.
Obligatoriu: Obligatoriu
Sursă tipică: Excel intern
Cine îl poate da: CFO / Contabilitate
Exemplu: 2026-01-31</t>
      </text>
    </comment>
    <comment ref="B4" authorId="0" shapeId="0">
      <text>
        <t>Nivel țintă (Scope)
Companie / Persoană / Produs / Client.
Obligatoriu: Obligatoriu
Sursă tipică: Excel intern
Cine îl poate da: Director Vânzări
Exemplu: Companie</t>
      </text>
    </comment>
    <comment ref="C4" authorId="0" shapeId="0">
      <text>
        <t>ID nivel (Scope_ID)
Se lasă gol pentru Companie; altfel ID-ul persoanei/produsului/clientului.
Obligatoriu: Recomandat
Sursă tipică: Excel intern
Cine îl poate da: Director Vânzări
Exemplu: S001</t>
      </text>
    </comment>
    <comment ref="D4" authorId="0" shapeId="0">
      <text>
        <t>Indicator (Metric)
Venit / Profit brut / Unități.
Obligatoriu: Obligatoriu
Sursă tipică: Excel intern
Cine îl poate da: CFO / Contabilitate
Exemplu: Venit</t>
      </text>
    </comment>
    <comment ref="E4" authorId="0" shapeId="0">
      <text>
        <t>Valoare țintă (Target_Value)
Valoarea planificată pentru perioada respectivă.
Obligatoriu: Obligatoriu
Sursă tipică: Excel intern
Cine îl poate da: CFO / Contabilitate
Exemplu: 120000</t>
      </text>
    </comment>
    <comment ref="F4" authorId="0" shapeId="0">
      <text>
        <t>Observații (Notes)
Ipoteze, revizuiri de buget.
Obligatoriu: Opțional
Sursă tipică: Interviu / Workshop
Cine îl poate da: CFO / Contabilitate
Exemplu: Buget revizuit în T2</t>
      </text>
    </comment>
  </commentList>
</comments>
</file>

<file path=xl/comments/comment6.xml><?xml version="1.0" encoding="utf-8"?>
<comments xmlns="http://schemas.openxmlformats.org/spreadsheetml/2006/main">
  <authors>
    <author>EQUIL</author>
  </authors>
  <commentList>
    <comment ref="A4" authorId="0" shapeId="0">
      <text>
        <t>ID răspuns (Response_ID)
Cod unic al răspunsului.
Obligatoriu: Obligatoriu
Sursă tipică: Chestionar NPS
Cine îl poate da: Marketing
Exemplu: R0001</t>
      </text>
    </comment>
    <comment ref="B4" authorId="0" shapeId="0">
      <text>
        <t>Data răspunsului (Survey_Date)
Data la care s-a primit răspunsul.
Obligatoriu: Obligatoriu
Sursă tipică: Chestionar NPS
Cine îl poate da: Marketing
Exemplu: 2026-02-10</t>
      </text>
    </comment>
    <comment ref="C4" authorId="0" shapeId="0">
      <text>
        <t>ID client (Customer_ID)
Clientul care a răspuns; trebuie să existe în 10_CLIENTI.
Obligatoriu: Obligatoriu
Sursă tipică: Chestionar NPS
Cine îl poate da: Customer Service
Exemplu: C001</t>
      </text>
    </comment>
    <comment ref="D4" authorId="0" shapeId="0">
      <text>
        <t>Nume respondent (Respondent_Name)
Persoana care a răspuns (dacă e permis de GDPR să fie nominalizată).
Obligatoriu: Recomandat
Sursă tipică: Chestionar NPS
Cine îl poate da: Customer Service
Exemplu: Mihai I.</t>
      </text>
    </comment>
    <comment ref="E4" authorId="0" shapeId="0">
      <text>
        <t>Rol respondent (Respondent_Role)
Rolul persoanei: decident, utilizator, achiziții.
Obligatoriu: Recomandat
Sursă tipică: Chestionar NPS
Cine îl poate da: Customer Service
Exemplu: Decident</t>
      </text>
    </comment>
    <comment ref="F4" authorId="0" shapeId="0">
      <text>
        <t>Scor NPS (0-10) (Score)
Răspunsul la întrebarea „Cât de probabil ne-ați recomanda?”, de la 0 la 10.
Obligatoriu: Obligatoriu
Sursă tipică: Chestionar NPS
Cine îl poate da: Marketing
Exemplu: 9</t>
      </text>
    </comment>
    <comment ref="G4" authorId="0" shapeId="0">
      <text>
        <t>Categorie (NPS_Category)
Se calculează automat: Promotor (9-10) / Pasiv (7-8) / Detractor (0-6).
Obligatoriu: Auto
Sursă tipică: Calculat automat
Cine îl poate da: EQUIL (calculat)
Exemplu: Promotor</t>
      </text>
    </comment>
    <comment ref="H4" authorId="0" shapeId="0">
      <text>
        <t>Motivul scorului (Reason)
Comentariul liber al respondentului — cea mai valoroasă informație calitativă.
Obligatoriu: Recomandat
Sursă tipică: Chestionar NPS
Cine îl poate da: Customer Service
Exemplu: Livrări întârziate în ianuarie</t>
      </text>
    </comment>
    <comment ref="I4" authorId="0" shapeId="0">
      <text>
        <t>Temă (Theme)
Tema principală: Preț / Calitate / Livrare / Suport / Produs / Relație.
Obligatoriu: Recomandat
Sursă tipică: Chestionar NPS
Cine îl poate da: Customer Service
Exemplu: Livrare</t>
      </text>
    </comment>
    <comment ref="J4" authorId="0" shapeId="0">
      <text>
        <t>Canal colectare (Channel)
Email / Telefon / Față în față / Formular web.
Obligatoriu: Opțional
Sursă tipică: Chestionar NPS
Cine îl poate da: Marketing
Exemplu: Email</t>
      </text>
    </comment>
    <comment ref="K4" authorId="0" shapeId="0">
      <text>
        <t>Val / campanie (Survey_Wave)
Identificatorul valului de măsurare.
Obligatoriu: Opțional
Sursă tipică: Chestionar NPS
Cine îl poate da: Marketing
Exemplu: 2026-T1</t>
      </text>
    </comment>
    <comment ref="L4" authorId="0" shapeId="0">
      <text>
        <t>Responsabil follow-up (Follow_Up_Owner)
Cine preia clientul după răspuns.
Obligatoriu: Recomandat
Sursă tipică: CRM
Cine îl poate da: Director Vânzări
Exemplu: S001</t>
      </text>
    </comment>
    <comment ref="M4" authorId="0" shapeId="0">
      <text>
        <t>Status follow-up (Follow_Up_Status)
Neînceput / În lucru / Rezolvat.
Obligatoriu: Recomandat
Sursă tipică: CRM
Cine îl poate da: Customer Service
Exemplu: În lucru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12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612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612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39</row>
      <rowOff>0</rowOff>
    </from>
    <ext cx="612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  <col width="30" customWidth="1" min="3" max="3"/>
  </cols>
  <sheetData>
    <row r="1" ht="26" customHeight="1">
      <c r="A1" s="1" t="inlineStr">
        <is>
          <t>EQUIL GROWTH INTELLIGENCE — v0.2</t>
        </is>
      </c>
    </row>
    <row r="2" ht="16" customHeight="1">
      <c r="A2" s="2" t="inlineStr">
        <is>
          <t>Pachet de colectare a datelor + motor de KPI, semnale și oportunități. Completează doar celulele galbene.</t>
        </is>
      </c>
    </row>
    <row r="3"/>
    <row r="4" ht="30" customHeight="1">
      <c r="A4" s="3" t="inlineStr">
        <is>
          <t>LA CE FOLOSEȘTE</t>
        </is>
      </c>
      <c r="B4" s="4" t="inlineStr">
        <is>
          <t>Transformă datele brute ale unei firme în KPI, semnale de risc și oportunități de creștere prioritizate, plus un raport gata de prezentat.</t>
        </is>
      </c>
    </row>
    <row r="5" ht="16" customHeight="1">
      <c r="A5" s="5" t="inlineStr">
        <is>
          <t>CUM SE FOLOSEȘTE</t>
        </is>
      </c>
      <c r="B5" s="6" t="inlineStr"/>
    </row>
    <row r="6" ht="30" customHeight="1">
      <c r="A6" s="3" t="inlineStr">
        <is>
          <t>Pas 1 — Profil</t>
        </is>
      </c>
      <c r="B6" s="4" t="inlineStr">
        <is>
          <t>Completează 01_FIRMA în discuția de kickoff. Durează 20 de minute și îți dă contextul pentru tot restul.</t>
        </is>
      </c>
    </row>
    <row r="7" ht="30" customHeight="1">
      <c r="A7" s="3" t="inlineStr">
        <is>
          <t>Pas 2 — Oameni</t>
        </is>
      </c>
      <c r="B7" s="4" t="inlineStr">
        <is>
          <t>Completează 02_CONTACTE: cine, din firmă, deține fiecare set de date. Fără asta, colectarea se blochează.</t>
        </is>
      </c>
    </row>
    <row r="8" ht="30" customHeight="1">
      <c r="A8" s="3" t="inlineStr">
        <is>
          <t>Pas 3 — Cerere date</t>
        </is>
      </c>
      <c r="B8" s="4" t="inlineStr">
        <is>
          <t>Trimite 03_CHECKLIST_DATE. Fiecare rând spune ce câmp ceri, din ce sistem se scoate, cine îl poate da și ce deblochează. Filtrează pe „Obligatoriu” pentru setul minim viabil.</t>
        </is>
      </c>
    </row>
    <row r="9" ht="30" customHeight="1">
      <c r="A9" s="3" t="inlineStr">
        <is>
          <t>Pas 4 — Parametri</t>
        </is>
      </c>
      <c r="B9" s="4" t="inlineStr">
        <is>
          <t>Setează în 09_PARAMETRI perioada analizată, perioada de comparație și pragurile. Toate calculele se recalculează automat.</t>
        </is>
      </c>
    </row>
    <row r="10" ht="30" customHeight="1">
      <c r="A10" s="3" t="inlineStr">
        <is>
          <t>Pas 5 — Import date</t>
        </is>
      </c>
      <c r="B10" s="4" t="inlineStr">
        <is>
          <t>Lipește datele în 10_CLIENTI, 11_PRODUSE, 12_OAMENI, 13_VANZARI, 14_TINTE, 15_NPS. Coloanele gri au formule — nu le suprascrie.</t>
        </is>
      </c>
    </row>
    <row r="11" ht="16" customHeight="1">
      <c r="A11" s="3" t="inlineStr">
        <is>
          <t>Pas 6 — Citește</t>
        </is>
      </c>
      <c r="B11" s="4" t="inlineStr">
        <is>
          <t>Verifică 20_KPI, apoi 21/22/23 pentru semnale pe clienți, produse și oameni.</t>
        </is>
      </c>
    </row>
    <row r="12" ht="30" customHeight="1">
      <c r="A12" s="3" t="inlineStr">
        <is>
          <t>Pas 7 — Prioritizează</t>
        </is>
      </c>
      <c r="B12" s="4" t="inlineStr">
        <is>
          <t>Preia semnalele în 30_OPORTUNITATI. Scor = Impact × Probabilitate × Ușurință. Prioritatea se calculează din pragurile din 09_PARAMETRI.</t>
        </is>
      </c>
    </row>
    <row r="13" ht="16" customHeight="1">
      <c r="A13" s="3" t="inlineStr">
        <is>
          <t>Pas 8 — Prezintă</t>
        </is>
      </c>
      <c r="B13" s="4" t="inlineStr">
        <is>
          <t>40_RAPORT este structura pentru clientul final; se completează singur din foile anterioare.</t>
        </is>
      </c>
    </row>
    <row r="14"/>
    <row r="15" ht="16" customHeight="1">
      <c r="A15" s="5" t="inlineStr">
        <is>
          <t>COD DE CULORI</t>
        </is>
      </c>
      <c r="B15" s="6" t="inlineStr"/>
    </row>
    <row r="16" ht="16" customHeight="1">
      <c r="A16" s="3" t="inlineStr">
        <is>
          <t>Galben</t>
        </is>
      </c>
      <c r="B16" s="4" t="inlineStr">
        <is>
          <t>Celulă de completat (de tine sau de client).</t>
        </is>
      </c>
      <c r="C16" s="7" t="n"/>
    </row>
    <row r="17" ht="16" customHeight="1">
      <c r="A17" s="3" t="inlineStr">
        <is>
          <t>Gri</t>
        </is>
      </c>
      <c r="B17" s="4" t="inlineStr">
        <is>
          <t>Celulă calculată automat. Nu se scrie în ea.</t>
        </is>
      </c>
      <c r="C17" s="8" t="n"/>
    </row>
    <row r="18" ht="16" customHeight="1">
      <c r="A18" s="3" t="inlineStr">
        <is>
          <t>Verde-închis</t>
        </is>
      </c>
      <c r="B18" s="4" t="inlineStr">
        <is>
          <t>Antet de tabel.</t>
        </is>
      </c>
      <c r="C18" s="9" t="n"/>
    </row>
    <row r="19"/>
    <row r="20" ht="30" customHeight="1">
      <c r="A20" s="3" t="inlineStr">
        <is>
          <t>SETUL MINIM VIABIL</t>
        </is>
      </c>
      <c r="B20" s="4" t="inlineStr">
        <is>
          <t>Cu doar 3 lucruri se poate produce un prim raport: (1) vânzări pe 24 de luni cu client, produs, venit net și cost; (2) nomenclatorul de clienți; (3) ținta de venit pe perioadă. Restul îmbogățește analiza.</t>
        </is>
      </c>
    </row>
    <row r="21" ht="16" customHeight="1">
      <c r="A21" s="3" t="inlineStr">
        <is>
          <t>ISTORIC RECOMANDAT</t>
        </is>
      </c>
      <c r="B21" s="4" t="inlineStr">
        <is>
          <t>Minim 13 luni (pentru comparație an/an), ideal 24-36 de luni.</t>
        </is>
      </c>
    </row>
    <row r="22"/>
    <row r="23" ht="16" customHeight="1">
      <c r="A23" s="5" t="inlineStr">
        <is>
          <t>REGULI DE IGIENĂ A DATELOR</t>
        </is>
      </c>
      <c r="B23" s="6" t="inlineStr"/>
    </row>
    <row r="24" ht="16" customHeight="1">
      <c r="A24" s="3" t="inlineStr">
        <is>
          <t>Un ID = o entitate</t>
        </is>
      </c>
      <c r="B24" s="4" t="inlineStr">
        <is>
          <t>Fiecare client și produs are un singur ID, constant în toate foile.</t>
        </is>
      </c>
    </row>
    <row r="25" ht="16" customHeight="1">
      <c r="A25" s="3" t="inlineStr">
        <is>
          <t>Valori fără TVA</t>
        </is>
      </c>
      <c r="B25" s="4" t="inlineStr">
        <is>
          <t>Veniturile și costurile se dau nete, în aceeași monedă.</t>
        </is>
      </c>
    </row>
    <row r="26" ht="16" customHeight="1">
      <c r="A26" s="3" t="inlineStr">
        <is>
          <t>Stornări</t>
        </is>
      </c>
      <c r="B26" s="4" t="inlineStr">
        <is>
          <t>Se trec ca linii separate, cu valori negative.</t>
        </is>
      </c>
    </row>
    <row r="27" ht="16" customHeight="1">
      <c r="A27" s="3" t="inlineStr">
        <is>
          <t>Fără celule „mixte”</t>
        </is>
      </c>
      <c r="B27" s="4" t="inlineStr">
        <is>
          <t>Nu combina text și cifre în aceeași celulă (ex. „12.000 lei” → 12000).</t>
        </is>
      </c>
    </row>
    <row r="28" ht="30" customHeight="1">
      <c r="A28" s="3" t="inlineStr">
        <is>
          <t>Date personale</t>
        </is>
      </c>
      <c r="B28" s="4" t="inlineStr">
        <is>
          <t>Pentru NPS și oameni, folosește inițiale sau ID-uri dacă firma nu a agreat nominalizarea. Semnează NDA înainte de a primi datele.</t>
        </is>
      </c>
    </row>
    <row r="29"/>
    <row r="30" ht="16" customHeight="1">
      <c r="A30" s="5" t="inlineStr">
        <is>
          <t>UN FIȘIER PENTRU FIECARE FIRMĂ</t>
        </is>
      </c>
      <c r="B30" s="6" t="inlineStr"/>
    </row>
    <row r="31" ht="30" customHeight="1">
      <c r="A31" s="3" t="inlineStr">
        <is>
          <t>Regula</t>
        </is>
      </c>
      <c r="B31" s="4" t="inlineStr">
        <is>
          <t>Nu amesteca două firme în același fișier. Păstrezi acest fișier ca șablon nemodificat și faci o copie pentru fiecare client.</t>
        </is>
      </c>
    </row>
    <row r="32" ht="30" customHeight="1">
      <c r="A32" s="3" t="inlineStr">
        <is>
          <t>Cod de firmă</t>
        </is>
      </c>
      <c r="B32" s="4" t="inlineStr">
        <is>
          <t>Fiecare firmă primește un cod în 01_FIRMA (EQ-0001, EQ-0002…). Codul rămâne același pentru totdeauna, chiar dacă firma își schimbă numele.</t>
        </is>
      </c>
    </row>
    <row r="33" ht="30" customHeight="1">
      <c r="A33" s="3" t="inlineStr">
        <is>
          <t>Nume fișier</t>
        </is>
      </c>
      <c r="B33" s="4" t="inlineStr">
        <is>
          <t>EQUIL_&lt;cod&gt;_&lt;NumeFirma&gt;_&lt;AAAA-LL&gt;.xlsx — ex. EQUIL_EQ-0001_AlfaSRL_2026-06.xlsx. Perioada din nume îți spune din ce rulaj e fișierul.</t>
        </is>
      </c>
    </row>
    <row r="34" ht="30" customHeight="1">
      <c r="A34" s="3" t="inlineStr">
        <is>
          <t>Refolosire lunară</t>
        </is>
      </c>
      <c r="B34" s="4" t="inlineStr">
        <is>
          <t>Pentru luna următoare la aceeași firmă: copiază fișierul, schimbă perioada în 09_PARAMETRI și adaugă noile linii de vânzări. Nu ștergi istoricul.</t>
        </is>
      </c>
    </row>
    <row r="35" ht="30" customHeight="1">
      <c r="A35" s="3" t="inlineStr">
        <is>
          <t>Șablonul</t>
        </is>
      </c>
      <c r="B35" s="4" t="inlineStr">
        <is>
          <t>Ține o copie curată, fără date, într-un folder separat („_SABLON”). Din ea pleacă fiecare firmă nouă.</t>
        </is>
      </c>
    </row>
    <row r="36"/>
    <row r="37" ht="16" customHeight="1">
      <c r="A37" s="5" t="inlineStr">
        <is>
          <t>CÂT DUREAZĂ (estimat, prima rulare)</t>
        </is>
      </c>
      <c r="B37" s="6" t="inlineStr"/>
    </row>
    <row r="38" ht="16" customHeight="1">
      <c r="A38" s="3" t="inlineStr">
        <is>
          <t>01_FIRMA</t>
        </is>
      </c>
      <c r="B38" s="4" t="inlineStr">
        <is>
          <t>20-30 min, în discuția de kickoff, împreună cu clientul.</t>
        </is>
      </c>
    </row>
    <row r="39" ht="16" customHeight="1">
      <c r="A39" s="3" t="inlineStr">
        <is>
          <t>02_CONTACTE</t>
        </is>
      </c>
      <c r="B39" s="4" t="inlineStr">
        <is>
          <t>10-15 min, tot la kickoff. Cea mai bună investiție de timp din tot procesul.</t>
        </is>
      </c>
    </row>
    <row r="40" ht="30" customHeight="1">
      <c r="A40" s="3" t="inlineStr">
        <is>
          <t>03_CHECKLIST_DATE</t>
        </is>
      </c>
      <c r="B40" s="4" t="inlineStr">
        <is>
          <t>15 min să-l trimiți și să-l explici. Apoi 3-10 zile lucrătoare de așteptare, cu 2-3 follow-up-uri scurte.</t>
        </is>
      </c>
    </row>
    <row r="41" ht="30" customHeight="1">
      <c r="A41" s="3" t="inlineStr">
        <is>
          <t>Import date</t>
        </is>
      </c>
      <c r="B41" s="4" t="inlineStr">
        <is>
          <t>30-60 min dacă exporturile sunt curate. 2-4 ore dacă trebuie curățate manual (denumiri inconsecvente, valori cu text, ID-uri lipsă).</t>
        </is>
      </c>
    </row>
    <row r="42" ht="16" customHeight="1">
      <c r="A42" s="3" t="inlineStr">
        <is>
          <t>09_PARAMETRI</t>
        </is>
      </c>
      <c r="B42" s="4" t="inlineStr">
        <is>
          <t>5 min. Pragurile se ajustează pe industrie.</t>
        </is>
      </c>
    </row>
    <row r="43" ht="16" customHeight="1">
      <c r="A43" s="3" t="inlineStr">
        <is>
          <t>Citit 20-23</t>
        </is>
      </c>
      <c r="B43" s="4" t="inlineStr">
        <is>
          <t>30-45 min de citit semnalele și de verificat dacă au sens.</t>
        </is>
      </c>
    </row>
    <row r="44" ht="16" customHeight="1">
      <c r="A44" s="3" t="inlineStr">
        <is>
          <t>30_OPORTUNITATI</t>
        </is>
      </c>
      <c r="B44" s="4" t="inlineStr">
        <is>
          <t>45-60 min: transformi semnalele în oportunități, estimezi impactul, pui responsabili.</t>
        </is>
      </c>
    </row>
    <row r="45" ht="16" customHeight="1">
      <c r="A45" s="3" t="inlineStr">
        <is>
          <t>40_RAPORT + grafice</t>
        </is>
      </c>
      <c r="B45" s="4" t="inlineStr">
        <is>
          <t>30-45 min: concluziile automate îți dau schița, tu scrii varianta pentru client.</t>
        </is>
      </c>
    </row>
    <row r="46" ht="30" customHeight="1">
      <c r="A46" s="3" t="inlineStr">
        <is>
          <t>TOTAL munca ta</t>
        </is>
      </c>
      <c r="B46" s="4" t="inlineStr">
        <is>
          <t>aprox. 4-6 ore de lucru efectiv, întinse pe 1-2 săptămâni calendaristice (așteptarea datelor domină).</t>
        </is>
      </c>
    </row>
    <row r="47" ht="16" customHeight="1">
      <c r="A47" s="3" t="inlineStr">
        <is>
          <t>Rulările următoare</t>
        </is>
      </c>
      <c r="B47" s="4" t="inlineStr">
        <is>
          <t>1-1,5 ore pe lună la aceeași firmă: adaugi datele noi, schimbi perioada, reciteşti semnalele.</t>
        </is>
      </c>
    </row>
    <row r="48"/>
    <row r="49" ht="30" customHeight="1">
      <c r="A49" s="3" t="inlineStr">
        <is>
          <t>COMPATIBILITATE</t>
        </is>
      </c>
      <c r="B49" s="4" t="inlineStr">
        <is>
          <t>Fără funcții dinamice (UNIQUE/FILTER/LET/IFS). Funcționează în Excel 2016+, Microsoft 365, LibreOffice Calc și Google Sheets. Nu ai nevoie de o versiune mai nouă de Office pentru acest fișier.</t>
        </is>
      </c>
    </row>
    <row r="50" ht="30" customHeight="1">
      <c r="A50" s="3" t="inlineStr">
        <is>
          <t>LIMITE ACTUALE</t>
        </is>
      </c>
      <c r="B50" s="4" t="inlineStr">
        <is>
          <t>Pre-formatat pentru 1000 de linii de vânzări, 200 de clienți, 100 de produse, 60 de persoane, 500 de răspunsuri NPS. Pentru volume mai mari, trage formulele în jos.</t>
        </is>
      </c>
    </row>
    <row r="51" ht="30" customHeight="1">
      <c r="A51" s="3" t="inlineStr">
        <is>
          <t>URMĂTOAREA VERSIUNE</t>
        </is>
      </c>
      <c r="B51" s="4" t="inlineStr">
        <is>
          <t>Benchmark-uri de industrie, previziune de venit, scor de risc de churn, generare automată a naraţiunii din raport.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58" customWidth="1" min="3" max="3"/>
  </cols>
  <sheetData>
    <row r="1" ht="26" customHeight="1">
      <c r="A1" s="1" t="inlineStr">
        <is>
          <t>01 — PROFILUL FIRMEI</t>
        </is>
      </c>
    </row>
    <row r="2" ht="16" customHeight="1">
      <c r="A2" s="2" t="inlineStr">
        <is>
          <t>Se completează la kickoff, împreună cu clientul. Câmpurile galbene sunt de completat.</t>
        </is>
      </c>
    </row>
    <row r="3"/>
    <row r="4" ht="20" customHeight="1">
      <c r="A4" s="10" t="inlineStr">
        <is>
          <t>IDENTIFICARE</t>
        </is>
      </c>
      <c r="B4" s="11" t="n"/>
      <c r="C4" s="11" t="n"/>
    </row>
    <row r="5">
      <c r="A5" s="12" t="inlineStr">
        <is>
          <t>Cod client EQUIL</t>
        </is>
      </c>
      <c r="B5" s="13" t="inlineStr"/>
      <c r="C5" s="14" t="inlineStr">
        <is>
          <t>ID-ul intern al firmei în portofoliul tău. Format recomandat: EQ-0001, EQ-0002…</t>
        </is>
      </c>
    </row>
    <row r="6">
      <c r="A6" s="12" t="inlineStr">
        <is>
          <t>Denumire legală</t>
        </is>
      </c>
      <c r="B6" s="13" t="inlineStr"/>
      <c r="C6" s="14" t="inlineStr">
        <is>
          <t>Exact ca la Registrul Comerțului.</t>
        </is>
      </c>
    </row>
    <row r="7">
      <c r="A7" s="12" t="inlineStr">
        <is>
          <t>CUI / Cod fiscal</t>
        </is>
      </c>
      <c r="B7" s="13" t="inlineStr"/>
    </row>
    <row r="8">
      <c r="A8" s="12" t="inlineStr">
        <is>
          <t>Nr. Registrul Comerțului</t>
        </is>
      </c>
      <c r="B8" s="13" t="inlineStr"/>
    </row>
    <row r="9">
      <c r="A9" s="12" t="inlineStr">
        <is>
          <t>Site web</t>
        </is>
      </c>
      <c r="B9" s="13" t="inlineStr"/>
    </row>
    <row r="10">
      <c r="A10" s="12" t="inlineStr">
        <is>
          <t>Industrie / CAEN principal</t>
        </is>
      </c>
      <c r="B10" s="13" t="inlineStr"/>
      <c r="C10" s="14" t="inlineStr">
        <is>
          <t>Determină benchmark-urile folosite.</t>
        </is>
      </c>
    </row>
    <row r="11">
      <c r="A11" s="12" t="inlineStr">
        <is>
          <t>Sub-industrie / nișă</t>
        </is>
      </c>
      <c r="B11" s="13" t="inlineStr"/>
    </row>
    <row r="12">
      <c r="A12" s="12" t="inlineStr">
        <is>
          <t>An înființare</t>
        </is>
      </c>
      <c r="B12" s="13" t="inlineStr"/>
    </row>
    <row r="13">
      <c r="A13" s="12" t="inlineStr">
        <is>
          <t>Model de business</t>
        </is>
      </c>
      <c r="B13" s="13" t="inlineStr"/>
      <c r="C13" s="14" t="inlineStr">
        <is>
          <t>B2B / B2C / Mix / Marketplace.</t>
        </is>
      </c>
    </row>
    <row r="14">
      <c r="A14" s="12" t="inlineStr">
        <is>
          <t>Piețe / regiuni acoperite</t>
        </is>
      </c>
      <c r="B14" s="13" t="inlineStr"/>
    </row>
    <row r="15" ht="20" customHeight="1">
      <c r="A15" s="10" t="inlineStr">
        <is>
          <t>DIMENSIUNE</t>
        </is>
      </c>
      <c r="B15" s="11" t="n"/>
      <c r="C15" s="11" t="n"/>
    </row>
    <row r="16">
      <c r="A16" s="12" t="inlineStr">
        <is>
          <t>Număr total angajați</t>
        </is>
      </c>
      <c r="B16" s="13" t="inlineStr"/>
      <c r="C16" s="14" t="inlineStr">
        <is>
          <t>Total, nu doar vânzări.</t>
        </is>
      </c>
    </row>
    <row r="17">
      <c r="A17" s="12" t="inlineStr">
        <is>
          <t>Din care în vânzări</t>
        </is>
      </c>
      <c r="B17" s="13" t="inlineStr"/>
    </row>
    <row r="18">
      <c r="A18" s="12" t="inlineStr">
        <is>
          <t>Cifra de afaceri — ultimul an încheiat</t>
        </is>
      </c>
      <c r="B18" s="13" t="inlineStr"/>
      <c r="C18" s="14" t="inlineStr">
        <is>
          <t>Fără TVA.</t>
        </is>
      </c>
    </row>
    <row r="19">
      <c r="A19" s="12" t="inlineStr">
        <is>
          <t>Profit brut — ultimul an încheiat</t>
        </is>
      </c>
      <c r="B19" s="13" t="inlineStr"/>
    </row>
    <row r="20">
      <c r="A20" s="12" t="inlineStr">
        <is>
          <t>Număr clienți activi</t>
        </is>
      </c>
      <c r="B20" s="13" t="inlineStr"/>
      <c r="C20" s="14" t="inlineStr">
        <is>
          <t>Clienți cu cel puțin o achiziție în ultimele 12 luni.</t>
        </is>
      </c>
    </row>
    <row r="21">
      <c r="A21" s="12" t="inlineStr">
        <is>
          <t>Număr produse / SKU active</t>
        </is>
      </c>
      <c r="B21" s="13" t="inlineStr"/>
    </row>
    <row r="22">
      <c r="A22" s="12" t="inlineStr">
        <is>
          <t>Sezonalitate</t>
        </is>
      </c>
      <c r="B22" s="13" t="inlineStr"/>
      <c r="C22" s="14" t="inlineStr">
        <is>
          <t>Lunile de vârf și lunile slabe.</t>
        </is>
      </c>
    </row>
    <row r="23" ht="20" customHeight="1">
      <c r="A23" s="10" t="inlineStr">
        <is>
          <t>SISTEME ȘI DATE</t>
        </is>
      </c>
      <c r="B23" s="11" t="n"/>
      <c r="C23" s="11" t="n"/>
    </row>
    <row r="24">
      <c r="A24" s="12" t="inlineStr">
        <is>
          <t>ERP / sistem de facturare</t>
        </is>
      </c>
      <c r="B24" s="13" t="inlineStr"/>
      <c r="C24" s="14" t="inlineStr">
        <is>
          <t>Ex. SAGA, WinMentor, SAP, Oracle NetSuite, Smartbill.</t>
        </is>
      </c>
    </row>
    <row r="25">
      <c r="A25" s="12" t="inlineStr">
        <is>
          <t>CRM</t>
        </is>
      </c>
      <c r="B25" s="13" t="inlineStr"/>
      <c r="C25" s="14" t="inlineStr">
        <is>
          <t>Ex. HubSpot, Pipedrive, Salesforce, Excel.</t>
        </is>
      </c>
    </row>
    <row r="26">
      <c r="A26" s="12" t="inlineStr">
        <is>
          <t>Instrument de raportare</t>
        </is>
      </c>
      <c r="B26" s="13" t="inlineStr"/>
      <c r="C26" s="14" t="inlineStr">
        <is>
          <t>Ex. Excel, Power BI, Looker, nimic.</t>
        </is>
      </c>
    </row>
    <row r="27">
      <c r="A27" s="12" t="inlineStr">
        <is>
          <t>Se pot exporta datele în Excel/CSV?</t>
        </is>
      </c>
      <c r="B27" s="13" t="inlineStr"/>
      <c r="C27" s="14" t="inlineStr">
        <is>
          <t>Da / Nu / Parțial — și cine face exportul.</t>
        </is>
      </c>
    </row>
    <row r="28">
      <c r="A28" s="12" t="inlineStr">
        <is>
          <t>Istoric disponibil (luni)</t>
        </is>
      </c>
      <c r="B28" s="13" t="inlineStr"/>
      <c r="C28" s="14" t="inlineStr">
        <is>
          <t>Câte luni de date se pot scoate din sisteme.</t>
        </is>
      </c>
    </row>
    <row r="29">
      <c r="A29" s="12" t="inlineStr">
        <is>
          <t>Se măsoară deja NPS?</t>
        </is>
      </c>
      <c r="B29" s="13" t="inlineStr"/>
      <c r="C29" s="14" t="inlineStr">
        <is>
          <t>Da / Nu. Dacă da, de când și cum.</t>
        </is>
      </c>
    </row>
    <row r="30" ht="20" customHeight="1">
      <c r="A30" s="10" t="inlineStr">
        <is>
          <t>OBIECTIVE ȘI CONTEXT</t>
        </is>
      </c>
      <c r="B30" s="11" t="n"/>
      <c r="C30" s="11" t="n"/>
    </row>
    <row r="31">
      <c r="A31" s="12" t="inlineStr">
        <is>
          <t>Obiectivul principal pe 12 luni</t>
        </is>
      </c>
      <c r="B31" s="13" t="inlineStr"/>
      <c r="C31" s="14" t="inlineStr">
        <is>
          <t>Exprimat în cifre, dacă se poate.</t>
        </is>
      </c>
    </row>
    <row r="32">
      <c r="A32" s="12" t="inlineStr">
        <is>
          <t>Cele 3 provocări majore</t>
        </is>
      </c>
      <c r="B32" s="13" t="inlineStr"/>
    </row>
    <row r="33">
      <c r="A33" s="12" t="inlineStr">
        <is>
          <t>Ce au încercat deja și nu a mers</t>
        </is>
      </c>
      <c r="B33" s="13" t="inlineStr"/>
    </row>
    <row r="34">
      <c r="A34" s="12" t="inlineStr">
        <is>
          <t>Cine ia decizia finală</t>
        </is>
      </c>
      <c r="B34" s="13" t="inlineStr"/>
      <c r="C34" s="14" t="inlineStr">
        <is>
          <t>Numele și rolul decidentului.</t>
        </is>
      </c>
    </row>
    <row r="35" ht="20" customHeight="1">
      <c r="A35" s="10" t="inlineStr">
        <is>
          <t>MANDAT EQUIL</t>
        </is>
      </c>
      <c r="B35" s="11" t="n"/>
      <c r="C35" s="11" t="n"/>
    </row>
    <row r="36">
      <c r="A36" s="12" t="inlineStr">
        <is>
          <t>Perioada analizată</t>
        </is>
      </c>
      <c r="B36" s="13" t="inlineStr"/>
      <c r="C36" s="14" t="inlineStr">
        <is>
          <t>Trebuie să coincidă cu 09_PARAMETRI.</t>
        </is>
      </c>
    </row>
    <row r="37">
      <c r="A37" s="12" t="inlineStr">
        <is>
          <t>Moneda de raportare</t>
        </is>
      </c>
      <c r="B37" s="13" t="inlineStr"/>
    </row>
    <row r="38">
      <c r="A38" s="12" t="inlineStr">
        <is>
          <t>Consultant EQUIL responsabil</t>
        </is>
      </c>
      <c r="B38" s="13" t="inlineStr"/>
    </row>
    <row r="39">
      <c r="A39" s="12" t="inlineStr">
        <is>
          <t>Data kickoff</t>
        </is>
      </c>
      <c r="B39" s="13" t="inlineStr"/>
    </row>
    <row r="40">
      <c r="A40" s="12" t="inlineStr">
        <is>
          <t>Data livrării raportului</t>
        </is>
      </c>
      <c r="B40" s="13" t="inlineStr"/>
    </row>
    <row r="41">
      <c r="A41" s="12" t="inlineStr">
        <is>
          <t>NDA semnat</t>
        </is>
      </c>
      <c r="B41" s="13" t="inlineStr"/>
      <c r="C41" s="14" t="inlineStr">
        <is>
          <t>Da / Nu / Data. NDA = acord de confidențialitate; vezi 04_DICTIONAR.</t>
        </is>
      </c>
    </row>
    <row r="42">
      <c r="A42" s="12" t="inlineStr">
        <is>
          <t>Nume fișier</t>
        </is>
      </c>
      <c r="B42" s="13" t="inlineStr"/>
      <c r="C42" s="14" t="inlineStr">
        <is>
          <t>Convenție: EQUIL_&lt;cod&gt;_&lt;NumeFirma&gt;_&lt;AAAA-LL&gt;.xlsx — ex. EQUIL_EQ-0001_AlfaSRL_2026-06.xlsx</t>
        </is>
      </c>
    </row>
  </sheetData>
  <dataValidations count="1">
    <dataValidation sqref="B36" showDropDown="0" showInputMessage="0" showErrorMessage="0" allowBlank="1" errorTitle="Valoare neacceptată" error="Valoare în afara listei permise. Alege din listă sau completează lista de valori." type="list">
      <formula1>='90_LISTE'!$R$2:$R$5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24" customWidth="1" min="4" max="4"/>
    <col width="26" customWidth="1" min="5" max="5"/>
    <col width="16" customWidth="1" min="6" max="6"/>
    <col width="40" customWidth="1" min="7" max="7"/>
    <col width="24" customWidth="1" min="8" max="8"/>
    <col width="16" customWidth="1" min="9" max="9"/>
    <col width="18" customWidth="1" min="10" max="10"/>
    <col width="18" customWidth="1" min="11" max="11"/>
    <col width="14" customWidth="1" min="12" max="12"/>
    <col width="14" customWidth="1" min="13" max="13"/>
    <col width="15" customWidth="1" min="14" max="14"/>
    <col width="30" customWidth="1" min="15" max="15"/>
  </cols>
  <sheetData>
    <row r="1" ht="26" customHeight="1">
      <c r="A1" s="1" t="inlineStr">
        <is>
          <t>02 — CINE FURNIZEAZĂ DATELE (data owners)</t>
        </is>
      </c>
    </row>
    <row r="2" ht="16" customHeight="1">
      <c r="A2" s="2" t="inlineStr">
        <is>
          <t>Sfat: nu cere „toate datele”. Cere de la fiecare om exact setul din 03_CHECKLIST_DATE care îi este atribuit, cu un termen concret.</t>
        </is>
      </c>
    </row>
    <row r="3"/>
    <row r="4" ht="32" customHeight="1">
      <c r="A4" s="15" t="inlineStr">
        <is>
          <t>Cod contact
Contact_ID</t>
        </is>
      </c>
      <c r="B4" s="15" t="inlineStr">
        <is>
          <t>Rol în firmă
Rol_in_firma</t>
        </is>
      </c>
      <c r="C4" s="15" t="inlineStr">
        <is>
          <t>Nume și prenume
Nume</t>
        </is>
      </c>
      <c r="D4" s="15" t="inlineStr">
        <is>
          <t>Funcția exactă
Functie_exacta</t>
        </is>
      </c>
      <c r="E4" s="15" t="inlineStr">
        <is>
          <t>Email
Email</t>
        </is>
      </c>
      <c r="F4" s="15" t="inlineStr">
        <is>
          <t>Telefon
Telefon</t>
        </is>
      </c>
      <c r="G4" s="15" t="inlineStr">
        <is>
          <t>Ce date poate furniza
Seturi_de_date_detinute</t>
        </is>
      </c>
      <c r="H4" s="15" t="inlineStr">
        <is>
          <t>Sisteme la care are acces
Sisteme_la_care_are_acces</t>
        </is>
      </c>
      <c r="I4" s="15" t="inlineStr">
        <is>
          <t>Poate aproba transmiterea? (Da/Nu)
Decident</t>
        </is>
      </c>
      <c r="J4" s="15" t="inlineStr">
        <is>
          <t>Canal preferat de contact
Canal_preferat</t>
        </is>
      </c>
      <c r="K4" s="15" t="inlineStr">
        <is>
          <t>Disponibilitate
Disponibilitate</t>
        </is>
      </c>
      <c r="L4" s="15" t="inlineStr">
        <is>
          <t>Data solicitării
Data_solicitarii</t>
        </is>
      </c>
      <c r="M4" s="15" t="inlineStr">
        <is>
          <t>Termen agreat
Termen_agreat</t>
        </is>
      </c>
      <c r="N4" s="15" t="inlineStr">
        <is>
          <t>Status
Status</t>
        </is>
      </c>
      <c r="O4" s="15" t="inlineStr">
        <is>
          <t>Observații
Observatii</t>
        </is>
      </c>
    </row>
    <row r="5">
      <c r="A5" s="16" t="inlineStr">
        <is>
          <t>CT01</t>
        </is>
      </c>
      <c r="B5" s="16" t="inlineStr">
        <is>
          <t>CEO / Administrator</t>
        </is>
      </c>
      <c r="C5" s="16" t="inlineStr"/>
      <c r="D5" s="16" t="inlineStr"/>
      <c r="E5" s="16" t="inlineStr"/>
      <c r="F5" s="16" t="inlineStr"/>
      <c r="G5" s="16" t="inlineStr">
        <is>
          <t>Obiective, context strategic, aprobarea transmiterii datelor</t>
        </is>
      </c>
      <c r="H5" s="16" t="inlineStr">
        <is>
          <t>—</t>
        </is>
      </c>
      <c r="I5" s="16" t="inlineStr">
        <is>
          <t>Da</t>
        </is>
      </c>
      <c r="J5" s="16" t="inlineStr">
        <is>
          <t>Întâlnire</t>
        </is>
      </c>
      <c r="K5" s="16" t="inlineStr"/>
      <c r="L5" s="17" t="inlineStr"/>
      <c r="M5" s="17" t="inlineStr"/>
      <c r="N5" s="16" t="inlineStr">
        <is>
          <t>Nesolicitat</t>
        </is>
      </c>
      <c r="O5" s="16" t="inlineStr">
        <is>
          <t>Decide ce date pot ieși din firmă.</t>
        </is>
      </c>
    </row>
    <row r="6">
      <c r="A6" s="16" t="inlineStr">
        <is>
          <t>CT02</t>
        </is>
      </c>
      <c r="B6" s="16" t="inlineStr">
        <is>
          <t>CFO / Contabilitate</t>
        </is>
      </c>
      <c r="C6" s="16" t="inlineStr"/>
      <c r="D6" s="16" t="inlineStr"/>
      <c r="E6" s="16" t="inlineStr"/>
      <c r="F6" s="16" t="inlineStr"/>
      <c r="G6" s="16" t="inlineStr">
        <is>
          <t>Venituri, costuri (COGS), balanță, ținte/buget, termene de plată</t>
        </is>
      </c>
      <c r="H6" s="16" t="inlineStr">
        <is>
          <t>ERP, contabilitate</t>
        </is>
      </c>
      <c r="I6" s="16" t="inlineStr">
        <is>
          <t>Da</t>
        </is>
      </c>
      <c r="J6" s="16" t="inlineStr">
        <is>
          <t>Email</t>
        </is>
      </c>
      <c r="K6" s="16" t="inlineStr"/>
      <c r="L6" s="17" t="inlineStr"/>
      <c r="M6" s="17" t="inlineStr"/>
      <c r="N6" s="16" t="inlineStr">
        <is>
          <t>Nesolicitat</t>
        </is>
      </c>
      <c r="O6" s="16" t="inlineStr">
        <is>
          <t>Sursa principală pentru profit brut și marjă.</t>
        </is>
      </c>
    </row>
    <row r="7">
      <c r="A7" s="16" t="inlineStr">
        <is>
          <t>CT03</t>
        </is>
      </c>
      <c r="B7" s="16" t="inlineStr">
        <is>
          <t>Director Vânzări</t>
        </is>
      </c>
      <c r="C7" s="16" t="inlineStr"/>
      <c r="D7" s="16" t="inlineStr"/>
      <c r="E7" s="16" t="inlineStr"/>
      <c r="F7" s="16" t="inlineStr"/>
      <c r="G7" s="16" t="inlineStr">
        <is>
          <t>Clienți, segmente, canale, ținte pe oameni, context comercial</t>
        </is>
      </c>
      <c r="H7" s="16" t="inlineStr">
        <is>
          <t>CRM</t>
        </is>
      </c>
      <c r="I7" s="16" t="inlineStr">
        <is>
          <t>Da</t>
        </is>
      </c>
      <c r="J7" s="16" t="inlineStr">
        <is>
          <t>Telefon</t>
        </is>
      </c>
      <c r="K7" s="16" t="inlineStr"/>
      <c r="L7" s="17" t="inlineStr"/>
      <c r="M7" s="17" t="inlineStr"/>
      <c r="N7" s="16" t="inlineStr">
        <is>
          <t>Nesolicitat</t>
        </is>
      </c>
      <c r="O7" s="16" t="inlineStr">
        <is>
          <t>Validează interpretarea semnalelor.</t>
        </is>
      </c>
    </row>
    <row r="8">
      <c r="A8" s="16" t="inlineStr">
        <is>
          <t>CT04</t>
        </is>
      </c>
      <c r="B8" s="16" t="inlineStr">
        <is>
          <t>Sales Ops / CRM</t>
        </is>
      </c>
      <c r="C8" s="16" t="inlineStr"/>
      <c r="D8" s="16" t="inlineStr"/>
      <c r="E8" s="16" t="inlineStr"/>
      <c r="F8" s="16" t="inlineStr"/>
      <c r="G8" s="16" t="inlineStr">
        <is>
          <t>Export CRM: clienți, responsabili de cont, pipeline, activitate</t>
        </is>
      </c>
      <c r="H8" s="16" t="inlineStr">
        <is>
          <t>CRM</t>
        </is>
      </c>
      <c r="I8" s="16" t="inlineStr">
        <is>
          <t>Nu</t>
        </is>
      </c>
      <c r="J8" s="16" t="inlineStr">
        <is>
          <t>Email</t>
        </is>
      </c>
      <c r="K8" s="16" t="inlineStr"/>
      <c r="L8" s="17" t="inlineStr"/>
      <c r="M8" s="17" t="inlineStr"/>
      <c r="N8" s="16" t="inlineStr">
        <is>
          <t>Nesolicitat</t>
        </is>
      </c>
      <c r="O8" s="16" t="inlineStr">
        <is>
          <t>De obicei cel care face efectiv exportul.</t>
        </is>
      </c>
    </row>
    <row r="9">
      <c r="A9" s="16" t="inlineStr">
        <is>
          <t>CT05</t>
        </is>
      </c>
      <c r="B9" s="16" t="inlineStr">
        <is>
          <t>IT / ERP</t>
        </is>
      </c>
      <c r="C9" s="16" t="inlineStr"/>
      <c r="D9" s="16" t="inlineStr"/>
      <c r="E9" s="16" t="inlineStr"/>
      <c r="F9" s="16" t="inlineStr"/>
      <c r="G9" s="16" t="inlineStr">
        <is>
          <t>Export brut din ERP: facturi, nomenclator produse, clienți</t>
        </is>
      </c>
      <c r="H9" s="16" t="inlineStr">
        <is>
          <t>ERP</t>
        </is>
      </c>
      <c r="I9" s="16" t="inlineStr">
        <is>
          <t>Nu</t>
        </is>
      </c>
      <c r="J9" s="16" t="inlineStr">
        <is>
          <t>Email</t>
        </is>
      </c>
      <c r="K9" s="16" t="inlineStr"/>
      <c r="L9" s="17" t="inlineStr"/>
      <c r="M9" s="17" t="inlineStr"/>
      <c r="N9" s="16" t="inlineStr">
        <is>
          <t>Nesolicitat</t>
        </is>
      </c>
      <c r="O9" s="16" t="inlineStr">
        <is>
          <t>Cere formatul CSV/XLSX, nu PDF.</t>
        </is>
      </c>
    </row>
    <row r="10">
      <c r="A10" s="16" t="inlineStr">
        <is>
          <t>CT06</t>
        </is>
      </c>
      <c r="B10" s="16" t="inlineStr">
        <is>
          <t>Marketing</t>
        </is>
      </c>
      <c r="C10" s="16" t="inlineStr"/>
      <c r="D10" s="16" t="inlineStr"/>
      <c r="E10" s="16" t="inlineStr"/>
      <c r="F10" s="16" t="inlineStr"/>
      <c r="G10" s="16" t="inlineStr">
        <is>
          <t>NPS, campanii, lansări de produs, lead-uri</t>
        </is>
      </c>
      <c r="H10" s="16" t="inlineStr">
        <is>
          <t>Survey, web</t>
        </is>
      </c>
      <c r="I10" s="16" t="inlineStr">
        <is>
          <t>Nu</t>
        </is>
      </c>
      <c r="J10" s="16" t="inlineStr">
        <is>
          <t>Email</t>
        </is>
      </c>
      <c r="K10" s="16" t="inlineStr"/>
      <c r="L10" s="17" t="inlineStr"/>
      <c r="M10" s="17" t="inlineStr"/>
      <c r="N10" s="16" t="inlineStr">
        <is>
          <t>Nesolicitat</t>
        </is>
      </c>
      <c r="O10" s="16" t="inlineStr">
        <is>
          <t>Deține de obicei instrumentul de chestionar.</t>
        </is>
      </c>
    </row>
    <row r="11">
      <c r="A11" s="16" t="inlineStr">
        <is>
          <t>CT07</t>
        </is>
      </c>
      <c r="B11" s="16" t="inlineStr">
        <is>
          <t>HR / Resurse Umane</t>
        </is>
      </c>
      <c r="C11" s="16" t="inlineStr"/>
      <c r="D11" s="16" t="inlineStr"/>
      <c r="E11" s="16" t="inlineStr"/>
      <c r="F11" s="16" t="inlineStr"/>
      <c r="G11" s="16" t="inlineStr">
        <is>
          <t>Structura echipei, FTE, intrări/ieșiri, cost cu personalul</t>
        </is>
      </c>
      <c r="H11" s="16" t="inlineStr">
        <is>
          <t>HR / salarizare</t>
        </is>
      </c>
      <c r="I11" s="16" t="inlineStr">
        <is>
          <t>Da</t>
        </is>
      </c>
      <c r="J11" s="16" t="inlineStr">
        <is>
          <t>Email</t>
        </is>
      </c>
      <c r="K11" s="16" t="inlineStr"/>
      <c r="L11" s="17" t="inlineStr"/>
      <c r="M11" s="17" t="inlineStr"/>
      <c r="N11" s="16" t="inlineStr">
        <is>
          <t>Nesolicitat</t>
        </is>
      </c>
      <c r="O11" s="16" t="inlineStr">
        <is>
          <t>Atenție la GDPR: cere agregat sau anonimizat.</t>
        </is>
      </c>
    </row>
    <row r="12">
      <c r="A12" s="16" t="inlineStr">
        <is>
          <t>CT08</t>
        </is>
      </c>
      <c r="B12" s="16" t="inlineStr">
        <is>
          <t>Customer Service</t>
        </is>
      </c>
      <c r="C12" s="16" t="inlineStr"/>
      <c r="D12" s="16" t="inlineStr"/>
      <c r="E12" s="16" t="inlineStr"/>
      <c r="F12" s="16" t="inlineStr"/>
      <c r="G12" s="16" t="inlineStr">
        <is>
          <t>Reclamații, motive de nemulțumire, follow-up detractori</t>
        </is>
      </c>
      <c r="H12" s="16" t="inlineStr">
        <is>
          <t>Ticketing</t>
        </is>
      </c>
      <c r="I12" s="16" t="inlineStr">
        <is>
          <t>Nu</t>
        </is>
      </c>
      <c r="J12" s="16" t="inlineStr">
        <is>
          <t>Telefon</t>
        </is>
      </c>
      <c r="K12" s="16" t="inlineStr"/>
      <c r="L12" s="17" t="inlineStr"/>
      <c r="M12" s="17" t="inlineStr"/>
      <c r="N12" s="16" t="inlineStr">
        <is>
          <t>Nesolicitat</t>
        </is>
      </c>
      <c r="O12" s="16" t="inlineStr">
        <is>
          <t>Sursa cea mai bogată de cauze calitative.</t>
        </is>
      </c>
    </row>
    <row r="13">
      <c r="A13" s="16" t="inlineStr">
        <is>
          <t>CT09</t>
        </is>
      </c>
      <c r="B13" s="16" t="inlineStr">
        <is>
          <t>Operațiuni / Logistică</t>
        </is>
      </c>
      <c r="C13" s="16" t="inlineStr"/>
      <c r="D13" s="16" t="inlineStr"/>
      <c r="E13" s="16" t="inlineStr"/>
      <c r="F13" s="16" t="inlineStr"/>
      <c r="G13" s="16" t="inlineStr">
        <is>
          <t>Livrări, stocuri, termene, capacitate</t>
        </is>
      </c>
      <c r="H13" s="16" t="inlineStr">
        <is>
          <t>ERP / WMS</t>
        </is>
      </c>
      <c r="I13" s="16" t="inlineStr">
        <is>
          <t>Nu</t>
        </is>
      </c>
      <c r="J13" s="16" t="inlineStr">
        <is>
          <t>Email</t>
        </is>
      </c>
      <c r="K13" s="16" t="inlineStr"/>
      <c r="L13" s="17" t="inlineStr"/>
      <c r="M13" s="17" t="inlineStr"/>
      <c r="N13" s="16" t="inlineStr">
        <is>
          <t>Nesolicitat</t>
        </is>
      </c>
      <c r="O13" s="16" t="inlineStr">
        <is>
          <t>Relevant când NPS scade din cauza livrării.</t>
        </is>
      </c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9" t="n"/>
      <c r="M14" s="19" t="n"/>
      <c r="N14" s="18" t="n"/>
      <c r="O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9" t="n"/>
      <c r="M15" s="19" t="n"/>
      <c r="N15" s="18" t="n"/>
      <c r="O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9" t="n"/>
      <c r="M16" s="19" t="n"/>
      <c r="N16" s="18" t="n"/>
      <c r="O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9" t="n"/>
      <c r="M17" s="19" t="n"/>
      <c r="N17" s="18" t="n"/>
      <c r="O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9" t="n"/>
      <c r="M18" s="19" t="n"/>
      <c r="N18" s="18" t="n"/>
      <c r="O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9" t="n"/>
      <c r="M19" s="19" t="n"/>
      <c r="N19" s="18" t="n"/>
      <c r="O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9" t="n"/>
      <c r="M20" s="19" t="n"/>
      <c r="N20" s="18" t="n"/>
      <c r="O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9" t="n"/>
      <c r="M21" s="19" t="n"/>
      <c r="N21" s="18" t="n"/>
      <c r="O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9" t="n"/>
      <c r="M22" s="19" t="n"/>
      <c r="N22" s="18" t="n"/>
      <c r="O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9" t="n"/>
      <c r="M23" s="19" t="n"/>
      <c r="N23" s="18" t="n"/>
      <c r="O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 t="n"/>
      <c r="M24" s="19" t="n"/>
      <c r="N24" s="18" t="n"/>
      <c r="O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9" t="n"/>
      <c r="M25" s="19" t="n"/>
      <c r="N25" s="18" t="n"/>
      <c r="O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9" t="n"/>
      <c r="M26" s="19" t="n"/>
      <c r="N26" s="18" t="n"/>
      <c r="O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9" t="n"/>
      <c r="M27" s="19" t="n"/>
      <c r="N27" s="18" t="n"/>
      <c r="O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9" t="n"/>
      <c r="M28" s="19" t="n"/>
      <c r="N28" s="18" t="n"/>
      <c r="O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9" t="n"/>
      <c r="M29" s="19" t="n"/>
      <c r="N29" s="18" t="n"/>
      <c r="O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9" t="n"/>
      <c r="M30" s="19" t="n"/>
      <c r="N30" s="18" t="n"/>
      <c r="O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9" t="n"/>
      <c r="M31" s="19" t="n"/>
      <c r="N31" s="18" t="n"/>
      <c r="O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9" t="n"/>
      <c r="M32" s="19" t="n"/>
      <c r="N32" s="18" t="n"/>
      <c r="O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9" t="n"/>
      <c r="M33" s="19" t="n"/>
      <c r="N33" s="18" t="n"/>
      <c r="O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9" t="n"/>
      <c r="M34" s="19" t="n"/>
      <c r="N34" s="18" t="n"/>
      <c r="O34" s="18" t="n"/>
    </row>
  </sheetData>
  <autoFilter ref="A4:O34"/>
  <conditionalFormatting sqref="N5:N34">
    <cfRule type="cellIs" priority="1" operator="equal" dxfId="0">
      <formula>"Primit"</formula>
    </cfRule>
    <cfRule type="cellIs" priority="2" operator="equal" dxfId="1">
      <formula>"Blocat"</formula>
    </cfRule>
    <cfRule type="cellIs" priority="3" operator="equal" dxfId="2">
      <formula>"Validat"</formula>
    </cfRule>
  </conditionalFormatting>
  <dataValidations count="3">
    <dataValidation sqref="B5:B34" showDropDown="0" showInputMessage="0" showErrorMessage="0" allowBlank="1" errorTitle="Valoare neacceptată" error="Valoare în afara listei permise. Alege din listă sau completează lista de valori." type="list">
      <formula1>='90_LISTE'!$A$2:$A$13</formula1>
    </dataValidation>
    <dataValidation sqref="I5:I34" showDropDown="0" showInputMessage="0" showErrorMessage="0" allowBlank="1" errorTitle="Valoare neacceptată" error="Valoare în afara listei permise. Alege din listă sau completează lista de valori." type="list">
      <formula1>='90_LISTE'!$N$2:$N$3</formula1>
    </dataValidation>
    <dataValidation sqref="N5:N34" showDropDown="0" showInputMessage="0" showErrorMessage="0" allowBlank="1" errorTitle="Valoare neacceptată" error="Valoare în afara listei permise. Alege din listă sau completează lista de valori." type="list">
      <formula1>='90_LISTE'!$B$2:$B$9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0" customWidth="1" min="4" max="4"/>
    <col width="22" customWidth="1" min="5" max="5"/>
    <col width="46" customWidth="1" min="6" max="6"/>
    <col width="13" customWidth="1" min="7" max="7"/>
    <col width="15" customWidth="1" min="8" max="8"/>
    <col width="20" customWidth="1" min="9" max="9"/>
    <col width="18" customWidth="1" min="10" max="10"/>
    <col width="20" customWidth="1" min="11" max="11"/>
    <col width="20" customWidth="1" min="12" max="12"/>
    <col width="28" customWidth="1" min="13" max="13"/>
    <col width="14" customWidth="1" min="14" max="14"/>
    <col width="13" customWidth="1" min="15" max="15"/>
    <col width="26" customWidth="1" min="16" max="16"/>
    <col width="30" customWidth="1" min="18" max="18"/>
    <col width="12" customWidth="1" min="19" max="19"/>
  </cols>
  <sheetData>
    <row r="1" ht="26" customHeight="1">
      <c r="A1" s="1" t="inlineStr">
        <is>
          <t>03 — CE DATE CER ȘI DE LA CINE</t>
        </is>
      </c>
    </row>
    <row r="2" ht="16" customHeight="1">
      <c r="A2" s="20" t="inlineStr">
        <is>
          <t>Lista completă a câmpurilor. Filtrează pe Obligatoriu = „Obligatoriu” pentru setul minim viabil. Coloana „Persoana” se leagă de numele din 02_CONTACTE.</t>
        </is>
      </c>
    </row>
    <row r="3"/>
    <row r="4" ht="32" customHeight="1">
      <c r="A4" s="15" t="inlineStr">
        <is>
          <t>ID</t>
        </is>
      </c>
      <c r="B4" s="15" t="inlineStr">
        <is>
          <t>Set de date</t>
        </is>
      </c>
      <c r="C4" s="15" t="inlineStr">
        <is>
          <t>Foaie destinație</t>
        </is>
      </c>
      <c r="D4" s="15" t="inlineStr">
        <is>
          <t>Câmp (tehnic)</t>
        </is>
      </c>
      <c r="E4" s="15" t="inlineStr">
        <is>
          <t>Denumire RO</t>
        </is>
      </c>
      <c r="F4" s="15" t="inlineStr">
        <is>
          <t>Ce înseamnă / cum se completează</t>
        </is>
      </c>
      <c r="G4" s="15" t="inlineStr">
        <is>
          <t>Obligatoriu</t>
        </is>
      </c>
      <c r="H4" s="15" t="inlineStr">
        <is>
          <t>Format / unitate</t>
        </is>
      </c>
      <c r="I4" s="15" t="inlineStr">
        <is>
          <t>Exemplu</t>
        </is>
      </c>
      <c r="J4" s="15" t="inlineStr">
        <is>
          <t>Sursă tipică</t>
        </is>
      </c>
      <c r="K4" s="15" t="inlineStr">
        <is>
          <t>Rol furnizor</t>
        </is>
      </c>
      <c r="L4" s="15" t="inlineStr">
        <is>
          <t>Persoana (nume)</t>
        </is>
      </c>
      <c r="M4" s="15" t="inlineStr">
        <is>
          <t>Ce deblochează</t>
        </is>
      </c>
      <c r="N4" s="15" t="inlineStr">
        <is>
          <t>Status</t>
        </is>
      </c>
      <c r="O4" s="15" t="inlineStr">
        <is>
          <t>Data primirii</t>
        </is>
      </c>
      <c r="P4" s="15" t="inlineStr">
        <is>
          <t>Observații</t>
        </is>
      </c>
      <c r="R4" s="21" t="inlineStr">
        <is>
          <t>PROGRES COLECTARE</t>
        </is>
      </c>
      <c r="S4" s="22" t="n"/>
    </row>
    <row r="5" ht="28" customHeight="1">
      <c r="A5" s="23" t="inlineStr">
        <is>
          <t>D001</t>
        </is>
      </c>
      <c r="B5" s="23" t="inlineStr">
        <is>
          <t>Profil firmă</t>
        </is>
      </c>
      <c r="C5" s="23" t="inlineStr">
        <is>
          <t>01_FIRMA</t>
        </is>
      </c>
      <c r="D5" s="23" t="inlineStr"/>
      <c r="E5" s="23" t="inlineStr">
        <is>
          <t>Profil complet firmă</t>
        </is>
      </c>
      <c r="F5" s="23" t="inlineStr">
        <is>
          <t>Se completează în discuția de kickoff: identificare, dimensiune, sisteme, obiective.</t>
        </is>
      </c>
      <c r="G5" s="23" t="inlineStr">
        <is>
          <t>Obligatoriu</t>
        </is>
      </c>
      <c r="H5" s="23" t="inlineStr">
        <is>
          <t>Text</t>
        </is>
      </c>
      <c r="I5" s="23" t="inlineStr">
        <is>
          <t>vezi 01_FIRMA</t>
        </is>
      </c>
      <c r="J5" s="23" t="inlineStr">
        <is>
          <t>Interviu / Workshop</t>
        </is>
      </c>
      <c r="K5" s="23" t="inlineStr">
        <is>
          <t>CEO / Administrator</t>
        </is>
      </c>
      <c r="L5" s="16" t="inlineStr"/>
      <c r="M5" s="23" t="inlineStr">
        <is>
          <t>Context pentru toate interpretările</t>
        </is>
      </c>
      <c r="N5" s="16" t="inlineStr">
        <is>
          <t>Nesolicitat</t>
        </is>
      </c>
      <c r="O5" s="17" t="n"/>
      <c r="P5" s="16" t="inlineStr"/>
      <c r="R5" s="12" t="inlineStr">
        <is>
          <t>Total câmpuri cerute</t>
        </is>
      </c>
      <c r="S5" s="24">
        <f>COUNTA($A$5:$A$70)</f>
        <v/>
      </c>
    </row>
    <row r="6" ht="28" customHeight="1">
      <c r="A6" s="23" t="inlineStr">
        <is>
          <t>D002</t>
        </is>
      </c>
      <c r="B6" s="23" t="inlineStr">
        <is>
          <t>Documente / context</t>
        </is>
      </c>
      <c r="C6" s="23" t="inlineStr">
        <is>
          <t>—</t>
        </is>
      </c>
      <c r="D6" s="23" t="inlineStr"/>
      <c r="E6" s="23" t="inlineStr">
        <is>
          <t>NDA semnat</t>
        </is>
      </c>
      <c r="F6" s="23" t="inlineStr">
        <is>
          <t>Acord de confidențialitate semnat înainte de transmiterea oricăror date.</t>
        </is>
      </c>
      <c r="G6" s="23" t="inlineStr">
        <is>
          <t>Obligatoriu</t>
        </is>
      </c>
      <c r="H6" s="23" t="inlineStr">
        <is>
          <t>PDF</t>
        </is>
      </c>
      <c r="I6" s="23" t="inlineStr">
        <is>
          <t>NDA_2026.pdf</t>
        </is>
      </c>
      <c r="J6" s="23" t="inlineStr">
        <is>
          <t>Interviu / Workshop</t>
        </is>
      </c>
      <c r="K6" s="23" t="inlineStr">
        <is>
          <t>CEO / Administrator</t>
        </is>
      </c>
      <c r="L6" s="16" t="inlineStr"/>
      <c r="M6" s="23" t="inlineStr">
        <is>
          <t>Permite transmiterea legală a datelor</t>
        </is>
      </c>
      <c r="N6" s="16" t="inlineStr">
        <is>
          <t>Nesolicitat</t>
        </is>
      </c>
      <c r="O6" s="17" t="n"/>
      <c r="P6" s="16" t="inlineStr"/>
      <c r="R6" s="12" t="inlineStr">
        <is>
          <t>Din care obligatorii</t>
        </is>
      </c>
      <c r="S6" s="24">
        <f>COUNTIF($G$5:$G$70,"Obligatoriu")</f>
        <v/>
      </c>
    </row>
    <row r="7" ht="28" customHeight="1">
      <c r="A7" s="23" t="inlineStr">
        <is>
          <t>D003</t>
        </is>
      </c>
      <c r="B7" s="23" t="inlineStr">
        <is>
          <t>Documente / context</t>
        </is>
      </c>
      <c r="C7" s="23" t="inlineStr">
        <is>
          <t>—</t>
        </is>
      </c>
      <c r="D7" s="23" t="inlineStr"/>
      <c r="E7" s="23" t="inlineStr">
        <is>
          <t>Organigramă echipă comercială</t>
        </is>
      </c>
      <c r="F7" s="23" t="inlineStr">
        <is>
          <t>Structura echipei: cine cui raportează, cine acoperă ce zonă sau segment.</t>
        </is>
      </c>
      <c r="G7" s="23" t="inlineStr">
        <is>
          <t>Recomandat</t>
        </is>
      </c>
      <c r="H7" s="23" t="inlineStr">
        <is>
          <t>PDF / imagine</t>
        </is>
      </c>
      <c r="I7" s="23" t="inlineStr">
        <is>
          <t>organigrama.pdf</t>
        </is>
      </c>
      <c r="J7" s="23" t="inlineStr">
        <is>
          <t>HR / State de plată</t>
        </is>
      </c>
      <c r="K7" s="23" t="inlineStr">
        <is>
          <t>HR / Resurse Umane</t>
        </is>
      </c>
      <c r="L7" s="16" t="inlineStr"/>
      <c r="M7" s="23" t="inlineStr">
        <is>
          <t>Interpretarea corectă a analizei pe oameni</t>
        </is>
      </c>
      <c r="N7" s="16" t="inlineStr">
        <is>
          <t>Nesolicitat</t>
        </is>
      </c>
      <c r="O7" s="17" t="n"/>
      <c r="P7" s="16" t="inlineStr"/>
      <c r="R7" s="12" t="inlineStr">
        <is>
          <t>Primite sau validate</t>
        </is>
      </c>
      <c r="S7" s="24">
        <f>COUNTIF($N$5:$N$70,"Primit")+COUNTIF($N$5:$N$70,"Validat")</f>
        <v/>
      </c>
    </row>
    <row r="8" ht="28" customHeight="1">
      <c r="A8" s="23" t="inlineStr">
        <is>
          <t>D004</t>
        </is>
      </c>
      <c r="B8" s="23" t="inlineStr">
        <is>
          <t>Documente / context</t>
        </is>
      </c>
      <c r="C8" s="23" t="inlineStr">
        <is>
          <t>—</t>
        </is>
      </c>
      <c r="D8" s="23" t="inlineStr"/>
      <c r="E8" s="23" t="inlineStr">
        <is>
          <t>Listă de prețuri și politică de discount</t>
        </is>
      </c>
      <c r="F8" s="23" t="inlineStr">
        <is>
          <t>Prețurile de listă și regulile de discount pe segment sau volum.</t>
        </is>
      </c>
      <c r="G8" s="23" t="inlineStr">
        <is>
          <t>Recomandat</t>
        </is>
      </c>
      <c r="H8" s="23" t="inlineStr">
        <is>
          <t>XLSX</t>
        </is>
      </c>
      <c r="I8" s="23" t="inlineStr">
        <is>
          <t>pricelist_2026.xlsx</t>
        </is>
      </c>
      <c r="J8" s="23" t="inlineStr">
        <is>
          <t>Excel intern</t>
        </is>
      </c>
      <c r="K8" s="23" t="inlineStr">
        <is>
          <t>Director Vânzări</t>
        </is>
      </c>
      <c r="L8" s="16" t="inlineStr"/>
      <c r="M8" s="23" t="inlineStr">
        <is>
          <t>Analiza erodării de preț și a marjei</t>
        </is>
      </c>
      <c r="N8" s="16" t="inlineStr">
        <is>
          <t>Nesolicitat</t>
        </is>
      </c>
      <c r="O8" s="17" t="n"/>
      <c r="P8" s="16" t="inlineStr"/>
      <c r="R8" s="12" t="inlineStr">
        <is>
          <t>Obligatorii încă lipsă</t>
        </is>
      </c>
      <c r="S8" s="24">
        <f>COUNTIFS($G$5:$G$70,"Obligatoriu",$N$5:$N$70,"&lt;&gt;Primit",$N$5:$N$70,"&lt;&gt;Validat")</f>
        <v/>
      </c>
    </row>
    <row r="9" ht="28" customHeight="1">
      <c r="A9" s="23" t="inlineStr">
        <is>
          <t>D005</t>
        </is>
      </c>
      <c r="B9" s="23" t="inlineStr">
        <is>
          <t>Financiar</t>
        </is>
      </c>
      <c r="C9" s="23" t="inlineStr">
        <is>
          <t>—</t>
        </is>
      </c>
      <c r="D9" s="23" t="inlineStr"/>
      <c r="E9" s="23" t="inlineStr">
        <is>
          <t>Balanță / P&amp;L ultimele 24 de luni</t>
        </is>
      </c>
      <c r="F9" s="23" t="inlineStr">
        <is>
          <t>Pentru validarea veniturilor și a costurilor față de contabilitate.</t>
        </is>
      </c>
      <c r="G9" s="23" t="inlineStr">
        <is>
          <t>Recomandat</t>
        </is>
      </c>
      <c r="H9" s="23" t="inlineStr">
        <is>
          <t>XLSX / PDF</t>
        </is>
      </c>
      <c r="I9" s="23" t="inlineStr">
        <is>
          <t>balanta_2025.xlsx</t>
        </is>
      </c>
      <c r="J9" s="23" t="inlineStr">
        <is>
          <t>Balanță / Contabilitate</t>
        </is>
      </c>
      <c r="K9" s="23" t="inlineStr">
        <is>
          <t>CFO / Contabilitate</t>
        </is>
      </c>
      <c r="L9" s="16" t="inlineStr"/>
      <c r="M9" s="23" t="inlineStr">
        <is>
          <t>Verificarea consistenței cifrelor</t>
        </is>
      </c>
      <c r="N9" s="16" t="inlineStr">
        <is>
          <t>Nesolicitat</t>
        </is>
      </c>
      <c r="O9" s="17" t="n"/>
      <c r="P9" s="16" t="inlineStr"/>
      <c r="R9" s="12" t="inlineStr">
        <is>
          <t>Blocate</t>
        </is>
      </c>
      <c r="S9" s="24">
        <f>COUNTIF($N$5:$N$70,"Blocat")</f>
        <v/>
      </c>
    </row>
    <row r="10" ht="28" customHeight="1">
      <c r="A10" s="23" t="inlineStr">
        <is>
          <t>D006</t>
        </is>
      </c>
      <c r="B10" s="23" t="inlineStr">
        <is>
          <t>Financiar</t>
        </is>
      </c>
      <c r="C10" s="23" t="inlineStr">
        <is>
          <t>—</t>
        </is>
      </c>
      <c r="D10" s="23" t="inlineStr"/>
      <c r="E10" s="23" t="inlineStr">
        <is>
          <t>Cheltuieli fixe lunare (agregat)</t>
        </is>
      </c>
      <c r="F10" s="23" t="inlineStr">
        <is>
          <t>Costuri indirecte lunare, agregat. Nu e nevoie de detaliu pe furnizor.</t>
        </is>
      </c>
      <c r="G10" s="23" t="inlineStr">
        <is>
          <t>Opțional</t>
        </is>
      </c>
      <c r="H10" s="23" t="inlineStr">
        <is>
          <t>Valoare / lună</t>
        </is>
      </c>
      <c r="I10" s="23" t="inlineStr">
        <is>
          <t>180000</t>
        </is>
      </c>
      <c r="J10" s="23" t="inlineStr">
        <is>
          <t>Balanță / Contabilitate</t>
        </is>
      </c>
      <c r="K10" s="23" t="inlineStr">
        <is>
          <t>CFO / Contabilitate</t>
        </is>
      </c>
      <c r="L10" s="16" t="inlineStr"/>
      <c r="M10" s="23" t="inlineStr">
        <is>
          <t>Prag de rentabilitate, impact real al oportunităților</t>
        </is>
      </c>
      <c r="N10" s="16" t="inlineStr">
        <is>
          <t>Nesolicitat</t>
        </is>
      </c>
      <c r="O10" s="17" t="n"/>
      <c r="P10" s="16" t="inlineStr"/>
      <c r="R10" s="12" t="inlineStr">
        <is>
          <t>% completare</t>
        </is>
      </c>
      <c r="S10" s="25">
        <f>IFERROR((S7)/(S5),0)</f>
        <v/>
      </c>
    </row>
    <row r="11" ht="28" customHeight="1">
      <c r="A11" s="23" t="inlineStr">
        <is>
          <t>D007</t>
        </is>
      </c>
      <c r="B11" s="23" t="inlineStr">
        <is>
          <t>Documente / context</t>
        </is>
      </c>
      <c r="C11" s="23" t="inlineStr">
        <is>
          <t>—</t>
        </is>
      </c>
      <c r="D11" s="23" t="inlineStr"/>
      <c r="E11" s="23" t="inlineStr">
        <is>
          <t>Acces la export ERP (recurent)</t>
        </is>
      </c>
      <c r="F11" s="23" t="inlineStr">
        <is>
          <t>Cine face exportul lunar și în ce format, pentru actualizări periodice.</t>
        </is>
      </c>
      <c r="G11" s="23" t="inlineStr">
        <is>
          <t>Recomandat</t>
        </is>
      </c>
      <c r="H11" s="23" t="inlineStr">
        <is>
          <t>Proces</t>
        </is>
      </c>
      <c r="I11" s="23" t="inlineStr">
        <is>
          <t>export lunar CSV</t>
        </is>
      </c>
      <c r="J11" s="23" t="inlineStr">
        <is>
          <t>ERP / Facturare</t>
        </is>
      </c>
      <c r="K11" s="23" t="inlineStr">
        <is>
          <t>IT / ERP</t>
        </is>
      </c>
      <c r="L11" s="16" t="inlineStr"/>
      <c r="M11" s="23" t="inlineStr">
        <is>
          <t>Repetabilitatea raportului, nu doar o dată</t>
        </is>
      </c>
      <c r="N11" s="16" t="inlineStr">
        <is>
          <t>Nesolicitat</t>
        </is>
      </c>
      <c r="O11" s="17" t="n"/>
      <c r="P11" s="16" t="inlineStr"/>
      <c r="R11" s="12" t="inlineStr">
        <is>
          <t>% completare obligatorii</t>
        </is>
      </c>
      <c r="S11" s="25">
        <f>IFERROR(1-(S8)/(S6),0)</f>
        <v/>
      </c>
    </row>
    <row r="12" ht="28" customHeight="1">
      <c r="A12" s="23" t="inlineStr">
        <is>
          <t>D008</t>
        </is>
      </c>
      <c r="B12" s="23" t="inlineStr">
        <is>
          <t>Vânzări</t>
        </is>
      </c>
      <c r="C12" s="23" t="inlineStr">
        <is>
          <t>13_VANZARI</t>
        </is>
      </c>
      <c r="D12" s="23" t="inlineStr">
        <is>
          <t>Doc_Date</t>
        </is>
      </c>
      <c r="E12" s="23" t="inlineStr">
        <is>
          <t>Data document</t>
        </is>
      </c>
      <c r="F12" s="23" t="inlineStr">
        <is>
          <t>Data facturii sau a lunii de raportare. O linie = o combinație client × produs × perioadă.</t>
        </is>
      </c>
      <c r="G12" s="23" t="inlineStr">
        <is>
          <t>Obligatoriu</t>
        </is>
      </c>
      <c r="H12" s="23" t="inlineStr">
        <is>
          <t>yyyy-mm-dd</t>
        </is>
      </c>
      <c r="I12" s="23" t="inlineStr">
        <is>
          <t>2026-01-31</t>
        </is>
      </c>
      <c r="J12" s="23" t="inlineStr">
        <is>
          <t>ERP / Facturare</t>
        </is>
      </c>
      <c r="K12" s="23" t="inlineStr">
        <is>
          <t>CFO / Contabilitate</t>
        </is>
      </c>
      <c r="L12" s="16" t="inlineStr"/>
      <c r="M12" s="23" t="inlineStr">
        <is>
          <t>Toate KPI-urile și trendurile</t>
        </is>
      </c>
      <c r="N12" s="16" t="inlineStr">
        <is>
          <t>Nesolicitat</t>
        </is>
      </c>
      <c r="O12" s="17" t="n"/>
      <c r="P12" s="16" t="inlineStr"/>
    </row>
    <row r="13" ht="28" customHeight="1">
      <c r="A13" s="23" t="inlineStr">
        <is>
          <t>D009</t>
        </is>
      </c>
      <c r="B13" s="23" t="inlineStr">
        <is>
          <t>Vânzări</t>
        </is>
      </c>
      <c r="C13" s="23" t="inlineStr">
        <is>
          <t>13_VANZARI</t>
        </is>
      </c>
      <c r="D13" s="23" t="inlineStr">
        <is>
          <t>Doc_Type</t>
        </is>
      </c>
      <c r="E13" s="23" t="inlineStr">
        <is>
          <t>Tip document</t>
        </is>
      </c>
      <c r="F13" s="23" t="inlineStr">
        <is>
          <t>Factură / Storno / Avans. Stornările se trec cu valori negative.</t>
        </is>
      </c>
      <c r="G13" s="23" t="inlineStr">
        <is>
          <t>Recomandat</t>
        </is>
      </c>
      <c r="H13" s="23" t="inlineStr">
        <is>
          <t>Text</t>
        </is>
      </c>
      <c r="I13" s="23" t="inlineStr">
        <is>
          <t>Factură</t>
        </is>
      </c>
      <c r="J13" s="23" t="inlineStr">
        <is>
          <t>ERP / Facturare</t>
        </is>
      </c>
      <c r="K13" s="23" t="inlineStr">
        <is>
          <t>CFO / Contabilitate</t>
        </is>
      </c>
      <c r="L13" s="16" t="inlineStr"/>
      <c r="M13" s="23" t="inlineStr">
        <is>
          <t>Corectitudinea veniturilor</t>
        </is>
      </c>
      <c r="N13" s="16" t="inlineStr">
        <is>
          <t>Nesolicitat</t>
        </is>
      </c>
      <c r="O13" s="17" t="n"/>
      <c r="P13" s="16" t="inlineStr"/>
    </row>
    <row r="14" ht="28" customHeight="1">
      <c r="A14" s="23" t="inlineStr">
        <is>
          <t>D010</t>
        </is>
      </c>
      <c r="B14" s="23" t="inlineStr">
        <is>
          <t>Vânzări</t>
        </is>
      </c>
      <c r="C14" s="23" t="inlineStr">
        <is>
          <t>13_VANZARI</t>
        </is>
      </c>
      <c r="D14" s="23" t="inlineStr">
        <is>
          <t>Customer_ID</t>
        </is>
      </c>
      <c r="E14" s="23" t="inlineStr">
        <is>
          <t>ID client</t>
        </is>
      </c>
      <c r="F14" s="23" t="inlineStr">
        <is>
          <t>Trebuie să existe în 10_CLIENTI.</t>
        </is>
      </c>
      <c r="G14" s="23" t="inlineStr">
        <is>
          <t>Obligatoriu</t>
        </is>
      </c>
      <c r="H14" s="23" t="inlineStr">
        <is>
          <t>Text</t>
        </is>
      </c>
      <c r="I14" s="23" t="inlineStr">
        <is>
          <t>C001</t>
        </is>
      </c>
      <c r="J14" s="23" t="inlineStr">
        <is>
          <t>ERP / Facturare</t>
        </is>
      </c>
      <c r="K14" s="23" t="inlineStr">
        <is>
          <t>IT / ERP</t>
        </is>
      </c>
      <c r="L14" s="16" t="inlineStr"/>
      <c r="M14" s="23" t="inlineStr">
        <is>
          <t>Analiză client, concentrare</t>
        </is>
      </c>
      <c r="N14" s="16" t="inlineStr">
        <is>
          <t>Nesolicitat</t>
        </is>
      </c>
      <c r="O14" s="17" t="n"/>
      <c r="P14" s="16" t="inlineStr"/>
    </row>
    <row r="15" ht="28" customHeight="1">
      <c r="A15" s="23" t="inlineStr">
        <is>
          <t>D011</t>
        </is>
      </c>
      <c r="B15" s="23" t="inlineStr">
        <is>
          <t>Vânzări</t>
        </is>
      </c>
      <c r="C15" s="23" t="inlineStr">
        <is>
          <t>13_VANZARI</t>
        </is>
      </c>
      <c r="D15" s="23" t="inlineStr">
        <is>
          <t>Product_ID</t>
        </is>
      </c>
      <c r="E15" s="23" t="inlineStr">
        <is>
          <t>ID produs</t>
        </is>
      </c>
      <c r="F15" s="23" t="inlineStr">
        <is>
          <t>Trebuie să existe în 11_PRODUSE.</t>
        </is>
      </c>
      <c r="G15" s="23" t="inlineStr">
        <is>
          <t>Obligatoriu</t>
        </is>
      </c>
      <c r="H15" s="23" t="inlineStr">
        <is>
          <t>Text</t>
        </is>
      </c>
      <c r="I15" s="23" t="inlineStr">
        <is>
          <t>P001</t>
        </is>
      </c>
      <c r="J15" s="23" t="inlineStr">
        <is>
          <t>ERP / Facturare</t>
        </is>
      </c>
      <c r="K15" s="23" t="inlineStr">
        <is>
          <t>IT / ERP</t>
        </is>
      </c>
      <c r="L15" s="16" t="inlineStr"/>
      <c r="M15" s="23" t="inlineStr">
        <is>
          <t>Analiză produs, cross-sell</t>
        </is>
      </c>
      <c r="N15" s="16" t="inlineStr">
        <is>
          <t>Nesolicitat</t>
        </is>
      </c>
      <c r="O15" s="17" t="n"/>
      <c r="P15" s="16" t="inlineStr"/>
    </row>
    <row r="16" ht="28" customHeight="1">
      <c r="A16" s="23" t="inlineStr">
        <is>
          <t>D012</t>
        </is>
      </c>
      <c r="B16" s="23" t="inlineStr">
        <is>
          <t>Vânzări</t>
        </is>
      </c>
      <c r="C16" s="23" t="inlineStr">
        <is>
          <t>13_VANZARI</t>
        </is>
      </c>
      <c r="D16" s="23" t="inlineStr">
        <is>
          <t>Person_ID</t>
        </is>
      </c>
      <c r="E16" s="23" t="inlineStr">
        <is>
          <t>ID persoană vânzări</t>
        </is>
      </c>
      <c r="F16" s="23" t="inlineStr">
        <is>
          <t>Cine a făcut vânzarea; trebuie să existe în 12_OAMENI.</t>
        </is>
      </c>
      <c r="G16" s="23" t="inlineStr">
        <is>
          <t>Recomandat</t>
        </is>
      </c>
      <c r="H16" s="23" t="inlineStr">
        <is>
          <t>Text</t>
        </is>
      </c>
      <c r="I16" s="23" t="inlineStr">
        <is>
          <t>S001</t>
        </is>
      </c>
      <c r="J16" s="23" t="inlineStr">
        <is>
          <t>CRM</t>
        </is>
      </c>
      <c r="K16" s="23" t="inlineStr">
        <is>
          <t>Sales Ops / CRM</t>
        </is>
      </c>
      <c r="L16" s="16" t="inlineStr"/>
      <c r="M16" s="23" t="inlineStr">
        <is>
          <t>Productivitate pe om</t>
        </is>
      </c>
      <c r="N16" s="16" t="inlineStr">
        <is>
          <t>Nesolicitat</t>
        </is>
      </c>
      <c r="O16" s="17" t="n"/>
      <c r="P16" s="16" t="inlineStr"/>
    </row>
    <row r="17" ht="28" customHeight="1">
      <c r="A17" s="23" t="inlineStr">
        <is>
          <t>D013</t>
        </is>
      </c>
      <c r="B17" s="23" t="inlineStr">
        <is>
          <t>Vânzări</t>
        </is>
      </c>
      <c r="C17" s="23" t="inlineStr">
        <is>
          <t>13_VANZARI</t>
        </is>
      </c>
      <c r="D17" s="23" t="inlineStr">
        <is>
          <t>Units</t>
        </is>
      </c>
      <c r="E17" s="23" t="inlineStr">
        <is>
          <t>Cantitate</t>
        </is>
      </c>
      <c r="F17" s="23" t="inlineStr">
        <is>
          <t>Număr de unități / ore / licențe.</t>
        </is>
      </c>
      <c r="G17" s="23" t="inlineStr">
        <is>
          <t>Recomandat</t>
        </is>
      </c>
      <c r="H17" s="23" t="inlineStr">
        <is>
          <t>#,##0.00</t>
        </is>
      </c>
      <c r="I17" s="23" t="inlineStr">
        <is>
          <t>100</t>
        </is>
      </c>
      <c r="J17" s="23" t="inlineStr">
        <is>
          <t>ERP / Facturare</t>
        </is>
      </c>
      <c r="K17" s="23" t="inlineStr">
        <is>
          <t>IT / ERP</t>
        </is>
      </c>
      <c r="L17" s="16" t="inlineStr"/>
      <c r="M17" s="23" t="inlineStr">
        <is>
          <t>Preț mediu, volum vs. preț</t>
        </is>
      </c>
      <c r="N17" s="16" t="inlineStr">
        <is>
          <t>Nesolicitat</t>
        </is>
      </c>
      <c r="O17" s="17" t="n"/>
      <c r="P17" s="16" t="inlineStr"/>
    </row>
    <row r="18" ht="28" customHeight="1">
      <c r="A18" s="23" t="inlineStr">
        <is>
          <t>D014</t>
        </is>
      </c>
      <c r="B18" s="23" t="inlineStr">
        <is>
          <t>Vânzări</t>
        </is>
      </c>
      <c r="C18" s="23" t="inlineStr">
        <is>
          <t>13_VANZARI</t>
        </is>
      </c>
      <c r="D18" s="23" t="inlineStr">
        <is>
          <t>Revenue_Net</t>
        </is>
      </c>
      <c r="E18" s="23" t="inlineStr">
        <is>
          <t>Venit net</t>
        </is>
      </c>
      <c r="F18" s="23" t="inlineStr">
        <is>
          <t>Venit fără TVA, după discount.</t>
        </is>
      </c>
      <c r="G18" s="23" t="inlineStr">
        <is>
          <t>Obligatoriu</t>
        </is>
      </c>
      <c r="H18" s="23" t="inlineStr">
        <is>
          <t>#,##0</t>
        </is>
      </c>
      <c r="I18" s="23" t="inlineStr">
        <is>
          <t>10000</t>
        </is>
      </c>
      <c r="J18" s="23" t="inlineStr">
        <is>
          <t>ERP / Facturare</t>
        </is>
      </c>
      <c r="K18" s="23" t="inlineStr">
        <is>
          <t>CFO / Contabilitate</t>
        </is>
      </c>
      <c r="L18" s="16" t="inlineStr"/>
      <c r="M18" s="23" t="inlineStr">
        <is>
          <t>Venit, creștere, țintă</t>
        </is>
      </c>
      <c r="N18" s="16" t="inlineStr">
        <is>
          <t>Nesolicitat</t>
        </is>
      </c>
      <c r="O18" s="17" t="n"/>
      <c r="P18" s="16" t="inlineStr"/>
    </row>
    <row r="19" ht="28" customHeight="1">
      <c r="A19" s="23" t="inlineStr">
        <is>
          <t>D015</t>
        </is>
      </c>
      <c r="B19" s="23" t="inlineStr">
        <is>
          <t>Vânzări</t>
        </is>
      </c>
      <c r="C19" s="23" t="inlineStr">
        <is>
          <t>13_VANZARI</t>
        </is>
      </c>
      <c r="D19" s="23" t="inlineStr">
        <is>
          <t>Discount_Value</t>
        </is>
      </c>
      <c r="E19" s="23" t="inlineStr">
        <is>
          <t>Valoare discount</t>
        </is>
      </c>
      <c r="F19" s="23" t="inlineStr">
        <is>
          <t>Discountul acordat, în valoare absolută.</t>
        </is>
      </c>
      <c r="G19" s="23" t="inlineStr">
        <is>
          <t>Opțional</t>
        </is>
      </c>
      <c r="H19" s="23" t="inlineStr">
        <is>
          <t>#,##0</t>
        </is>
      </c>
      <c r="I19" s="23" t="inlineStr">
        <is>
          <t>800</t>
        </is>
      </c>
      <c r="J19" s="23" t="inlineStr">
        <is>
          <t>ERP / Facturare</t>
        </is>
      </c>
      <c r="K19" s="23" t="inlineStr">
        <is>
          <t>CFO / Contabilitate</t>
        </is>
      </c>
      <c r="L19" s="16" t="inlineStr"/>
      <c r="M19" s="23" t="inlineStr">
        <is>
          <t>Erodare preț, marjă</t>
        </is>
      </c>
      <c r="N19" s="16" t="inlineStr">
        <is>
          <t>Nesolicitat</t>
        </is>
      </c>
      <c r="O19" s="17" t="n"/>
      <c r="P19" s="16" t="inlineStr"/>
    </row>
    <row r="20" ht="28" customHeight="1">
      <c r="A20" s="23" t="inlineStr">
        <is>
          <t>D016</t>
        </is>
      </c>
      <c r="B20" s="23" t="inlineStr">
        <is>
          <t>Vânzări</t>
        </is>
      </c>
      <c r="C20" s="23" t="inlineStr">
        <is>
          <t>13_VANZARI</t>
        </is>
      </c>
      <c r="D20" s="23" t="inlineStr">
        <is>
          <t>COGS</t>
        </is>
      </c>
      <c r="E20" s="23" t="inlineStr">
        <is>
          <t>Cost direct (COGS)</t>
        </is>
      </c>
      <c r="F20" s="23" t="inlineStr">
        <is>
          <t>Costul direct aferent vânzării.</t>
        </is>
      </c>
      <c r="G20" s="23" t="inlineStr">
        <is>
          <t>Obligatoriu</t>
        </is>
      </c>
      <c r="H20" s="23" t="inlineStr">
        <is>
          <t>#,##0</t>
        </is>
      </c>
      <c r="I20" s="23" t="inlineStr">
        <is>
          <t>7500</t>
        </is>
      </c>
      <c r="J20" s="23" t="inlineStr">
        <is>
          <t>Balanță / Contabilitate</t>
        </is>
      </c>
      <c r="K20" s="23" t="inlineStr">
        <is>
          <t>CFO / Contabilitate</t>
        </is>
      </c>
      <c r="L20" s="16" t="inlineStr"/>
      <c r="M20" s="23" t="inlineStr">
        <is>
          <t>Profit brut, marjă</t>
        </is>
      </c>
      <c r="N20" s="16" t="inlineStr">
        <is>
          <t>Nesolicitat</t>
        </is>
      </c>
      <c r="O20" s="17" t="n"/>
      <c r="P20" s="16" t="inlineStr"/>
    </row>
    <row r="21" ht="28" customHeight="1">
      <c r="A21" s="23" t="inlineStr">
        <is>
          <t>D017</t>
        </is>
      </c>
      <c r="B21" s="23" t="inlineStr">
        <is>
          <t>Vânzări</t>
        </is>
      </c>
      <c r="C21" s="23" t="inlineStr">
        <is>
          <t>13_VANZARI</t>
        </is>
      </c>
      <c r="D21" s="23" t="inlineStr">
        <is>
          <t>Currency</t>
        </is>
      </c>
      <c r="E21" s="23" t="inlineStr">
        <is>
          <t>Monedă</t>
        </is>
      </c>
      <c r="F21" s="23" t="inlineStr">
        <is>
          <t>Moneda documentului. Ideal toate liniile în aceeași monedă.</t>
        </is>
      </c>
      <c r="G21" s="23" t="inlineStr">
        <is>
          <t>Recomandat</t>
        </is>
      </c>
      <c r="H21" s="23" t="inlineStr">
        <is>
          <t>Text</t>
        </is>
      </c>
      <c r="I21" s="23" t="inlineStr">
        <is>
          <t>RON</t>
        </is>
      </c>
      <c r="J21" s="23" t="inlineStr">
        <is>
          <t>ERP / Facturare</t>
        </is>
      </c>
      <c r="K21" s="23" t="inlineStr">
        <is>
          <t>CFO / Contabilitate</t>
        </is>
      </c>
      <c r="L21" s="16" t="inlineStr"/>
      <c r="M21" s="23" t="inlineStr">
        <is>
          <t>Consistența raportării</t>
        </is>
      </c>
      <c r="N21" s="16" t="inlineStr">
        <is>
          <t>Nesolicitat</t>
        </is>
      </c>
      <c r="O21" s="17" t="n"/>
      <c r="P21" s="16" t="inlineStr"/>
    </row>
    <row r="22" ht="28" customHeight="1">
      <c r="A22" s="23" t="inlineStr">
        <is>
          <t>D018</t>
        </is>
      </c>
      <c r="B22" s="23" t="inlineStr">
        <is>
          <t>Vânzări</t>
        </is>
      </c>
      <c r="C22" s="23" t="inlineStr">
        <is>
          <t>13_VANZARI</t>
        </is>
      </c>
      <c r="D22" s="23" t="inlineStr">
        <is>
          <t>Notes</t>
        </is>
      </c>
      <c r="E22" s="23" t="inlineStr">
        <is>
          <t>Observații</t>
        </is>
      </c>
      <c r="F22" s="23" t="inlineStr">
        <is>
          <t>Context pe linie, dacă e nevoie.</t>
        </is>
      </c>
      <c r="G22" s="23" t="inlineStr">
        <is>
          <t>Opțional</t>
        </is>
      </c>
      <c r="H22" s="23" t="inlineStr">
        <is>
          <t>Text</t>
        </is>
      </c>
      <c r="I22" s="23" t="inlineStr"/>
      <c r="J22" s="23" t="inlineStr">
        <is>
          <t>Interviu / Workshop</t>
        </is>
      </c>
      <c r="K22" s="23" t="inlineStr">
        <is>
          <t>Director Vânzări</t>
        </is>
      </c>
      <c r="L22" s="16" t="inlineStr"/>
      <c r="M22" s="23" t="inlineStr">
        <is>
          <t>Context</t>
        </is>
      </c>
      <c r="N22" s="16" t="inlineStr">
        <is>
          <t>Nesolicitat</t>
        </is>
      </c>
      <c r="O22" s="17" t="n"/>
      <c r="P22" s="16" t="inlineStr"/>
    </row>
    <row r="23" ht="28" customHeight="1">
      <c r="A23" s="23" t="inlineStr">
        <is>
          <t>D019</t>
        </is>
      </c>
      <c r="B23" s="23" t="inlineStr">
        <is>
          <t>Clienți</t>
        </is>
      </c>
      <c r="C23" s="23" t="inlineStr">
        <is>
          <t>10_CLIENTI</t>
        </is>
      </c>
      <c r="D23" s="23" t="inlineStr">
        <is>
          <t>Customer_ID</t>
        </is>
      </c>
      <c r="E23" s="23" t="inlineStr">
        <is>
          <t>ID client</t>
        </is>
      </c>
      <c r="F23" s="23" t="inlineStr">
        <is>
          <t>Cod unic de client, exact cum apare în ERP/CRM. Se folosește în foaia de vânzări.</t>
        </is>
      </c>
      <c r="G23" s="23" t="inlineStr">
        <is>
          <t>Obligatoriu</t>
        </is>
      </c>
      <c r="H23" s="23" t="inlineStr">
        <is>
          <t>Text</t>
        </is>
      </c>
      <c r="I23" s="23" t="inlineStr">
        <is>
          <t>C001</t>
        </is>
      </c>
      <c r="J23" s="23" t="inlineStr">
        <is>
          <t>ERP / Facturare</t>
        </is>
      </c>
      <c r="K23" s="23" t="inlineStr">
        <is>
          <t>IT / ERP</t>
        </is>
      </c>
      <c r="L23" s="16" t="inlineStr"/>
      <c r="M23" s="23" t="inlineStr">
        <is>
          <t>Toate analizele pe client</t>
        </is>
      </c>
      <c r="N23" s="16" t="inlineStr">
        <is>
          <t>Nesolicitat</t>
        </is>
      </c>
      <c r="O23" s="17" t="n"/>
      <c r="P23" s="16" t="inlineStr"/>
    </row>
    <row r="24" ht="28" customHeight="1">
      <c r="A24" s="23" t="inlineStr">
        <is>
          <t>D020</t>
        </is>
      </c>
      <c r="B24" s="23" t="inlineStr">
        <is>
          <t>Clienți</t>
        </is>
      </c>
      <c r="C24" s="23" t="inlineStr">
        <is>
          <t>10_CLIENTI</t>
        </is>
      </c>
      <c r="D24" s="23" t="inlineStr">
        <is>
          <t>Customer_Name</t>
        </is>
      </c>
      <c r="E24" s="23" t="inlineStr">
        <is>
          <t>Denumire client</t>
        </is>
      </c>
      <c r="F24" s="23" t="inlineStr">
        <is>
          <t>Denumirea comercială a clientului.</t>
        </is>
      </c>
      <c r="G24" s="23" t="inlineStr">
        <is>
          <t>Obligatoriu</t>
        </is>
      </c>
      <c r="H24" s="23" t="inlineStr">
        <is>
          <t>Text</t>
        </is>
      </c>
      <c r="I24" s="23" t="inlineStr">
        <is>
          <t>Alfa Distribution SRL</t>
        </is>
      </c>
      <c r="J24" s="23" t="inlineStr">
        <is>
          <t>ERP / Facturare</t>
        </is>
      </c>
      <c r="K24" s="23" t="inlineStr">
        <is>
          <t>Director Vânzări</t>
        </is>
      </c>
      <c r="L24" s="16" t="inlineStr"/>
      <c r="M24" s="23" t="inlineStr">
        <is>
          <t>Raport client, top clienți</t>
        </is>
      </c>
      <c r="N24" s="16" t="inlineStr">
        <is>
          <t>Nesolicitat</t>
        </is>
      </c>
      <c r="O24" s="17" t="n"/>
      <c r="P24" s="16" t="inlineStr"/>
    </row>
    <row r="25" ht="28" customHeight="1">
      <c r="A25" s="23" t="inlineStr">
        <is>
          <t>D021</t>
        </is>
      </c>
      <c r="B25" s="23" t="inlineStr">
        <is>
          <t>Clienți</t>
        </is>
      </c>
      <c r="C25" s="23" t="inlineStr">
        <is>
          <t>10_CLIENTI</t>
        </is>
      </c>
      <c r="D25" s="23" t="inlineStr">
        <is>
          <t>Segment</t>
        </is>
      </c>
      <c r="E25" s="23" t="inlineStr">
        <is>
          <t>Segment</t>
        </is>
      </c>
      <c r="F25" s="23" t="inlineStr">
        <is>
          <t>Segmentul de client (ex. Key Account, Mid, Small, Online).</t>
        </is>
      </c>
      <c r="G25" s="23" t="inlineStr">
        <is>
          <t>Recomandat</t>
        </is>
      </c>
      <c r="H25" s="23" t="inlineStr">
        <is>
          <t>Text</t>
        </is>
      </c>
      <c r="I25" s="23" t="inlineStr">
        <is>
          <t>Key Account</t>
        </is>
      </c>
      <c r="J25" s="23" t="inlineStr">
        <is>
          <t>CRM</t>
        </is>
      </c>
      <c r="K25" s="23" t="inlineStr">
        <is>
          <t>Director Vânzări</t>
        </is>
      </c>
      <c r="L25" s="16" t="inlineStr"/>
      <c r="M25" s="23" t="inlineStr">
        <is>
          <t>Analiză pe segmente</t>
        </is>
      </c>
      <c r="N25" s="16" t="inlineStr">
        <is>
          <t>Nesolicitat</t>
        </is>
      </c>
      <c r="O25" s="17" t="n"/>
      <c r="P25" s="16" t="inlineStr"/>
    </row>
    <row r="26" ht="28" customHeight="1">
      <c r="A26" s="23" t="inlineStr">
        <is>
          <t>D022</t>
        </is>
      </c>
      <c r="B26" s="23" t="inlineStr">
        <is>
          <t>Clienți</t>
        </is>
      </c>
      <c r="C26" s="23" t="inlineStr">
        <is>
          <t>10_CLIENTI</t>
        </is>
      </c>
      <c r="D26" s="23" t="inlineStr">
        <is>
          <t>Channel</t>
        </is>
      </c>
      <c r="E26" s="23" t="inlineStr">
        <is>
          <t>Canal</t>
        </is>
      </c>
      <c r="F26" s="23" t="inlineStr">
        <is>
          <t>Canalul prin care se vinde: Retail, Wholesale, Online, Direct, Partener.</t>
        </is>
      </c>
      <c r="G26" s="23" t="inlineStr">
        <is>
          <t>Recomandat</t>
        </is>
      </c>
      <c r="H26" s="23" t="inlineStr">
        <is>
          <t>Text</t>
        </is>
      </c>
      <c r="I26" s="23" t="inlineStr">
        <is>
          <t>Wholesale</t>
        </is>
      </c>
      <c r="J26" s="23" t="inlineStr">
        <is>
          <t>CRM</t>
        </is>
      </c>
      <c r="K26" s="23" t="inlineStr">
        <is>
          <t>Director Vânzări</t>
        </is>
      </c>
      <c r="L26" s="16" t="inlineStr"/>
      <c r="M26" s="23" t="inlineStr">
        <is>
          <t>Mix de canal, oportunități cross-sell</t>
        </is>
      </c>
      <c r="N26" s="16" t="inlineStr">
        <is>
          <t>Nesolicitat</t>
        </is>
      </c>
      <c r="O26" s="17" t="n"/>
      <c r="P26" s="16" t="inlineStr"/>
    </row>
    <row r="27" ht="28" customHeight="1">
      <c r="A27" s="23" t="inlineStr">
        <is>
          <t>D023</t>
        </is>
      </c>
      <c r="B27" s="23" t="inlineStr">
        <is>
          <t>Clienți</t>
        </is>
      </c>
      <c r="C27" s="23" t="inlineStr">
        <is>
          <t>10_CLIENTI</t>
        </is>
      </c>
      <c r="D27" s="23" t="inlineStr">
        <is>
          <t>Region</t>
        </is>
      </c>
      <c r="E27" s="23" t="inlineStr">
        <is>
          <t>Regiune / Țară</t>
        </is>
      </c>
      <c r="F27" s="23" t="inlineStr">
        <is>
          <t>Regiunea sau țara clientului.</t>
        </is>
      </c>
      <c r="G27" s="23" t="inlineStr">
        <is>
          <t>Recomandat</t>
        </is>
      </c>
      <c r="H27" s="23" t="inlineStr">
        <is>
          <t>Text</t>
        </is>
      </c>
      <c r="I27" s="23" t="inlineStr">
        <is>
          <t>București-Ilfov</t>
        </is>
      </c>
      <c r="J27" s="23" t="inlineStr">
        <is>
          <t>ERP / Facturare</t>
        </is>
      </c>
      <c r="K27" s="23" t="inlineStr">
        <is>
          <t>Sales Ops / CRM</t>
        </is>
      </c>
      <c r="L27" s="16" t="inlineStr"/>
      <c r="M27" s="23" t="inlineStr">
        <is>
          <t>Analiză geografică</t>
        </is>
      </c>
      <c r="N27" s="16" t="inlineStr">
        <is>
          <t>Nesolicitat</t>
        </is>
      </c>
      <c r="O27" s="17" t="n"/>
      <c r="P27" s="16" t="inlineStr"/>
    </row>
    <row r="28" ht="28" customHeight="1">
      <c r="A28" s="23" t="inlineStr">
        <is>
          <t>D024</t>
        </is>
      </c>
      <c r="B28" s="23" t="inlineStr">
        <is>
          <t>Clienți</t>
        </is>
      </c>
      <c r="C28" s="23" t="inlineStr">
        <is>
          <t>10_CLIENTI</t>
        </is>
      </c>
      <c r="D28" s="23" t="inlineStr">
        <is>
          <t>Country</t>
        </is>
      </c>
      <c r="E28" s="23" t="inlineStr">
        <is>
          <t>Țară</t>
        </is>
      </c>
      <c r="F28" s="23" t="inlineStr">
        <is>
          <t>Cod țară (RO, HU, BG...).</t>
        </is>
      </c>
      <c r="G28" s="23" t="inlineStr">
        <is>
          <t>Opțional</t>
        </is>
      </c>
      <c r="H28" s="23" t="inlineStr">
        <is>
          <t>Text</t>
        </is>
      </c>
      <c r="I28" s="23" t="inlineStr">
        <is>
          <t>RO</t>
        </is>
      </c>
      <c r="J28" s="23" t="inlineStr">
        <is>
          <t>ERP / Facturare</t>
        </is>
      </c>
      <c r="K28" s="23" t="inlineStr">
        <is>
          <t>Sales Ops / CRM</t>
        </is>
      </c>
      <c r="L28" s="16" t="inlineStr"/>
      <c r="M28" s="23" t="inlineStr">
        <is>
          <t>Export vs. intern</t>
        </is>
      </c>
      <c r="N28" s="16" t="inlineStr">
        <is>
          <t>Nesolicitat</t>
        </is>
      </c>
      <c r="O28" s="17" t="n"/>
      <c r="P28" s="16" t="inlineStr"/>
    </row>
    <row r="29" ht="28" customHeight="1">
      <c r="A29" s="23" t="inlineStr">
        <is>
          <t>D025</t>
        </is>
      </c>
      <c r="B29" s="23" t="inlineStr">
        <is>
          <t>Clienți</t>
        </is>
      </c>
      <c r="C29" s="23" t="inlineStr">
        <is>
          <t>10_CLIENTI</t>
        </is>
      </c>
      <c r="D29" s="23" t="inlineStr">
        <is>
          <t>Account_Owner_ID</t>
        </is>
      </c>
      <c r="E29" s="23" t="inlineStr">
        <is>
          <t>ID responsabil cont</t>
        </is>
      </c>
      <c r="F29" s="23" t="inlineStr">
        <is>
          <t>ID-ul persoanei din 12_OAMENI care răspunde de acest client.</t>
        </is>
      </c>
      <c r="G29" s="23" t="inlineStr">
        <is>
          <t>Recomandat</t>
        </is>
      </c>
      <c r="H29" s="23" t="inlineStr">
        <is>
          <t>Text</t>
        </is>
      </c>
      <c r="I29" s="23" t="inlineStr">
        <is>
          <t>S001</t>
        </is>
      </c>
      <c r="J29" s="23" t="inlineStr">
        <is>
          <t>CRM</t>
        </is>
      </c>
      <c r="K29" s="23" t="inlineStr">
        <is>
          <t>Director Vânzări</t>
        </is>
      </c>
      <c r="L29" s="16" t="inlineStr"/>
      <c r="M29" s="23" t="inlineStr">
        <is>
          <t>Analiză pe oameni, plan de acțiune</t>
        </is>
      </c>
      <c r="N29" s="16" t="inlineStr">
        <is>
          <t>Nesolicitat</t>
        </is>
      </c>
      <c r="O29" s="17" t="n"/>
      <c r="P29" s="16" t="inlineStr"/>
    </row>
    <row r="30" ht="28" customHeight="1">
      <c r="A30" s="23" t="inlineStr">
        <is>
          <t>D026</t>
        </is>
      </c>
      <c r="B30" s="23" t="inlineStr">
        <is>
          <t>Clienți</t>
        </is>
      </c>
      <c r="C30" s="23" t="inlineStr">
        <is>
          <t>10_CLIENTI</t>
        </is>
      </c>
      <c r="D30" s="23" t="inlineStr">
        <is>
          <t>Customer_Since</t>
        </is>
      </c>
      <c r="E30" s="23" t="inlineStr">
        <is>
          <t>Client din data</t>
        </is>
      </c>
      <c r="F30" s="23" t="inlineStr">
        <is>
          <t>Data primei relații comerciale.</t>
        </is>
      </c>
      <c r="G30" s="23" t="inlineStr">
        <is>
          <t>Recomandat</t>
        </is>
      </c>
      <c r="H30" s="23" t="inlineStr">
        <is>
          <t>yyyy-mm-dd</t>
        </is>
      </c>
      <c r="I30" s="23" t="inlineStr">
        <is>
          <t>2021-03-15</t>
        </is>
      </c>
      <c r="J30" s="23" t="inlineStr">
        <is>
          <t>ERP / Facturare</t>
        </is>
      </c>
      <c r="K30" s="23" t="inlineStr">
        <is>
          <t>Sales Ops / CRM</t>
        </is>
      </c>
      <c r="L30" s="16" t="inlineStr"/>
      <c r="M30" s="23" t="inlineStr">
        <is>
          <t>Vechime, retenție, clienți noi</t>
        </is>
      </c>
      <c r="N30" s="16" t="inlineStr">
        <is>
          <t>Nesolicitat</t>
        </is>
      </c>
      <c r="O30" s="17" t="n"/>
      <c r="P30" s="16" t="inlineStr"/>
    </row>
    <row r="31" ht="28" customHeight="1">
      <c r="A31" s="23" t="inlineStr">
        <is>
          <t>D027</t>
        </is>
      </c>
      <c r="B31" s="23" t="inlineStr">
        <is>
          <t>Clienți</t>
        </is>
      </c>
      <c r="C31" s="23" t="inlineStr">
        <is>
          <t>10_CLIENTI</t>
        </is>
      </c>
      <c r="D31" s="23" t="inlineStr">
        <is>
          <t>Status</t>
        </is>
      </c>
      <c r="E31" s="23" t="inlineStr">
        <is>
          <t>Status</t>
        </is>
      </c>
      <c r="F31" s="23" t="inlineStr">
        <is>
          <t>Activ / Inactiv / Prospect / Pierdut.</t>
        </is>
      </c>
      <c r="G31" s="23" t="inlineStr">
        <is>
          <t>Recomandat</t>
        </is>
      </c>
      <c r="H31" s="23" t="inlineStr">
        <is>
          <t>Text</t>
        </is>
      </c>
      <c r="I31" s="23" t="inlineStr">
        <is>
          <t>Activ</t>
        </is>
      </c>
      <c r="J31" s="23" t="inlineStr">
        <is>
          <t>CRM</t>
        </is>
      </c>
      <c r="K31" s="23" t="inlineStr">
        <is>
          <t>Director Vânzări</t>
        </is>
      </c>
      <c r="L31" s="16" t="inlineStr"/>
      <c r="M31" s="23" t="inlineStr">
        <is>
          <t>Reactivare clienți dormanți</t>
        </is>
      </c>
      <c r="N31" s="16" t="inlineStr">
        <is>
          <t>Nesolicitat</t>
        </is>
      </c>
      <c r="O31" s="17" t="n"/>
      <c r="P31" s="16" t="inlineStr"/>
    </row>
    <row r="32" ht="28" customHeight="1">
      <c r="A32" s="23" t="inlineStr">
        <is>
          <t>D028</t>
        </is>
      </c>
      <c r="B32" s="23" t="inlineStr">
        <is>
          <t>Clienți</t>
        </is>
      </c>
      <c r="C32" s="23" t="inlineStr">
        <is>
          <t>10_CLIENTI</t>
        </is>
      </c>
      <c r="D32" s="23" t="inlineStr">
        <is>
          <t>Payment_Terms_Days</t>
        </is>
      </c>
      <c r="E32" s="23" t="inlineStr">
        <is>
          <t>Termen plată (zile)</t>
        </is>
      </c>
      <c r="F32" s="23" t="inlineStr">
        <is>
          <t>Termenul de plată agreat, în zile.</t>
        </is>
      </c>
      <c r="G32" s="23" t="inlineStr">
        <is>
          <t>Opțional</t>
        </is>
      </c>
      <c r="H32" s="23" t="inlineStr">
        <is>
          <t>#,##0</t>
        </is>
      </c>
      <c r="I32" s="23" t="inlineStr">
        <is>
          <t>30</t>
        </is>
      </c>
      <c r="J32" s="23" t="inlineStr">
        <is>
          <t>Balanță / Contabilitate</t>
        </is>
      </c>
      <c r="K32" s="23" t="inlineStr">
        <is>
          <t>CFO / Contabilitate</t>
        </is>
      </c>
      <c r="L32" s="16" t="inlineStr"/>
      <c r="M32" s="23" t="inlineStr">
        <is>
          <t>Cash-flow, risc</t>
        </is>
      </c>
      <c r="N32" s="16" t="inlineStr">
        <is>
          <t>Nesolicitat</t>
        </is>
      </c>
      <c r="O32" s="17" t="n"/>
      <c r="P32" s="16" t="inlineStr"/>
    </row>
    <row r="33" ht="28" customHeight="1">
      <c r="A33" s="23" t="inlineStr">
        <is>
          <t>D029</t>
        </is>
      </c>
      <c r="B33" s="23" t="inlineStr">
        <is>
          <t>Clienți</t>
        </is>
      </c>
      <c r="C33" s="23" t="inlineStr">
        <is>
          <t>10_CLIENTI</t>
        </is>
      </c>
      <c r="D33" s="23" t="inlineStr">
        <is>
          <t>Credit_Limit</t>
        </is>
      </c>
      <c r="E33" s="23" t="inlineStr">
        <is>
          <t>Limită credit</t>
        </is>
      </c>
      <c r="F33" s="23" t="inlineStr">
        <is>
          <t>Plafonul de credit acordat.</t>
        </is>
      </c>
      <c r="G33" s="23" t="inlineStr">
        <is>
          <t>Opțional</t>
        </is>
      </c>
      <c r="H33" s="23" t="inlineStr">
        <is>
          <t>#,##0</t>
        </is>
      </c>
      <c r="I33" s="23" t="inlineStr">
        <is>
          <t>50000</t>
        </is>
      </c>
      <c r="J33" s="23" t="inlineStr">
        <is>
          <t>Balanță / Contabilitate</t>
        </is>
      </c>
      <c r="K33" s="23" t="inlineStr">
        <is>
          <t>CFO / Contabilitate</t>
        </is>
      </c>
      <c r="L33" s="16" t="inlineStr"/>
      <c r="M33" s="23" t="inlineStr">
        <is>
          <t>Risc comercial</t>
        </is>
      </c>
      <c r="N33" s="16" t="inlineStr">
        <is>
          <t>Nesolicitat</t>
        </is>
      </c>
      <c r="O33" s="17" t="n"/>
      <c r="P33" s="16" t="inlineStr"/>
    </row>
    <row r="34" ht="28" customHeight="1">
      <c r="A34" s="23" t="inlineStr">
        <is>
          <t>D030</t>
        </is>
      </c>
      <c r="B34" s="23" t="inlineStr">
        <is>
          <t>Clienți</t>
        </is>
      </c>
      <c r="C34" s="23" t="inlineStr">
        <is>
          <t>10_CLIENTI</t>
        </is>
      </c>
      <c r="D34" s="23" t="inlineStr">
        <is>
          <t>Notes</t>
        </is>
      </c>
      <c r="E34" s="23" t="inlineStr">
        <is>
          <t>Observații</t>
        </is>
      </c>
      <c r="F34" s="23" t="inlineStr">
        <is>
          <t>Context util: istoric, relație, riscuri cunoscute.</t>
        </is>
      </c>
      <c r="G34" s="23" t="inlineStr">
        <is>
          <t>Opțional</t>
        </is>
      </c>
      <c r="H34" s="23" t="inlineStr">
        <is>
          <t>Text</t>
        </is>
      </c>
      <c r="I34" s="23" t="inlineStr">
        <is>
          <t>Renegociere contract în T3</t>
        </is>
      </c>
      <c r="J34" s="23" t="inlineStr">
        <is>
          <t>Interviu / Workshop</t>
        </is>
      </c>
      <c r="K34" s="23" t="inlineStr">
        <is>
          <t>Director Vânzări</t>
        </is>
      </c>
      <c r="L34" s="16" t="inlineStr"/>
      <c r="M34" s="23" t="inlineStr">
        <is>
          <t>Context pentru recomandări</t>
        </is>
      </c>
      <c r="N34" s="16" t="inlineStr">
        <is>
          <t>Nesolicitat</t>
        </is>
      </c>
      <c r="O34" s="17" t="n"/>
      <c r="P34" s="16" t="inlineStr"/>
    </row>
    <row r="35" ht="28" customHeight="1">
      <c r="A35" s="23" t="inlineStr">
        <is>
          <t>D031</t>
        </is>
      </c>
      <c r="B35" s="23" t="inlineStr">
        <is>
          <t>Produse</t>
        </is>
      </c>
      <c r="C35" s="23" t="inlineStr">
        <is>
          <t>11_PRODUSE</t>
        </is>
      </c>
      <c r="D35" s="23" t="inlineStr">
        <is>
          <t>Product_ID</t>
        </is>
      </c>
      <c r="E35" s="23" t="inlineStr">
        <is>
          <t>ID produs</t>
        </is>
      </c>
      <c r="F35" s="23" t="inlineStr">
        <is>
          <t>Cod unic de produs/serviciu (SKU), exact ca în ERP.</t>
        </is>
      </c>
      <c r="G35" s="23" t="inlineStr">
        <is>
          <t>Obligatoriu</t>
        </is>
      </c>
      <c r="H35" s="23" t="inlineStr">
        <is>
          <t>Text</t>
        </is>
      </c>
      <c r="I35" s="23" t="inlineStr">
        <is>
          <t>P001</t>
        </is>
      </c>
      <c r="J35" s="23" t="inlineStr">
        <is>
          <t>ERP / Facturare</t>
        </is>
      </c>
      <c r="K35" s="23" t="inlineStr">
        <is>
          <t>IT / ERP</t>
        </is>
      </c>
      <c r="L35" s="16" t="inlineStr"/>
      <c r="M35" s="23" t="inlineStr">
        <is>
          <t>Analiză produs, cross-sell</t>
        </is>
      </c>
      <c r="N35" s="16" t="inlineStr">
        <is>
          <t>Nesolicitat</t>
        </is>
      </c>
      <c r="O35" s="17" t="n"/>
      <c r="P35" s="16" t="inlineStr"/>
    </row>
    <row r="36" ht="28" customHeight="1">
      <c r="A36" s="23" t="inlineStr">
        <is>
          <t>D032</t>
        </is>
      </c>
      <c r="B36" s="23" t="inlineStr">
        <is>
          <t>Produse</t>
        </is>
      </c>
      <c r="C36" s="23" t="inlineStr">
        <is>
          <t>11_PRODUSE</t>
        </is>
      </c>
      <c r="D36" s="23" t="inlineStr">
        <is>
          <t>Product_Name</t>
        </is>
      </c>
      <c r="E36" s="23" t="inlineStr">
        <is>
          <t>Denumire produs</t>
        </is>
      </c>
      <c r="F36" s="23" t="inlineStr">
        <is>
          <t>Denumirea produsului sau serviciului.</t>
        </is>
      </c>
      <c r="G36" s="23" t="inlineStr">
        <is>
          <t>Obligatoriu</t>
        </is>
      </c>
      <c r="H36" s="23" t="inlineStr">
        <is>
          <t>Text</t>
        </is>
      </c>
      <c r="I36" s="23" t="inlineStr">
        <is>
          <t>Serviciu mentenanță Premium</t>
        </is>
      </c>
      <c r="J36" s="23" t="inlineStr">
        <is>
          <t>ERP / Facturare</t>
        </is>
      </c>
      <c r="K36" s="23" t="inlineStr">
        <is>
          <t>Operațiuni / Logistică</t>
        </is>
      </c>
      <c r="L36" s="16" t="inlineStr"/>
      <c r="M36" s="23" t="inlineStr">
        <is>
          <t>Raport produs</t>
        </is>
      </c>
      <c r="N36" s="16" t="inlineStr">
        <is>
          <t>Nesolicitat</t>
        </is>
      </c>
      <c r="O36" s="17" t="n"/>
      <c r="P36" s="16" t="inlineStr"/>
    </row>
    <row r="37" ht="28" customHeight="1">
      <c r="A37" s="23" t="inlineStr">
        <is>
          <t>D033</t>
        </is>
      </c>
      <c r="B37" s="23" t="inlineStr">
        <is>
          <t>Produse</t>
        </is>
      </c>
      <c r="C37" s="23" t="inlineStr">
        <is>
          <t>11_PRODUSE</t>
        </is>
      </c>
      <c r="D37" s="23" t="inlineStr">
        <is>
          <t>Category</t>
        </is>
      </c>
      <c r="E37" s="23" t="inlineStr">
        <is>
          <t>Categorie</t>
        </is>
      </c>
      <c r="F37" s="23" t="inlineStr">
        <is>
          <t>Categoria/linia de business.</t>
        </is>
      </c>
      <c r="G37" s="23" t="inlineStr">
        <is>
          <t>Recomandat</t>
        </is>
      </c>
      <c r="H37" s="23" t="inlineStr">
        <is>
          <t>Text</t>
        </is>
      </c>
      <c r="I37" s="23" t="inlineStr">
        <is>
          <t>Servicii recurente</t>
        </is>
      </c>
      <c r="J37" s="23" t="inlineStr">
        <is>
          <t>ERP / Facturare</t>
        </is>
      </c>
      <c r="K37" s="23" t="inlineStr">
        <is>
          <t>Operațiuni / Logistică</t>
        </is>
      </c>
      <c r="L37" s="16" t="inlineStr"/>
      <c r="M37" s="23" t="inlineStr">
        <is>
          <t>Mix de categorie, marjă</t>
        </is>
      </c>
      <c r="N37" s="16" t="inlineStr">
        <is>
          <t>Nesolicitat</t>
        </is>
      </c>
      <c r="O37" s="17" t="n"/>
      <c r="P37" s="16" t="inlineStr"/>
    </row>
    <row r="38" ht="28" customHeight="1">
      <c r="A38" s="23" t="inlineStr">
        <is>
          <t>D034</t>
        </is>
      </c>
      <c r="B38" s="23" t="inlineStr">
        <is>
          <t>Produse</t>
        </is>
      </c>
      <c r="C38" s="23" t="inlineStr">
        <is>
          <t>11_PRODUSE</t>
        </is>
      </c>
      <c r="D38" s="23" t="inlineStr">
        <is>
          <t>Subcategory</t>
        </is>
      </c>
      <c r="E38" s="23" t="inlineStr">
        <is>
          <t>Subcategorie</t>
        </is>
      </c>
      <c r="F38" s="23" t="inlineStr">
        <is>
          <t>Nivel suplimentar de grupare, dacă există.</t>
        </is>
      </c>
      <c r="G38" s="23" t="inlineStr">
        <is>
          <t>Opțional</t>
        </is>
      </c>
      <c r="H38" s="23" t="inlineStr">
        <is>
          <t>Text</t>
        </is>
      </c>
      <c r="I38" s="23" t="inlineStr">
        <is>
          <t>Contracte anuale</t>
        </is>
      </c>
      <c r="J38" s="23" t="inlineStr">
        <is>
          <t>ERP / Facturare</t>
        </is>
      </c>
      <c r="K38" s="23" t="inlineStr">
        <is>
          <t>Operațiuni / Logistică</t>
        </is>
      </c>
      <c r="L38" s="16" t="inlineStr"/>
      <c r="M38" s="23" t="inlineStr">
        <is>
          <t>Detaliere mix</t>
        </is>
      </c>
      <c r="N38" s="16" t="inlineStr">
        <is>
          <t>Nesolicitat</t>
        </is>
      </c>
      <c r="O38" s="17" t="n"/>
      <c r="P38" s="16" t="inlineStr"/>
    </row>
    <row r="39" ht="28" customHeight="1">
      <c r="A39" s="23" t="inlineStr">
        <is>
          <t>D035</t>
        </is>
      </c>
      <c r="B39" s="23" t="inlineStr">
        <is>
          <t>Produse</t>
        </is>
      </c>
      <c r="C39" s="23" t="inlineStr">
        <is>
          <t>11_PRODUSE</t>
        </is>
      </c>
      <c r="D39" s="23" t="inlineStr">
        <is>
          <t>List_Price</t>
        </is>
      </c>
      <c r="E39" s="23" t="inlineStr">
        <is>
          <t>Preț de listă</t>
        </is>
      </c>
      <c r="F39" s="23" t="inlineStr">
        <is>
          <t>Prețul standard de listă, fără TVA.</t>
        </is>
      </c>
      <c r="G39" s="23" t="inlineStr">
        <is>
          <t>Recomandat</t>
        </is>
      </c>
      <c r="H39" s="23" t="inlineStr">
        <is>
          <t>#,##0</t>
        </is>
      </c>
      <c r="I39" s="23" t="inlineStr">
        <is>
          <t>1200</t>
        </is>
      </c>
      <c r="J39" s="23" t="inlineStr">
        <is>
          <t>Excel intern</t>
        </is>
      </c>
      <c r="K39" s="23" t="inlineStr">
        <is>
          <t>Director Vânzări</t>
        </is>
      </c>
      <c r="L39" s="16" t="inlineStr"/>
      <c r="M39" s="23" t="inlineStr">
        <is>
          <t>Analiză discount, erodare preț</t>
        </is>
      </c>
      <c r="N39" s="16" t="inlineStr">
        <is>
          <t>Nesolicitat</t>
        </is>
      </c>
      <c r="O39" s="17" t="n"/>
      <c r="P39" s="16" t="inlineStr"/>
    </row>
    <row r="40" ht="28" customHeight="1">
      <c r="A40" s="23" t="inlineStr">
        <is>
          <t>D036</t>
        </is>
      </c>
      <c r="B40" s="23" t="inlineStr">
        <is>
          <t>Produse</t>
        </is>
      </c>
      <c r="C40" s="23" t="inlineStr">
        <is>
          <t>11_PRODUSE</t>
        </is>
      </c>
      <c r="D40" s="23" t="inlineStr">
        <is>
          <t>Standard_Cost</t>
        </is>
      </c>
      <c r="E40" s="23" t="inlineStr">
        <is>
          <t>Cost standard</t>
        </is>
      </c>
      <c r="F40" s="23" t="inlineStr">
        <is>
          <t>Costul unitar standard (COGS).</t>
        </is>
      </c>
      <c r="G40" s="23" t="inlineStr">
        <is>
          <t>Recomandat</t>
        </is>
      </c>
      <c r="H40" s="23" t="inlineStr">
        <is>
          <t>#,##0</t>
        </is>
      </c>
      <c r="I40" s="23" t="inlineStr">
        <is>
          <t>760</t>
        </is>
      </c>
      <c r="J40" s="23" t="inlineStr">
        <is>
          <t>Balanță / Contabilitate</t>
        </is>
      </c>
      <c r="K40" s="23" t="inlineStr">
        <is>
          <t>CFO / Contabilitate</t>
        </is>
      </c>
      <c r="L40" s="16" t="inlineStr"/>
      <c r="M40" s="23" t="inlineStr">
        <is>
          <t>Marjă pe produs</t>
        </is>
      </c>
      <c r="N40" s="16" t="inlineStr">
        <is>
          <t>Nesolicitat</t>
        </is>
      </c>
      <c r="O40" s="17" t="n"/>
      <c r="P40" s="16" t="inlineStr"/>
    </row>
    <row r="41" ht="28" customHeight="1">
      <c r="A41" s="23" t="inlineStr">
        <is>
          <t>D037</t>
        </is>
      </c>
      <c r="B41" s="23" t="inlineStr">
        <is>
          <t>Produse</t>
        </is>
      </c>
      <c r="C41" s="23" t="inlineStr">
        <is>
          <t>11_PRODUSE</t>
        </is>
      </c>
      <c r="D41" s="23" t="inlineStr">
        <is>
          <t>Is_Recurring</t>
        </is>
      </c>
      <c r="E41" s="23" t="inlineStr">
        <is>
          <t>Recurent (Da/Nu)</t>
        </is>
      </c>
      <c r="F41" s="23" t="inlineStr">
        <is>
          <t>Produs recurent/abonament sau vânzare unică.</t>
        </is>
      </c>
      <c r="G41" s="23" t="inlineStr">
        <is>
          <t>Opțional</t>
        </is>
      </c>
      <c r="H41" s="23" t="inlineStr">
        <is>
          <t>Text</t>
        </is>
      </c>
      <c r="I41" s="23" t="inlineStr">
        <is>
          <t>Da</t>
        </is>
      </c>
      <c r="J41" s="23" t="inlineStr">
        <is>
          <t>Excel intern</t>
        </is>
      </c>
      <c r="K41" s="23" t="inlineStr">
        <is>
          <t>Director Vânzări</t>
        </is>
      </c>
      <c r="L41" s="16" t="inlineStr"/>
      <c r="M41" s="23" t="inlineStr">
        <is>
          <t>Venit recurent vs. one-off</t>
        </is>
      </c>
      <c r="N41" s="16" t="inlineStr">
        <is>
          <t>Nesolicitat</t>
        </is>
      </c>
      <c r="O41" s="17" t="n"/>
      <c r="P41" s="16" t="inlineStr"/>
    </row>
    <row r="42" ht="28" customHeight="1">
      <c r="A42" s="23" t="inlineStr">
        <is>
          <t>D038</t>
        </is>
      </c>
      <c r="B42" s="23" t="inlineStr">
        <is>
          <t>Produse</t>
        </is>
      </c>
      <c r="C42" s="23" t="inlineStr">
        <is>
          <t>11_PRODUSE</t>
        </is>
      </c>
      <c r="D42" s="23" t="inlineStr">
        <is>
          <t>Launch_Date</t>
        </is>
      </c>
      <c r="E42" s="23" t="inlineStr">
        <is>
          <t>Data lansării</t>
        </is>
      </c>
      <c r="F42" s="23" t="inlineStr">
        <is>
          <t>Când a fost lansat produsul.</t>
        </is>
      </c>
      <c r="G42" s="23" t="inlineStr">
        <is>
          <t>Opțional</t>
        </is>
      </c>
      <c r="H42" s="23" t="inlineStr">
        <is>
          <t>yyyy-mm-dd</t>
        </is>
      </c>
      <c r="I42" s="23" t="inlineStr">
        <is>
          <t>2024-09-01</t>
        </is>
      </c>
      <c r="J42" s="23" t="inlineStr">
        <is>
          <t>Excel intern</t>
        </is>
      </c>
      <c r="K42" s="23" t="inlineStr">
        <is>
          <t>Marketing</t>
        </is>
      </c>
      <c r="L42" s="16" t="inlineStr"/>
      <c r="M42" s="23" t="inlineStr">
        <is>
          <t>Creștere produse noi</t>
        </is>
      </c>
      <c r="N42" s="16" t="inlineStr">
        <is>
          <t>Nesolicitat</t>
        </is>
      </c>
      <c r="O42" s="17" t="n"/>
      <c r="P42" s="16" t="inlineStr"/>
    </row>
    <row r="43" ht="28" customHeight="1">
      <c r="A43" s="23" t="inlineStr">
        <is>
          <t>D039</t>
        </is>
      </c>
      <c r="B43" s="23" t="inlineStr">
        <is>
          <t>Produse</t>
        </is>
      </c>
      <c r="C43" s="23" t="inlineStr">
        <is>
          <t>11_PRODUSE</t>
        </is>
      </c>
      <c r="D43" s="23" t="inlineStr">
        <is>
          <t>Status</t>
        </is>
      </c>
      <c r="E43" s="23" t="inlineStr">
        <is>
          <t>Status</t>
        </is>
      </c>
      <c r="F43" s="23" t="inlineStr">
        <is>
          <t>Activ / Retras / În pilot.</t>
        </is>
      </c>
      <c r="G43" s="23" t="inlineStr">
        <is>
          <t>Opțional</t>
        </is>
      </c>
      <c r="H43" s="23" t="inlineStr">
        <is>
          <t>Text</t>
        </is>
      </c>
      <c r="I43" s="23" t="inlineStr">
        <is>
          <t>Activ</t>
        </is>
      </c>
      <c r="J43" s="23" t="inlineStr">
        <is>
          <t>Excel intern</t>
        </is>
      </c>
      <c r="K43" s="23" t="inlineStr">
        <is>
          <t>Operațiuni / Logistică</t>
        </is>
      </c>
      <c r="L43" s="16" t="inlineStr"/>
      <c r="M43" s="23" t="inlineStr">
        <is>
          <t>Curățare portofoliu</t>
        </is>
      </c>
      <c r="N43" s="16" t="inlineStr">
        <is>
          <t>Nesolicitat</t>
        </is>
      </c>
      <c r="O43" s="17" t="n"/>
      <c r="P43" s="16" t="inlineStr"/>
    </row>
    <row r="44" ht="28" customHeight="1">
      <c r="A44" s="23" t="inlineStr">
        <is>
          <t>D040</t>
        </is>
      </c>
      <c r="B44" s="23" t="inlineStr">
        <is>
          <t>Ținte / buget</t>
        </is>
      </c>
      <c r="C44" s="23" t="inlineStr">
        <is>
          <t>14_TINTE</t>
        </is>
      </c>
      <c r="D44" s="23" t="inlineStr">
        <is>
          <t>Period_Date</t>
        </is>
      </c>
      <c r="E44" s="23" t="inlineStr">
        <is>
          <t>Perioadă (data)</t>
        </is>
      </c>
      <c r="F44" s="23" t="inlineStr">
        <is>
          <t>Ultima zi a lunii/trimestrului pentru care e stabilită ținta.</t>
        </is>
      </c>
      <c r="G44" s="23" t="inlineStr">
        <is>
          <t>Obligatoriu</t>
        </is>
      </c>
      <c r="H44" s="23" t="inlineStr">
        <is>
          <t>yyyy-mm-dd</t>
        </is>
      </c>
      <c r="I44" s="23" t="inlineStr">
        <is>
          <t>2026-01-31</t>
        </is>
      </c>
      <c r="J44" s="23" t="inlineStr">
        <is>
          <t>Excel intern</t>
        </is>
      </c>
      <c r="K44" s="23" t="inlineStr">
        <is>
          <t>CFO / Contabilitate</t>
        </is>
      </c>
      <c r="L44" s="16" t="inlineStr"/>
      <c r="M44" s="23" t="inlineStr">
        <is>
          <t>Atingere țintă</t>
        </is>
      </c>
      <c r="N44" s="16" t="inlineStr">
        <is>
          <t>Nesolicitat</t>
        </is>
      </c>
      <c r="O44" s="17" t="n"/>
      <c r="P44" s="16" t="inlineStr"/>
    </row>
    <row r="45" ht="28" customHeight="1">
      <c r="A45" s="23" t="inlineStr">
        <is>
          <t>D041</t>
        </is>
      </c>
      <c r="B45" s="23" t="inlineStr">
        <is>
          <t>Ținte / buget</t>
        </is>
      </c>
      <c r="C45" s="23" t="inlineStr">
        <is>
          <t>14_TINTE</t>
        </is>
      </c>
      <c r="D45" s="23" t="inlineStr">
        <is>
          <t>Scope</t>
        </is>
      </c>
      <c r="E45" s="23" t="inlineStr">
        <is>
          <t>Nivel țintă</t>
        </is>
      </c>
      <c r="F45" s="23" t="inlineStr">
        <is>
          <t>Companie / Persoană / Produs / Client.</t>
        </is>
      </c>
      <c r="G45" s="23" t="inlineStr">
        <is>
          <t>Obligatoriu</t>
        </is>
      </c>
      <c r="H45" s="23" t="inlineStr">
        <is>
          <t>Text</t>
        </is>
      </c>
      <c r="I45" s="23" t="inlineStr">
        <is>
          <t>Companie</t>
        </is>
      </c>
      <c r="J45" s="23" t="inlineStr">
        <is>
          <t>Excel intern</t>
        </is>
      </c>
      <c r="K45" s="23" t="inlineStr">
        <is>
          <t>Director Vânzări</t>
        </is>
      </c>
      <c r="L45" s="16" t="inlineStr"/>
      <c r="M45" s="23" t="inlineStr">
        <is>
          <t>Comparație realizat vs. plan</t>
        </is>
      </c>
      <c r="N45" s="16" t="inlineStr">
        <is>
          <t>Nesolicitat</t>
        </is>
      </c>
      <c r="O45" s="17" t="n"/>
      <c r="P45" s="16" t="inlineStr"/>
    </row>
    <row r="46" ht="28" customHeight="1">
      <c r="A46" s="23" t="inlineStr">
        <is>
          <t>D042</t>
        </is>
      </c>
      <c r="B46" s="23" t="inlineStr">
        <is>
          <t>Ținte / buget</t>
        </is>
      </c>
      <c r="C46" s="23" t="inlineStr">
        <is>
          <t>14_TINTE</t>
        </is>
      </c>
      <c r="D46" s="23" t="inlineStr">
        <is>
          <t>Scope_ID</t>
        </is>
      </c>
      <c r="E46" s="23" t="inlineStr">
        <is>
          <t>ID nivel</t>
        </is>
      </c>
      <c r="F46" s="23" t="inlineStr">
        <is>
          <t>Se lasă gol pentru Companie; altfel ID-ul persoanei/produsului/clientului.</t>
        </is>
      </c>
      <c r="G46" s="23" t="inlineStr">
        <is>
          <t>Recomandat</t>
        </is>
      </c>
      <c r="H46" s="23" t="inlineStr">
        <is>
          <t>Text</t>
        </is>
      </c>
      <c r="I46" s="23" t="inlineStr">
        <is>
          <t>S001</t>
        </is>
      </c>
      <c r="J46" s="23" t="inlineStr">
        <is>
          <t>Excel intern</t>
        </is>
      </c>
      <c r="K46" s="23" t="inlineStr">
        <is>
          <t>Director Vânzări</t>
        </is>
      </c>
      <c r="L46" s="16" t="inlineStr"/>
      <c r="M46" s="23" t="inlineStr">
        <is>
          <t>Gap pe om/produs</t>
        </is>
      </c>
      <c r="N46" s="16" t="inlineStr">
        <is>
          <t>Nesolicitat</t>
        </is>
      </c>
      <c r="O46" s="17" t="n"/>
      <c r="P46" s="16" t="inlineStr"/>
    </row>
    <row r="47" ht="28" customHeight="1">
      <c r="A47" s="23" t="inlineStr">
        <is>
          <t>D043</t>
        </is>
      </c>
      <c r="B47" s="23" t="inlineStr">
        <is>
          <t>Ținte / buget</t>
        </is>
      </c>
      <c r="C47" s="23" t="inlineStr">
        <is>
          <t>14_TINTE</t>
        </is>
      </c>
      <c r="D47" s="23" t="inlineStr">
        <is>
          <t>Metric</t>
        </is>
      </c>
      <c r="E47" s="23" t="inlineStr">
        <is>
          <t>Indicator</t>
        </is>
      </c>
      <c r="F47" s="23" t="inlineStr">
        <is>
          <t>Venit / Profit brut / Unități.</t>
        </is>
      </c>
      <c r="G47" s="23" t="inlineStr">
        <is>
          <t>Obligatoriu</t>
        </is>
      </c>
      <c r="H47" s="23" t="inlineStr">
        <is>
          <t>Text</t>
        </is>
      </c>
      <c r="I47" s="23" t="inlineStr">
        <is>
          <t>Venit</t>
        </is>
      </c>
      <c r="J47" s="23" t="inlineStr">
        <is>
          <t>Excel intern</t>
        </is>
      </c>
      <c r="K47" s="23" t="inlineStr">
        <is>
          <t>CFO / Contabilitate</t>
        </is>
      </c>
      <c r="L47" s="16" t="inlineStr"/>
      <c r="M47" s="23" t="inlineStr">
        <is>
          <t>Ce se măsoară</t>
        </is>
      </c>
      <c r="N47" s="16" t="inlineStr">
        <is>
          <t>Nesolicitat</t>
        </is>
      </c>
      <c r="O47" s="17" t="n"/>
      <c r="P47" s="16" t="inlineStr"/>
    </row>
    <row r="48" ht="28" customHeight="1">
      <c r="A48" s="23" t="inlineStr">
        <is>
          <t>D044</t>
        </is>
      </c>
      <c r="B48" s="23" t="inlineStr">
        <is>
          <t>Ținte / buget</t>
        </is>
      </c>
      <c r="C48" s="23" t="inlineStr">
        <is>
          <t>14_TINTE</t>
        </is>
      </c>
      <c r="D48" s="23" t="inlineStr">
        <is>
          <t>Target_Value</t>
        </is>
      </c>
      <c r="E48" s="23" t="inlineStr">
        <is>
          <t>Valoare țintă</t>
        </is>
      </c>
      <c r="F48" s="23" t="inlineStr">
        <is>
          <t>Valoarea planificată pentru perioada respectivă.</t>
        </is>
      </c>
      <c r="G48" s="23" t="inlineStr">
        <is>
          <t>Obligatoriu</t>
        </is>
      </c>
      <c r="H48" s="23" t="inlineStr">
        <is>
          <t>#,##0</t>
        </is>
      </c>
      <c r="I48" s="23" t="inlineStr">
        <is>
          <t>120000</t>
        </is>
      </c>
      <c r="J48" s="23" t="inlineStr">
        <is>
          <t>Excel intern</t>
        </is>
      </c>
      <c r="K48" s="23" t="inlineStr">
        <is>
          <t>CFO / Contabilitate</t>
        </is>
      </c>
      <c r="L48" s="16" t="inlineStr"/>
      <c r="M48" s="23" t="inlineStr">
        <is>
          <t>Gap față de țintă</t>
        </is>
      </c>
      <c r="N48" s="16" t="inlineStr">
        <is>
          <t>Nesolicitat</t>
        </is>
      </c>
      <c r="O48" s="17" t="n"/>
      <c r="P48" s="16" t="inlineStr"/>
    </row>
    <row r="49" ht="28" customHeight="1">
      <c r="A49" s="23" t="inlineStr">
        <is>
          <t>D045</t>
        </is>
      </c>
      <c r="B49" s="23" t="inlineStr">
        <is>
          <t>Ținte / buget</t>
        </is>
      </c>
      <c r="C49" s="23" t="inlineStr">
        <is>
          <t>14_TINTE</t>
        </is>
      </c>
      <c r="D49" s="23" t="inlineStr">
        <is>
          <t>Notes</t>
        </is>
      </c>
      <c r="E49" s="23" t="inlineStr">
        <is>
          <t>Observații</t>
        </is>
      </c>
      <c r="F49" s="23" t="inlineStr">
        <is>
          <t>Ipoteze, revizuiri de buget.</t>
        </is>
      </c>
      <c r="G49" s="23" t="inlineStr">
        <is>
          <t>Opțional</t>
        </is>
      </c>
      <c r="H49" s="23" t="inlineStr">
        <is>
          <t>Text</t>
        </is>
      </c>
      <c r="I49" s="23" t="inlineStr">
        <is>
          <t>Buget revizuit în T2</t>
        </is>
      </c>
      <c r="J49" s="23" t="inlineStr">
        <is>
          <t>Interviu / Workshop</t>
        </is>
      </c>
      <c r="K49" s="23" t="inlineStr">
        <is>
          <t>CFO / Contabilitate</t>
        </is>
      </c>
      <c r="L49" s="16" t="inlineStr"/>
      <c r="M49" s="23" t="inlineStr">
        <is>
          <t>Context</t>
        </is>
      </c>
      <c r="N49" s="16" t="inlineStr">
        <is>
          <t>Nesolicitat</t>
        </is>
      </c>
      <c r="O49" s="17" t="n"/>
      <c r="P49" s="16" t="inlineStr"/>
    </row>
    <row r="50" ht="28" customHeight="1">
      <c r="A50" s="23" t="inlineStr">
        <is>
          <t>D046</t>
        </is>
      </c>
      <c r="B50" s="23" t="inlineStr">
        <is>
          <t>NPS / feedback</t>
        </is>
      </c>
      <c r="C50" s="23" t="inlineStr">
        <is>
          <t>15_NPS</t>
        </is>
      </c>
      <c r="D50" s="23" t="inlineStr">
        <is>
          <t>Response_ID</t>
        </is>
      </c>
      <c r="E50" s="23" t="inlineStr">
        <is>
          <t>ID răspuns</t>
        </is>
      </c>
      <c r="F50" s="23" t="inlineStr">
        <is>
          <t>Cod unic al răspunsului.</t>
        </is>
      </c>
      <c r="G50" s="23" t="inlineStr">
        <is>
          <t>Obligatoriu</t>
        </is>
      </c>
      <c r="H50" s="23" t="inlineStr">
        <is>
          <t>Text</t>
        </is>
      </c>
      <c r="I50" s="23" t="inlineStr">
        <is>
          <t>R0001</t>
        </is>
      </c>
      <c r="J50" s="23" t="inlineStr">
        <is>
          <t>Chestionar NPS</t>
        </is>
      </c>
      <c r="K50" s="23" t="inlineStr">
        <is>
          <t>Marketing</t>
        </is>
      </c>
      <c r="L50" s="16" t="inlineStr"/>
      <c r="M50" s="23" t="inlineStr">
        <is>
          <t>Trasabilitate</t>
        </is>
      </c>
      <c r="N50" s="16" t="inlineStr">
        <is>
          <t>Nesolicitat</t>
        </is>
      </c>
      <c r="O50" s="17" t="n"/>
      <c r="P50" s="16" t="inlineStr"/>
    </row>
    <row r="51" ht="28" customHeight="1">
      <c r="A51" s="23" t="inlineStr">
        <is>
          <t>D047</t>
        </is>
      </c>
      <c r="B51" s="23" t="inlineStr">
        <is>
          <t>NPS / feedback</t>
        </is>
      </c>
      <c r="C51" s="23" t="inlineStr">
        <is>
          <t>15_NPS</t>
        </is>
      </c>
      <c r="D51" s="23" t="inlineStr">
        <is>
          <t>Survey_Date</t>
        </is>
      </c>
      <c r="E51" s="23" t="inlineStr">
        <is>
          <t>Data răspunsului</t>
        </is>
      </c>
      <c r="F51" s="23" t="inlineStr">
        <is>
          <t>Data la care s-a primit răspunsul.</t>
        </is>
      </c>
      <c r="G51" s="23" t="inlineStr">
        <is>
          <t>Obligatoriu</t>
        </is>
      </c>
      <c r="H51" s="23" t="inlineStr">
        <is>
          <t>yyyy-mm-dd</t>
        </is>
      </c>
      <c r="I51" s="23" t="inlineStr">
        <is>
          <t>2026-02-10</t>
        </is>
      </c>
      <c r="J51" s="23" t="inlineStr">
        <is>
          <t>Chestionar NPS</t>
        </is>
      </c>
      <c r="K51" s="23" t="inlineStr">
        <is>
          <t>Marketing</t>
        </is>
      </c>
      <c r="L51" s="16" t="inlineStr"/>
      <c r="M51" s="23" t="inlineStr">
        <is>
          <t>NPS pe perioadă, trend</t>
        </is>
      </c>
      <c r="N51" s="16" t="inlineStr">
        <is>
          <t>Nesolicitat</t>
        </is>
      </c>
      <c r="O51" s="17" t="n"/>
      <c r="P51" s="16" t="inlineStr"/>
    </row>
    <row r="52" ht="28" customHeight="1">
      <c r="A52" s="23" t="inlineStr">
        <is>
          <t>D048</t>
        </is>
      </c>
      <c r="B52" s="23" t="inlineStr">
        <is>
          <t>NPS / feedback</t>
        </is>
      </c>
      <c r="C52" s="23" t="inlineStr">
        <is>
          <t>15_NPS</t>
        </is>
      </c>
      <c r="D52" s="23" t="inlineStr">
        <is>
          <t>Customer_ID</t>
        </is>
      </c>
      <c r="E52" s="23" t="inlineStr">
        <is>
          <t>ID client</t>
        </is>
      </c>
      <c r="F52" s="23" t="inlineStr">
        <is>
          <t>Clientul care a răspuns; trebuie să existe în 10_CLIENTI.</t>
        </is>
      </c>
      <c r="G52" s="23" t="inlineStr">
        <is>
          <t>Obligatoriu</t>
        </is>
      </c>
      <c r="H52" s="23" t="inlineStr">
        <is>
          <t>Text</t>
        </is>
      </c>
      <c r="I52" s="23" t="inlineStr">
        <is>
          <t>C001</t>
        </is>
      </c>
      <c r="J52" s="23" t="inlineStr">
        <is>
          <t>Chestionar NPS</t>
        </is>
      </c>
      <c r="K52" s="23" t="inlineStr">
        <is>
          <t>Customer Service</t>
        </is>
      </c>
      <c r="L52" s="16" t="inlineStr"/>
      <c r="M52" s="23" t="inlineStr">
        <is>
          <t>NPS pe client, corelație cu venitul</t>
        </is>
      </c>
      <c r="N52" s="16" t="inlineStr">
        <is>
          <t>Nesolicitat</t>
        </is>
      </c>
      <c r="O52" s="17" t="n"/>
      <c r="P52" s="16" t="inlineStr"/>
    </row>
    <row r="53" ht="28" customHeight="1">
      <c r="A53" s="23" t="inlineStr">
        <is>
          <t>D049</t>
        </is>
      </c>
      <c r="B53" s="23" t="inlineStr">
        <is>
          <t>NPS / feedback</t>
        </is>
      </c>
      <c r="C53" s="23" t="inlineStr">
        <is>
          <t>15_NPS</t>
        </is>
      </c>
      <c r="D53" s="23" t="inlineStr">
        <is>
          <t>Respondent_Name</t>
        </is>
      </c>
      <c r="E53" s="23" t="inlineStr">
        <is>
          <t>Nume respondent</t>
        </is>
      </c>
      <c r="F53" s="23" t="inlineStr">
        <is>
          <t>Persoana care a răspuns (dacă e permis de GDPR să fie nominalizată).</t>
        </is>
      </c>
      <c r="G53" s="23" t="inlineStr">
        <is>
          <t>Recomandat</t>
        </is>
      </c>
      <c r="H53" s="23" t="inlineStr">
        <is>
          <t>Text</t>
        </is>
      </c>
      <c r="I53" s="23" t="inlineStr">
        <is>
          <t>Mihai I.</t>
        </is>
      </c>
      <c r="J53" s="23" t="inlineStr">
        <is>
          <t>Chestionar NPS</t>
        </is>
      </c>
      <c r="K53" s="23" t="inlineStr">
        <is>
          <t>Customer Service</t>
        </is>
      </c>
      <c r="L53" s="16" t="inlineStr"/>
      <c r="M53" s="23" t="inlineStr">
        <is>
          <t>Acțiuni de recuperare nominale</t>
        </is>
      </c>
      <c r="N53" s="16" t="inlineStr">
        <is>
          <t>Nesolicitat</t>
        </is>
      </c>
      <c r="O53" s="17" t="n"/>
      <c r="P53" s="16" t="inlineStr"/>
    </row>
    <row r="54" ht="28" customHeight="1">
      <c r="A54" s="23" t="inlineStr">
        <is>
          <t>D050</t>
        </is>
      </c>
      <c r="B54" s="23" t="inlineStr">
        <is>
          <t>NPS / feedback</t>
        </is>
      </c>
      <c r="C54" s="23" t="inlineStr">
        <is>
          <t>15_NPS</t>
        </is>
      </c>
      <c r="D54" s="23" t="inlineStr">
        <is>
          <t>Respondent_Role</t>
        </is>
      </c>
      <c r="E54" s="23" t="inlineStr">
        <is>
          <t>Rol respondent</t>
        </is>
      </c>
      <c r="F54" s="23" t="inlineStr">
        <is>
          <t>Rolul persoanei: decident, utilizator, achiziții.</t>
        </is>
      </c>
      <c r="G54" s="23" t="inlineStr">
        <is>
          <t>Recomandat</t>
        </is>
      </c>
      <c r="H54" s="23" t="inlineStr">
        <is>
          <t>Text</t>
        </is>
      </c>
      <c r="I54" s="23" t="inlineStr">
        <is>
          <t>Decident</t>
        </is>
      </c>
      <c r="J54" s="23" t="inlineStr">
        <is>
          <t>Chestionar NPS</t>
        </is>
      </c>
      <c r="K54" s="23" t="inlineStr">
        <is>
          <t>Customer Service</t>
        </is>
      </c>
      <c r="L54" s="16" t="inlineStr"/>
      <c r="M54" s="23" t="inlineStr">
        <is>
          <t>Cine e nemulțumit: user vs. decident</t>
        </is>
      </c>
      <c r="N54" s="16" t="inlineStr">
        <is>
          <t>Nesolicitat</t>
        </is>
      </c>
      <c r="O54" s="17" t="n"/>
      <c r="P54" s="16" t="inlineStr"/>
    </row>
    <row r="55" ht="28" customHeight="1">
      <c r="A55" s="23" t="inlineStr">
        <is>
          <t>D051</t>
        </is>
      </c>
      <c r="B55" s="23" t="inlineStr">
        <is>
          <t>NPS / feedback</t>
        </is>
      </c>
      <c r="C55" s="23" t="inlineStr">
        <is>
          <t>15_NPS</t>
        </is>
      </c>
      <c r="D55" s="23" t="inlineStr">
        <is>
          <t>Score</t>
        </is>
      </c>
      <c r="E55" s="23" t="inlineStr">
        <is>
          <t>Scor NPS (0-10)</t>
        </is>
      </c>
      <c r="F55" s="23" t="inlineStr">
        <is>
          <t>Răspunsul la întrebarea „Cât de probabil ne-ați recomanda?”, de la 0 la 10.</t>
        </is>
      </c>
      <c r="G55" s="23" t="inlineStr">
        <is>
          <t>Obligatoriu</t>
        </is>
      </c>
      <c r="H55" s="23" t="inlineStr">
        <is>
          <t>#,##0</t>
        </is>
      </c>
      <c r="I55" s="23" t="inlineStr">
        <is>
          <t>9</t>
        </is>
      </c>
      <c r="J55" s="23" t="inlineStr">
        <is>
          <t>Chestionar NPS</t>
        </is>
      </c>
      <c r="K55" s="23" t="inlineStr">
        <is>
          <t>Marketing</t>
        </is>
      </c>
      <c r="L55" s="16" t="inlineStr"/>
      <c r="M55" s="23" t="inlineStr">
        <is>
          <t>NPS, % promoteri/detractori</t>
        </is>
      </c>
      <c r="N55" s="16" t="inlineStr">
        <is>
          <t>Nesolicitat</t>
        </is>
      </c>
      <c r="O55" s="17" t="n"/>
      <c r="P55" s="16" t="inlineStr"/>
    </row>
    <row r="56" ht="28" customHeight="1">
      <c r="A56" s="23" t="inlineStr">
        <is>
          <t>D052</t>
        </is>
      </c>
      <c r="B56" s="23" t="inlineStr">
        <is>
          <t>NPS / feedback</t>
        </is>
      </c>
      <c r="C56" s="23" t="inlineStr">
        <is>
          <t>15_NPS</t>
        </is>
      </c>
      <c r="D56" s="23" t="inlineStr">
        <is>
          <t>Reason</t>
        </is>
      </c>
      <c r="E56" s="23" t="inlineStr">
        <is>
          <t>Motivul scorului</t>
        </is>
      </c>
      <c r="F56" s="23" t="inlineStr">
        <is>
          <t>Comentariul liber al respondentului — cea mai valoroasă informație calitativă.</t>
        </is>
      </c>
      <c r="G56" s="23" t="inlineStr">
        <is>
          <t>Recomandat</t>
        </is>
      </c>
      <c r="H56" s="23" t="inlineStr">
        <is>
          <t>Text</t>
        </is>
      </c>
      <c r="I56" s="23" t="inlineStr">
        <is>
          <t>Livrări întârziate în ianuarie</t>
        </is>
      </c>
      <c r="J56" s="23" t="inlineStr">
        <is>
          <t>Chestionar NPS</t>
        </is>
      </c>
      <c r="K56" s="23" t="inlineStr">
        <is>
          <t>Customer Service</t>
        </is>
      </c>
      <c r="L56" s="16" t="inlineStr"/>
      <c r="M56" s="23" t="inlineStr">
        <is>
          <t>Cauze concrete, plan de acțiune</t>
        </is>
      </c>
      <c r="N56" s="16" t="inlineStr">
        <is>
          <t>Nesolicitat</t>
        </is>
      </c>
      <c r="O56" s="17" t="n"/>
      <c r="P56" s="16" t="inlineStr"/>
    </row>
    <row r="57" ht="28" customHeight="1">
      <c r="A57" s="23" t="inlineStr">
        <is>
          <t>D053</t>
        </is>
      </c>
      <c r="B57" s="23" t="inlineStr">
        <is>
          <t>NPS / feedback</t>
        </is>
      </c>
      <c r="C57" s="23" t="inlineStr">
        <is>
          <t>15_NPS</t>
        </is>
      </c>
      <c r="D57" s="23" t="inlineStr">
        <is>
          <t>Theme</t>
        </is>
      </c>
      <c r="E57" s="23" t="inlineStr">
        <is>
          <t>Temă</t>
        </is>
      </c>
      <c r="F57" s="23" t="inlineStr">
        <is>
          <t>Tema principală: Preț / Calitate / Livrare / Suport / Produs / Relație.</t>
        </is>
      </c>
      <c r="G57" s="23" t="inlineStr">
        <is>
          <t>Recomandat</t>
        </is>
      </c>
      <c r="H57" s="23" t="inlineStr">
        <is>
          <t>Text</t>
        </is>
      </c>
      <c r="I57" s="23" t="inlineStr">
        <is>
          <t>Livrare</t>
        </is>
      </c>
      <c r="J57" s="23" t="inlineStr">
        <is>
          <t>Chestionar NPS</t>
        </is>
      </c>
      <c r="K57" s="23" t="inlineStr">
        <is>
          <t>Customer Service</t>
        </is>
      </c>
      <c r="L57" s="16" t="inlineStr"/>
      <c r="M57" s="23" t="inlineStr">
        <is>
          <t>Gruparea cauzelor</t>
        </is>
      </c>
      <c r="N57" s="16" t="inlineStr">
        <is>
          <t>Nesolicitat</t>
        </is>
      </c>
      <c r="O57" s="17" t="n"/>
      <c r="P57" s="16" t="inlineStr"/>
    </row>
    <row r="58" ht="28" customHeight="1">
      <c r="A58" s="23" t="inlineStr">
        <is>
          <t>D054</t>
        </is>
      </c>
      <c r="B58" s="23" t="inlineStr">
        <is>
          <t>NPS / feedback</t>
        </is>
      </c>
      <c r="C58" s="23" t="inlineStr">
        <is>
          <t>15_NPS</t>
        </is>
      </c>
      <c r="D58" s="23" t="inlineStr">
        <is>
          <t>Channel</t>
        </is>
      </c>
      <c r="E58" s="23" t="inlineStr">
        <is>
          <t>Canal colectare</t>
        </is>
      </c>
      <c r="F58" s="23" t="inlineStr">
        <is>
          <t>Email / Telefon / Față în față / Formular web.</t>
        </is>
      </c>
      <c r="G58" s="23" t="inlineStr">
        <is>
          <t>Opțional</t>
        </is>
      </c>
      <c r="H58" s="23" t="inlineStr">
        <is>
          <t>Text</t>
        </is>
      </c>
      <c r="I58" s="23" t="inlineStr">
        <is>
          <t>Email</t>
        </is>
      </c>
      <c r="J58" s="23" t="inlineStr">
        <is>
          <t>Chestionar NPS</t>
        </is>
      </c>
      <c r="K58" s="23" t="inlineStr">
        <is>
          <t>Marketing</t>
        </is>
      </c>
      <c r="L58" s="16" t="inlineStr"/>
      <c r="M58" s="23" t="inlineStr">
        <is>
          <t>Calitatea eșantionului</t>
        </is>
      </c>
      <c r="N58" s="16" t="inlineStr">
        <is>
          <t>Nesolicitat</t>
        </is>
      </c>
      <c r="O58" s="17" t="n"/>
      <c r="P58" s="16" t="inlineStr"/>
    </row>
    <row r="59" ht="28" customHeight="1">
      <c r="A59" s="23" t="inlineStr">
        <is>
          <t>D055</t>
        </is>
      </c>
      <c r="B59" s="23" t="inlineStr">
        <is>
          <t>NPS / feedback</t>
        </is>
      </c>
      <c r="C59" s="23" t="inlineStr">
        <is>
          <t>15_NPS</t>
        </is>
      </c>
      <c r="D59" s="23" t="inlineStr">
        <is>
          <t>Survey_Wave</t>
        </is>
      </c>
      <c r="E59" s="23" t="inlineStr">
        <is>
          <t>Val / campanie</t>
        </is>
      </c>
      <c r="F59" s="23" t="inlineStr">
        <is>
          <t>Identificatorul valului de măsurare.</t>
        </is>
      </c>
      <c r="G59" s="23" t="inlineStr">
        <is>
          <t>Opțional</t>
        </is>
      </c>
      <c r="H59" s="23" t="inlineStr">
        <is>
          <t>Text</t>
        </is>
      </c>
      <c r="I59" s="23" t="inlineStr">
        <is>
          <t>2026-T1</t>
        </is>
      </c>
      <c r="J59" s="23" t="inlineStr">
        <is>
          <t>Chestionar NPS</t>
        </is>
      </c>
      <c r="K59" s="23" t="inlineStr">
        <is>
          <t>Marketing</t>
        </is>
      </c>
      <c r="L59" s="16" t="inlineStr"/>
      <c r="M59" s="23" t="inlineStr">
        <is>
          <t>Comparație între valuri</t>
        </is>
      </c>
      <c r="N59" s="16" t="inlineStr">
        <is>
          <t>Nesolicitat</t>
        </is>
      </c>
      <c r="O59" s="17" t="n"/>
      <c r="P59" s="16" t="inlineStr"/>
    </row>
    <row r="60" ht="28" customHeight="1">
      <c r="A60" s="23" t="inlineStr">
        <is>
          <t>D056</t>
        </is>
      </c>
      <c r="B60" s="23" t="inlineStr">
        <is>
          <t>NPS / feedback</t>
        </is>
      </c>
      <c r="C60" s="23" t="inlineStr">
        <is>
          <t>15_NPS</t>
        </is>
      </c>
      <c r="D60" s="23" t="inlineStr">
        <is>
          <t>Follow_Up_Owner</t>
        </is>
      </c>
      <c r="E60" s="23" t="inlineStr">
        <is>
          <t>Responsabil follow-up</t>
        </is>
      </c>
      <c r="F60" s="23" t="inlineStr">
        <is>
          <t>Cine preia clientul după răspuns.</t>
        </is>
      </c>
      <c r="G60" s="23" t="inlineStr">
        <is>
          <t>Recomandat</t>
        </is>
      </c>
      <c r="H60" s="23" t="inlineStr">
        <is>
          <t>Text</t>
        </is>
      </c>
      <c r="I60" s="23" t="inlineStr">
        <is>
          <t>S001</t>
        </is>
      </c>
      <c r="J60" s="23" t="inlineStr">
        <is>
          <t>CRM</t>
        </is>
      </c>
      <c r="K60" s="23" t="inlineStr">
        <is>
          <t>Director Vânzări</t>
        </is>
      </c>
      <c r="L60" s="16" t="inlineStr"/>
      <c r="M60" s="23" t="inlineStr">
        <is>
          <t>Recuperare detractori</t>
        </is>
      </c>
      <c r="N60" s="16" t="inlineStr">
        <is>
          <t>Nesolicitat</t>
        </is>
      </c>
      <c r="O60" s="17" t="n"/>
      <c r="P60" s="16" t="inlineStr"/>
    </row>
    <row r="61" ht="28" customHeight="1">
      <c r="A61" s="23" t="inlineStr">
        <is>
          <t>D057</t>
        </is>
      </c>
      <c r="B61" s="23" t="inlineStr">
        <is>
          <t>NPS / feedback</t>
        </is>
      </c>
      <c r="C61" s="23" t="inlineStr">
        <is>
          <t>15_NPS</t>
        </is>
      </c>
      <c r="D61" s="23" t="inlineStr">
        <is>
          <t>Follow_Up_Status</t>
        </is>
      </c>
      <c r="E61" s="23" t="inlineStr">
        <is>
          <t>Status follow-up</t>
        </is>
      </c>
      <c r="F61" s="23" t="inlineStr">
        <is>
          <t>Neînceput / În lucru / Rezolvat.</t>
        </is>
      </c>
      <c r="G61" s="23" t="inlineStr">
        <is>
          <t>Recomandat</t>
        </is>
      </c>
      <c r="H61" s="23" t="inlineStr">
        <is>
          <t>Text</t>
        </is>
      </c>
      <c r="I61" s="23" t="inlineStr">
        <is>
          <t>În lucru</t>
        </is>
      </c>
      <c r="J61" s="23" t="inlineStr">
        <is>
          <t>CRM</t>
        </is>
      </c>
      <c r="K61" s="23" t="inlineStr">
        <is>
          <t>Customer Service</t>
        </is>
      </c>
      <c r="L61" s="16" t="inlineStr"/>
      <c r="M61" s="23" t="inlineStr">
        <is>
          <t>Urmărirea acțiunilor</t>
        </is>
      </c>
      <c r="N61" s="16" t="inlineStr">
        <is>
          <t>Nesolicitat</t>
        </is>
      </c>
      <c r="O61" s="17" t="n"/>
      <c r="P61" s="16" t="inlineStr"/>
    </row>
    <row r="62" ht="28" customHeight="1">
      <c r="A62" s="23" t="inlineStr">
        <is>
          <t>D058</t>
        </is>
      </c>
      <c r="B62" s="23" t="inlineStr">
        <is>
          <t>Oameni</t>
        </is>
      </c>
      <c r="C62" s="23" t="inlineStr">
        <is>
          <t>12_OAMENI</t>
        </is>
      </c>
      <c r="D62" s="23" t="inlineStr">
        <is>
          <t>Person_ID</t>
        </is>
      </c>
      <c r="E62" s="23" t="inlineStr">
        <is>
          <t>ID persoană</t>
        </is>
      </c>
      <c r="F62" s="23" t="inlineStr">
        <is>
          <t>Cod intern al persoanei (nu CNP, nu date personale sensibile).</t>
        </is>
      </c>
      <c r="G62" s="23" t="inlineStr">
        <is>
          <t>Obligatoriu</t>
        </is>
      </c>
      <c r="H62" s="23" t="inlineStr">
        <is>
          <t>Text</t>
        </is>
      </c>
      <c r="I62" s="23" t="inlineStr">
        <is>
          <t>S001</t>
        </is>
      </c>
      <c r="J62" s="23" t="inlineStr">
        <is>
          <t>HR / State de plată</t>
        </is>
      </c>
      <c r="K62" s="23" t="inlineStr">
        <is>
          <t>HR / Resurse Umane</t>
        </is>
      </c>
      <c r="L62" s="16" t="inlineStr"/>
      <c r="M62" s="23" t="inlineStr">
        <is>
          <t>Analiză productivitate</t>
        </is>
      </c>
      <c r="N62" s="16" t="inlineStr">
        <is>
          <t>Nesolicitat</t>
        </is>
      </c>
      <c r="O62" s="17" t="n"/>
      <c r="P62" s="16" t="inlineStr"/>
    </row>
    <row r="63" ht="28" customHeight="1">
      <c r="A63" s="23" t="inlineStr">
        <is>
          <t>D059</t>
        </is>
      </c>
      <c r="B63" s="23" t="inlineStr">
        <is>
          <t>Oameni</t>
        </is>
      </c>
      <c r="C63" s="23" t="inlineStr">
        <is>
          <t>12_OAMENI</t>
        </is>
      </c>
      <c r="D63" s="23" t="inlineStr">
        <is>
          <t>Person_Name</t>
        </is>
      </c>
      <c r="E63" s="23" t="inlineStr">
        <is>
          <t>Nume</t>
        </is>
      </c>
      <c r="F63" s="23" t="inlineStr">
        <is>
          <t>Nume și prenume sau inițiale, dacă se preferă anonimizarea.</t>
        </is>
      </c>
      <c r="G63" s="23" t="inlineStr">
        <is>
          <t>Obligatoriu</t>
        </is>
      </c>
      <c r="H63" s="23" t="inlineStr">
        <is>
          <t>Text</t>
        </is>
      </c>
      <c r="I63" s="23" t="inlineStr">
        <is>
          <t>Ana P.</t>
        </is>
      </c>
      <c r="J63" s="23" t="inlineStr">
        <is>
          <t>HR / State de plată</t>
        </is>
      </c>
      <c r="K63" s="23" t="inlineStr">
        <is>
          <t>HR / Resurse Umane</t>
        </is>
      </c>
      <c r="L63" s="16" t="inlineStr"/>
      <c r="M63" s="23" t="inlineStr">
        <is>
          <t>Plan de coaching</t>
        </is>
      </c>
      <c r="N63" s="16" t="inlineStr">
        <is>
          <t>Nesolicitat</t>
        </is>
      </c>
      <c r="O63" s="17" t="n"/>
      <c r="P63" s="16" t="inlineStr"/>
    </row>
    <row r="64" ht="28" customHeight="1">
      <c r="A64" s="23" t="inlineStr">
        <is>
          <t>D060</t>
        </is>
      </c>
      <c r="B64" s="23" t="inlineStr">
        <is>
          <t>Oameni</t>
        </is>
      </c>
      <c r="C64" s="23" t="inlineStr">
        <is>
          <t>12_OAMENI</t>
        </is>
      </c>
      <c r="D64" s="23" t="inlineStr">
        <is>
          <t>Role</t>
        </is>
      </c>
      <c r="E64" s="23" t="inlineStr">
        <is>
          <t>Rol</t>
        </is>
      </c>
      <c r="F64" s="23" t="inlineStr">
        <is>
          <t>Rolul: Sales, Key Account, Customer Service, Operațiuni, Management.</t>
        </is>
      </c>
      <c r="G64" s="23" t="inlineStr">
        <is>
          <t>Obligatoriu</t>
        </is>
      </c>
      <c r="H64" s="23" t="inlineStr">
        <is>
          <t>Text</t>
        </is>
      </c>
      <c r="I64" s="23" t="inlineStr">
        <is>
          <t>Key Account Manager</t>
        </is>
      </c>
      <c r="J64" s="23" t="inlineStr">
        <is>
          <t>HR / State de plată</t>
        </is>
      </c>
      <c r="K64" s="23" t="inlineStr">
        <is>
          <t>HR / Resurse Umane</t>
        </is>
      </c>
      <c r="L64" s="16" t="inlineStr"/>
      <c r="M64" s="23" t="inlineStr">
        <is>
          <t>Venit/FTE pe rol</t>
        </is>
      </c>
      <c r="N64" s="16" t="inlineStr">
        <is>
          <t>Nesolicitat</t>
        </is>
      </c>
      <c r="O64" s="17" t="n"/>
      <c r="P64" s="16" t="inlineStr"/>
    </row>
    <row r="65" ht="28" customHeight="1">
      <c r="A65" s="23" t="inlineStr">
        <is>
          <t>D061</t>
        </is>
      </c>
      <c r="B65" s="23" t="inlineStr">
        <is>
          <t>Oameni</t>
        </is>
      </c>
      <c r="C65" s="23" t="inlineStr">
        <is>
          <t>12_OAMENI</t>
        </is>
      </c>
      <c r="D65" s="23" t="inlineStr">
        <is>
          <t>Team</t>
        </is>
      </c>
      <c r="E65" s="23" t="inlineStr">
        <is>
          <t>Echipă</t>
        </is>
      </c>
      <c r="F65" s="23" t="inlineStr">
        <is>
          <t>Echipa sau departamentul.</t>
        </is>
      </c>
      <c r="G65" s="23" t="inlineStr">
        <is>
          <t>Recomandat</t>
        </is>
      </c>
      <c r="H65" s="23" t="inlineStr">
        <is>
          <t>Text</t>
        </is>
      </c>
      <c r="I65" s="23" t="inlineStr">
        <is>
          <t>Vânzări B2B</t>
        </is>
      </c>
      <c r="J65" s="23" t="inlineStr">
        <is>
          <t>HR / State de plată</t>
        </is>
      </c>
      <c r="K65" s="23" t="inlineStr">
        <is>
          <t>HR / Resurse Umane</t>
        </is>
      </c>
      <c r="L65" s="16" t="inlineStr"/>
      <c r="M65" s="23" t="inlineStr">
        <is>
          <t>Comparație între echipe</t>
        </is>
      </c>
      <c r="N65" s="16" t="inlineStr">
        <is>
          <t>Nesolicitat</t>
        </is>
      </c>
      <c r="O65" s="17" t="n"/>
      <c r="P65" s="16" t="inlineStr"/>
    </row>
    <row r="66" ht="28" customHeight="1">
      <c r="A66" s="23" t="inlineStr">
        <is>
          <t>D062</t>
        </is>
      </c>
      <c r="B66" s="23" t="inlineStr">
        <is>
          <t>Oameni</t>
        </is>
      </c>
      <c r="C66" s="23" t="inlineStr">
        <is>
          <t>12_OAMENI</t>
        </is>
      </c>
      <c r="D66" s="23" t="inlineStr">
        <is>
          <t>FTE</t>
        </is>
      </c>
      <c r="E66" s="23" t="inlineStr">
        <is>
          <t>FTE (normă)</t>
        </is>
      </c>
      <c r="F66" s="23" t="inlineStr">
        <is>
          <t>Fracțiune de normă: 1 = full-time, 0.5 = jumătate de normă.</t>
        </is>
      </c>
      <c r="G66" s="23" t="inlineStr">
        <is>
          <t>Obligatoriu</t>
        </is>
      </c>
      <c r="H66" s="23" t="inlineStr">
        <is>
          <t>#,##0.00</t>
        </is>
      </c>
      <c r="I66" s="23" t="inlineStr">
        <is>
          <t>1</t>
        </is>
      </c>
      <c r="J66" s="23" t="inlineStr">
        <is>
          <t>HR / State de plată</t>
        </is>
      </c>
      <c r="K66" s="23" t="inlineStr">
        <is>
          <t>HR / Resurse Umane</t>
        </is>
      </c>
      <c r="L66" s="16" t="inlineStr"/>
      <c r="M66" s="23" t="inlineStr">
        <is>
          <t>Venit / FTE, productivitate</t>
        </is>
      </c>
      <c r="N66" s="16" t="inlineStr">
        <is>
          <t>Nesolicitat</t>
        </is>
      </c>
      <c r="O66" s="17" t="n"/>
      <c r="P66" s="16" t="inlineStr"/>
    </row>
    <row r="67" ht="28" customHeight="1">
      <c r="A67" s="23" t="inlineStr">
        <is>
          <t>D063</t>
        </is>
      </c>
      <c r="B67" s="23" t="inlineStr">
        <is>
          <t>Oameni</t>
        </is>
      </c>
      <c r="C67" s="23" t="inlineStr">
        <is>
          <t>12_OAMENI</t>
        </is>
      </c>
      <c r="D67" s="23" t="inlineStr">
        <is>
          <t>Start_Date</t>
        </is>
      </c>
      <c r="E67" s="23" t="inlineStr">
        <is>
          <t>Data angajării</t>
        </is>
      </c>
      <c r="F67" s="23" t="inlineStr">
        <is>
          <t>Data intrării în echipă.</t>
        </is>
      </c>
      <c r="G67" s="23" t="inlineStr">
        <is>
          <t>Recomandat</t>
        </is>
      </c>
      <c r="H67" s="23" t="inlineStr">
        <is>
          <t>yyyy-mm-dd</t>
        </is>
      </c>
      <c r="I67" s="23" t="inlineStr">
        <is>
          <t>2023-02-01</t>
        </is>
      </c>
      <c r="J67" s="23" t="inlineStr">
        <is>
          <t>HR / State de plată</t>
        </is>
      </c>
      <c r="K67" s="23" t="inlineStr">
        <is>
          <t>HR / Resurse Umane</t>
        </is>
      </c>
      <c r="L67" s="16" t="inlineStr"/>
      <c r="M67" s="23" t="inlineStr">
        <is>
          <t>FTE activ pe perioadă</t>
        </is>
      </c>
      <c r="N67" s="16" t="inlineStr">
        <is>
          <t>Nesolicitat</t>
        </is>
      </c>
      <c r="O67" s="17" t="n"/>
      <c r="P67" s="16" t="inlineStr"/>
    </row>
    <row r="68" ht="28" customHeight="1">
      <c r="A68" s="23" t="inlineStr">
        <is>
          <t>D064</t>
        </is>
      </c>
      <c r="B68" s="23" t="inlineStr">
        <is>
          <t>Oameni</t>
        </is>
      </c>
      <c r="C68" s="23" t="inlineStr">
        <is>
          <t>12_OAMENI</t>
        </is>
      </c>
      <c r="D68" s="23" t="inlineStr">
        <is>
          <t>Exit_Date</t>
        </is>
      </c>
      <c r="E68" s="23" t="inlineStr">
        <is>
          <t>Data plecării</t>
        </is>
      </c>
      <c r="F68" s="23" t="inlineStr">
        <is>
          <t>Se lasă gol dacă persoana este activă.</t>
        </is>
      </c>
      <c r="G68" s="23" t="inlineStr">
        <is>
          <t>Recomandat</t>
        </is>
      </c>
      <c r="H68" s="23" t="inlineStr">
        <is>
          <t>yyyy-mm-dd</t>
        </is>
      </c>
      <c r="I68" s="23" t="inlineStr"/>
      <c r="J68" s="23" t="inlineStr">
        <is>
          <t>HR / State de plată</t>
        </is>
      </c>
      <c r="K68" s="23" t="inlineStr">
        <is>
          <t>HR / Resurse Umane</t>
        </is>
      </c>
      <c r="L68" s="16" t="inlineStr"/>
      <c r="M68" s="23" t="inlineStr">
        <is>
          <t>FTE activ, fluctuație</t>
        </is>
      </c>
      <c r="N68" s="16" t="inlineStr">
        <is>
          <t>Nesolicitat</t>
        </is>
      </c>
      <c r="O68" s="17" t="n"/>
      <c r="P68" s="16" t="inlineStr"/>
    </row>
    <row r="69" ht="28" customHeight="1">
      <c r="A69" s="23" t="inlineStr">
        <is>
          <t>D065</t>
        </is>
      </c>
      <c r="B69" s="23" t="inlineStr">
        <is>
          <t>Oameni</t>
        </is>
      </c>
      <c r="C69" s="23" t="inlineStr">
        <is>
          <t>12_OAMENI</t>
        </is>
      </c>
      <c r="D69" s="23" t="inlineStr">
        <is>
          <t>Annual_Cost</t>
        </is>
      </c>
      <c r="E69" s="23" t="inlineStr">
        <is>
          <t>Cost anual total</t>
        </is>
      </c>
      <c r="F69" s="23" t="inlineStr">
        <is>
          <t>Cost total angajator pe an (opțional, se poate da agregat pe echipă).</t>
        </is>
      </c>
      <c r="G69" s="23" t="inlineStr">
        <is>
          <t>Opțional</t>
        </is>
      </c>
      <c r="H69" s="23" t="inlineStr">
        <is>
          <t>#,##0</t>
        </is>
      </c>
      <c r="I69" s="23" t="inlineStr">
        <is>
          <t>96000</t>
        </is>
      </c>
      <c r="J69" s="23" t="inlineStr">
        <is>
          <t>HR / State de plată</t>
        </is>
      </c>
      <c r="K69" s="23" t="inlineStr">
        <is>
          <t>CFO / Contabilitate</t>
        </is>
      </c>
      <c r="L69" s="16" t="inlineStr"/>
      <c r="M69" s="23" t="inlineStr">
        <is>
          <t>ROI pe om, cost/venit</t>
        </is>
      </c>
      <c r="N69" s="16" t="inlineStr">
        <is>
          <t>Nesolicitat</t>
        </is>
      </c>
      <c r="O69" s="17" t="n"/>
      <c r="P69" s="16" t="inlineStr"/>
    </row>
    <row r="70" ht="28" customHeight="1">
      <c r="A70" s="23" t="inlineStr">
        <is>
          <t>D066</t>
        </is>
      </c>
      <c r="B70" s="23" t="inlineStr">
        <is>
          <t>Oameni</t>
        </is>
      </c>
      <c r="C70" s="23" t="inlineStr">
        <is>
          <t>12_OAMENI</t>
        </is>
      </c>
      <c r="D70" s="23" t="inlineStr">
        <is>
          <t>Is_Quota_Carrying</t>
        </is>
      </c>
      <c r="E70" s="23" t="inlineStr">
        <is>
          <t>Are țintă (Da/Nu)</t>
        </is>
      </c>
      <c r="F70" s="23" t="inlineStr">
        <is>
          <t>Dacă persoana are țintă de vânzări.</t>
        </is>
      </c>
      <c r="G70" s="23" t="inlineStr">
        <is>
          <t>Recomandat</t>
        </is>
      </c>
      <c r="H70" s="23" t="inlineStr">
        <is>
          <t>Text</t>
        </is>
      </c>
      <c r="I70" s="23" t="inlineStr">
        <is>
          <t>Da</t>
        </is>
      </c>
      <c r="J70" s="23" t="inlineStr">
        <is>
          <t>Director Vânzări</t>
        </is>
      </c>
      <c r="K70" s="23" t="inlineStr">
        <is>
          <t>Director Vânzări</t>
        </is>
      </c>
      <c r="L70" s="16" t="inlineStr"/>
      <c r="M70" s="23" t="inlineStr">
        <is>
          <t>Atingere țintă pe om</t>
        </is>
      </c>
      <c r="N70" s="16" t="inlineStr">
        <is>
          <t>Nesolicitat</t>
        </is>
      </c>
      <c r="O70" s="17" t="n"/>
      <c r="P70" s="16" t="inlineStr"/>
    </row>
  </sheetData>
  <autoFilter ref="A4:P70"/>
  <conditionalFormatting sqref="G5:G70">
    <cfRule type="cellIs" priority="1" operator="equal" dxfId="3">
      <formula>"Obligatoriu"</formula>
    </cfRule>
  </conditionalFormatting>
  <conditionalFormatting sqref="N5:N70">
    <cfRule type="cellIs" priority="2" operator="equal" dxfId="0">
      <formula>"Primit"</formula>
    </cfRule>
    <cfRule type="cellIs" priority="3" operator="equal" dxfId="2">
      <formula>"Validat"</formula>
    </cfRule>
    <cfRule type="cellIs" priority="4" operator="equal" dxfId="1">
      <formula>"Blocat"</formula>
    </cfRule>
  </conditionalFormatting>
  <dataValidations count="2">
    <dataValidation sqref="N5:N70" showDropDown="0" showInputMessage="0" showErrorMessage="0" allowBlank="1" errorTitle="Valoare neacceptată" error="Valoare în afara listei permise. Alege din listă sau completează lista de valori." type="list">
      <formula1>='90_LISTE'!$B$2:$B$9</formula1>
    </dataValidation>
    <dataValidation sqref="L5:L70" showDropDown="0" showInputMessage="0" showErrorMessage="0" allowBlank="1" errorTitle="Valoare neacceptată" error="Valoare în afara listei permise. Alege din listă sau completează lista de valori." type="list">
      <formula1>='02_CONTACTE'!$C$5:$C$34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62" customWidth="1" min="3" max="3"/>
    <col width="56" customWidth="1" min="4" max="4"/>
    <col width="56" customWidth="1" min="5" max="5"/>
  </cols>
  <sheetData>
    <row r="1" ht="26" customHeight="1">
      <c r="A1" s="1" t="inlineStr">
        <is>
          <t>04 — DICȚIONAR DE TERMENI</t>
        </is>
      </c>
    </row>
    <row r="2" ht="16" customHeight="1">
      <c r="A2" s="2" t="inlineStr">
        <is>
          <t>Fiecare termen din fișier, explicat pe scurt, cu formularea pe care o poți folosi direct în discuția cu clientul. Filtrează pe „Categorie” ca să vezi doar ce te interesează.</t>
        </is>
      </c>
    </row>
    <row r="3"/>
    <row r="4" ht="32" customHeight="1">
      <c r="A4" s="15" t="inlineStr">
        <is>
          <t>Termen</t>
        </is>
      </c>
      <c r="B4" s="15" t="inlineStr">
        <is>
          <t>Categorie</t>
        </is>
      </c>
      <c r="C4" s="15" t="inlineStr">
        <is>
          <t>Ce înseamnă</t>
        </is>
      </c>
      <c r="D4" s="15" t="inlineStr">
        <is>
          <t>De ce contează pentru analiză</t>
        </is>
      </c>
      <c r="E4" s="15" t="inlineStr">
        <is>
          <t>Cum îl ceri / unde îl găsești</t>
        </is>
      </c>
    </row>
    <row r="5" ht="46" customHeight="1">
      <c r="A5" s="26" t="inlineStr">
        <is>
          <t>NDA (Non-Disclosure Agreement)</t>
        </is>
      </c>
      <c r="B5" s="27" t="inlineStr">
        <is>
          <t>Proces</t>
        </is>
      </c>
      <c r="C5" s="28" t="inlineStr">
        <is>
          <t>Acord de confidențialitate. Un contract scurt prin care te obligi să nu divulgi și să nu folosești în alt scop datele primite.</t>
        </is>
      </c>
      <c r="D5" s="28" t="inlineStr">
        <is>
          <t>Fără el, majoritatea firmelor serioase nu îți dau cifre reale. Îl semnezi înainte de prima cerere de date.</t>
        </is>
      </c>
      <c r="E5" s="28" t="inlineStr">
        <is>
          <t>„Vă propun să semnăm un acord de confidențialitate înainte să îmi trimiteți orice cifră. Aveți un model al dumneavoastră sau folosim al meu?”</t>
        </is>
      </c>
    </row>
    <row r="6" ht="46" customHeight="1">
      <c r="A6" s="26" t="inlineStr">
        <is>
          <t>Kickoff</t>
        </is>
      </c>
      <c r="B6" s="27" t="inlineStr">
        <is>
          <t>Proces</t>
        </is>
      </c>
      <c r="C6" s="28" t="inlineStr">
        <is>
          <t>Întâlnirea de start a proiectului, în care stabilești obiectivul, perioada analizată, cine ce dă și până când.</t>
        </is>
      </c>
      <c r="D6" s="28" t="inlineStr">
        <is>
          <t>Aici completezi 01_FIRMA și 02_CONTACTE. Un kickoff bun scurtează colectarea cu săptămâni.</t>
        </is>
      </c>
      <c r="E6" s="28" t="inlineStr">
        <is>
          <t>„Propun o oră împreună la început, ca să stabilim exact ce ne uităm și cine îmi trimite ce.”</t>
        </is>
      </c>
    </row>
    <row r="7" ht="46" customHeight="1">
      <c r="A7" s="26" t="inlineStr">
        <is>
          <t>Data kickoff</t>
        </is>
      </c>
      <c r="B7" s="27" t="inlineStr">
        <is>
          <t>Proces</t>
        </is>
      </c>
      <c r="C7" s="28" t="inlineStr">
        <is>
          <t>Data la care a avut loc întâlnirea de start. Este ziua zero a proiectului.</t>
        </is>
      </c>
      <c r="D7" s="28" t="inlineStr">
        <is>
          <t>De la ea numeri termenele. Dacă livrarea întârzie, de aici vezi unde s-a pierdut timpul.</t>
        </is>
      </c>
      <c r="E7" s="28" t="inlineStr">
        <is>
          <t>Se completează în 01_FIRMA, secțiunea MANDAT EQUIL.</t>
        </is>
      </c>
    </row>
    <row r="8" ht="46" customHeight="1">
      <c r="A8" s="26" t="inlineStr">
        <is>
          <t>Data owner</t>
        </is>
      </c>
      <c r="B8" s="27" t="inlineStr">
        <is>
          <t>Proces</t>
        </is>
      </c>
      <c r="C8" s="28" t="inlineStr">
        <is>
          <t>Persoana din firmă care deține efectiv un set de date și îl poate scoate din sistem.</t>
        </is>
      </c>
      <c r="D8" s="28" t="inlineStr">
        <is>
          <t>Nu firma îți dă datele, ci un om anume. Foaia 02_CONTACTE există exact pentru asta.</t>
        </is>
      </c>
      <c r="E8" s="28" t="inlineStr">
        <is>
          <t>„Cine, concret, poate scoate din ERP lista de facturi pe ultimele 24 de luni?”</t>
        </is>
      </c>
    </row>
    <row r="9" ht="46" customHeight="1">
      <c r="A9" s="26" t="inlineStr">
        <is>
          <t>Stakeholder / decident</t>
        </is>
      </c>
      <c r="B9" s="27" t="inlineStr">
        <is>
          <t>Proces</t>
        </is>
      </c>
      <c r="C9" s="28" t="inlineStr">
        <is>
          <t>Persoana care ia decizia finală și aprobă bugetele. Nu e întotdeauna cine te-a contactat.</t>
        </is>
      </c>
      <c r="D9" s="28" t="inlineStr">
        <is>
          <t>Raportul trebuie scris pentru decident. Dacă el nu e în discuție, concluziile rămân pe hârtie.</t>
        </is>
      </c>
      <c r="E9" s="28" t="inlineStr">
        <is>
          <t>„Cine semnează la final pentru acțiunile pe care le propunem?”</t>
        </is>
      </c>
    </row>
    <row r="10" ht="46" customHeight="1">
      <c r="A10" s="26" t="inlineStr">
        <is>
          <t>Scope / mandat</t>
        </is>
      </c>
      <c r="B10" s="27" t="inlineStr">
        <is>
          <t>Proces</t>
        </is>
      </c>
      <c r="C10" s="28" t="inlineStr">
        <is>
          <t>Ce intră și ce NU intră în proiect: ce perioadă, ce linii de business, ce nu analizăm.</t>
        </is>
      </c>
      <c r="D10" s="28" t="inlineStr">
        <is>
          <t>Previne extinderea nelimitată a muncii („dar puteți să vă uitați și la...”).</t>
        </is>
      </c>
      <c r="E10" s="28" t="inlineStr">
        <is>
          <t>„Ne uităm la vânzări și clienți pe ultimele 24 de luni. Stocurile și producția nu intră acum.”</t>
        </is>
      </c>
    </row>
    <row r="11" ht="46" customHeight="1">
      <c r="A11" s="26" t="inlineStr">
        <is>
          <t>Livrabil (deliverable)</t>
        </is>
      </c>
      <c r="B11" s="27" t="inlineStr">
        <is>
          <t>Proces</t>
        </is>
      </c>
      <c r="C11" s="28" t="inlineStr">
        <is>
          <t>Rezultatul concret pe care îl predai: în cazul nostru, raportul din 40_RAPORT plus planul de acțiuni.</t>
        </is>
      </c>
      <c r="D11" s="28" t="inlineStr">
        <is>
          <t>Clientul trebuie să știe din prima ce primește, ca să nu aibă alte așteptări.</t>
        </is>
      </c>
      <c r="E11" s="28" t="inlineStr">
        <is>
          <t>„La final primiți un raport cu 5 oportunități prioritizate și un plan pe 30 de zile.”</t>
        </is>
      </c>
    </row>
    <row r="12" ht="46" customHeight="1">
      <c r="A12" s="26" t="inlineStr">
        <is>
          <t>Follow-up</t>
        </is>
      </c>
      <c r="B12" s="27" t="inlineStr">
        <is>
          <t>Proces</t>
        </is>
      </c>
      <c r="C12" s="28" t="inlineStr">
        <is>
          <t>Revenirea cu o solicitare sau o acțiune după o discuție. În colectarea de date, reamintirea politicoasă.</t>
        </is>
      </c>
      <c r="D12" s="28" t="inlineStr">
        <is>
          <t>Datele întârzie aproape întotdeauna. Două-trei follow-up-uri scurte sunt normale, nu insistență.</t>
        </is>
      </c>
      <c r="E12" s="28" t="inlineStr">
        <is>
          <t>„Vă reamintesc de exportul din ERP — de el depinde restul analizei. Puteți până vineri?”</t>
        </is>
      </c>
    </row>
    <row r="13" ht="46" customHeight="1">
      <c r="A13" s="26" t="inlineStr">
        <is>
          <t>Workshop</t>
        </is>
      </c>
      <c r="B13" s="27" t="inlineStr">
        <is>
          <t>Proces</t>
        </is>
      </c>
      <c r="C13" s="28" t="inlineStr">
        <is>
          <t>Sesiune de lucru cu mai mulți oameni din firmă, în care validezi concluziile și construiești planul.</t>
        </is>
      </c>
      <c r="D13" s="28" t="inlineStr">
        <is>
          <t>Oportunitățile validate împreună cu echipa se execută. Cele trimise pe email, mai rar.</t>
        </is>
      </c>
      <c r="E13" s="28" t="inlineStr">
        <is>
          <t>„Propun 90 de minute cu echipa de vânzări, să validăm împreună ce am găsit.”</t>
        </is>
      </c>
    </row>
    <row r="14" ht="46" customHeight="1">
      <c r="A14" s="26" t="inlineStr">
        <is>
          <t>GDPR</t>
        </is>
      </c>
      <c r="B14" s="27" t="inlineStr">
        <is>
          <t>Proces</t>
        </is>
      </c>
      <c r="C14" s="28" t="inlineStr">
        <is>
          <t>Regulamentul european de protecție a datelor personale. Numele, emailul sau telefonul unei persoane sunt date personale.</t>
        </is>
      </c>
      <c r="D14" s="28" t="inlineStr">
        <is>
          <t>Pentru NPS și pentru echipă, cere date anonimizate (inițiale sau ID-uri) dacă nu ai un temei clar.</t>
        </is>
      </c>
      <c r="E14" s="28" t="inlineStr">
        <is>
          <t>„Îmi puteți trimite lista cu inițiale în loc de nume complete? Analiza funcționează la fel.”</t>
        </is>
      </c>
    </row>
    <row r="15" ht="46" customHeight="1">
      <c r="A15" s="26" t="inlineStr">
        <is>
          <t>ERP</t>
        </is>
      </c>
      <c r="B15" s="29" t="inlineStr">
        <is>
          <t>Sisteme</t>
        </is>
      </c>
      <c r="C15" s="28" t="inlineStr">
        <is>
          <t>Enterprise Resource Planning — programul central în care firma ține facturi, stocuri, furnizori, uneori contabilitatea. „Sistemul în care se face factura.”</t>
        </is>
      </c>
      <c r="D15" s="28" t="inlineStr">
        <is>
          <t>Sursa principală pentru vânzări, clienți, produse și costuri. Fără el, datele vin din Excel-uri paralele, cu erori.</t>
        </is>
      </c>
      <c r="E15" s="28" t="inlineStr">
        <is>
          <t>„În ce program emiteți facturile?” Exemple în România: SAGA, WinMentor, Smartbill, Nexus, Charisma, SAP, Oracle NetSuite.</t>
        </is>
      </c>
    </row>
    <row r="16" ht="46" customHeight="1">
      <c r="A16" s="26" t="inlineStr">
        <is>
          <t>Sistem de facturare</t>
        </is>
      </c>
      <c r="B16" s="29" t="inlineStr">
        <is>
          <t>Sisteme</t>
        </is>
      </c>
      <c r="C16" s="28" t="inlineStr">
        <is>
          <t>Varianta mai simplă a unui ERP: doar emite facturi și ține clienții. Multe firme mici au doar atât.</t>
        </is>
      </c>
      <c r="D16" s="28" t="inlineStr">
        <is>
          <t>E suficient pentru analiză. Are aproape mereu export în Excel sau CSV.</t>
        </is>
      </c>
      <c r="E16" s="28" t="inlineStr">
        <is>
          <t>„Puteți exporta facturile pe 24 de luni în Excel?” Exemple: Smartbill, Oblio, FGO, Facturis.</t>
        </is>
      </c>
    </row>
    <row r="17" ht="46" customHeight="1">
      <c r="A17" s="26" t="inlineStr">
        <is>
          <t>CRM</t>
        </is>
      </c>
      <c r="B17" s="29" t="inlineStr">
        <is>
          <t>Sisteme</t>
        </is>
      </c>
      <c r="C17" s="28" t="inlineStr">
        <is>
          <t>Customer Relationship Management — programul în care echipa de vânzări ține clienții, discuțiile, ofertele și oportunitățile.</t>
        </is>
      </c>
      <c r="D17" s="28" t="inlineStr">
        <is>
          <t>De aici vin segmentul, canalul, responsabilul de cont și pipeline-ul. Multe firme mici au CRM-ul „în Excel” sau în capul directorului de vânzări.</t>
        </is>
      </c>
      <c r="E17" s="28" t="inlineStr">
        <is>
          <t>„Unde țineți evidența discuțiilor cu clienții și a ofertelor?” Exemple: HubSpot, Pipedrive, Salesforce, Zoho, Excel.</t>
        </is>
      </c>
    </row>
    <row r="18" ht="46" customHeight="1">
      <c r="A18" s="26" t="inlineStr">
        <is>
          <t>WMS</t>
        </is>
      </c>
      <c r="B18" s="29" t="inlineStr">
        <is>
          <t>Sisteme</t>
        </is>
      </c>
      <c r="C18" s="28" t="inlineStr">
        <is>
          <t>Warehouse Management System — programul de gestiune a depozitului: stocuri, livrări, termene.</t>
        </is>
      </c>
      <c r="D18" s="28" t="inlineStr">
        <is>
          <t>Relevant când NPS-ul scade din cauza livrărilor, nu a produsului sau a prețului.</t>
        </is>
      </c>
      <c r="E18" s="28" t="inlineStr">
        <is>
          <t>„Aveți un program separat pentru depozit sau livrările se văd tot în ERP?”</t>
        </is>
      </c>
    </row>
    <row r="19" ht="46" customHeight="1">
      <c r="A19" s="26" t="inlineStr">
        <is>
          <t>Ticketing / helpdesk</t>
        </is>
      </c>
      <c r="B19" s="29" t="inlineStr">
        <is>
          <t>Sisteme</t>
        </is>
      </c>
      <c r="C19" s="28" t="inlineStr">
        <is>
          <t>Programul în care se înregistrează reclamațiile și cererile clienților.</t>
        </is>
      </c>
      <c r="D19" s="28" t="inlineStr">
        <is>
          <t>Cea mai bogată sursă de cauze concrete pentru detractorii din NPS.</t>
        </is>
      </c>
      <c r="E19" s="28" t="inlineStr">
        <is>
          <t>„Reclamațiile se înregistrează undeva sau se rezolvă pe telefon?” Exemple: Zendesk, Freshdesk, Jira Service Management.</t>
        </is>
      </c>
    </row>
    <row r="20" ht="46" customHeight="1">
      <c r="A20" s="26" t="inlineStr">
        <is>
          <t>Instrument de raportare / BI</t>
        </is>
      </c>
      <c r="B20" s="29" t="inlineStr">
        <is>
          <t>Sisteme</t>
        </is>
      </c>
      <c r="C20" s="28" t="inlineStr">
        <is>
          <t>Program care construiește rapoarte și grafice peste datele din ERP/CRM. BI = Business Intelligence.</t>
        </is>
      </c>
      <c r="D20" s="28" t="inlineStr">
        <is>
          <t>Dacă firma are deja așa ceva, datele sunt probabil curate și colectarea durează ore, nu săptămâni.</t>
        </is>
      </c>
      <c r="E20" s="28" t="inlineStr">
        <is>
          <t>„Aveți deja rapoarte automate sau totul se face manual în Excel?” Exemple: Power BI, Looker Studio, Tableau, Qlik.</t>
        </is>
      </c>
    </row>
    <row r="21" ht="46" customHeight="1">
      <c r="A21" s="26" t="inlineStr">
        <is>
          <t>Export CSV / XLSX</t>
        </is>
      </c>
      <c r="B21" s="29" t="inlineStr">
        <is>
          <t>Sisteme</t>
        </is>
      </c>
      <c r="C21" s="28" t="inlineStr">
        <is>
          <t>Descărcarea datelor din program într-un fișier tabelar. CSV = text simplu, separat prin virgulă. XLSX = fișier Excel.</t>
        </is>
      </c>
      <c r="D21" s="28" t="inlineStr">
        <is>
          <t>Ai nevoie de asta, nu de PDF. Dintr-un PDF datele se recuperează greu și cu erori.</t>
        </is>
      </c>
      <c r="E21" s="28" t="inlineStr">
        <is>
          <t>„Am nevoie de export în Excel sau CSV, nu în PDF — altfel nu pot calcula nimic peste ele.”</t>
        </is>
      </c>
    </row>
    <row r="22" ht="46" customHeight="1">
      <c r="A22" s="26" t="inlineStr">
        <is>
          <t>API / integrare</t>
        </is>
      </c>
      <c r="B22" s="29" t="inlineStr">
        <is>
          <t>Sisteme</t>
        </is>
      </c>
      <c r="C22" s="28" t="inlineStr">
        <is>
          <t>Modalitate prin care două programe schimbă date automat, fără ca cineva să exporte manual.</t>
        </is>
      </c>
      <c r="D22" s="28" t="inlineStr">
        <is>
          <t>Nu e necesar pentru MVP. Devine util când vrei raportul actualizat lunar, fără muncă manuală.</t>
        </is>
      </c>
      <c r="E22" s="28" t="inlineStr">
        <is>
          <t>„Pe termen lung putem lua datele automat; deocamdată un export lunar e suficient.”</t>
        </is>
      </c>
    </row>
    <row r="23" ht="46" customHeight="1">
      <c r="A23" s="26" t="inlineStr">
        <is>
          <t>Master data / nomenclator</t>
        </is>
      </c>
      <c r="B23" s="29" t="inlineStr">
        <is>
          <t>Sisteme</t>
        </is>
      </c>
      <c r="C23" s="28" t="inlineStr">
        <is>
          <t>Listele de bază ale firmei: clienți, produse, angajați. Nu conțin tranzacții, ci definiții.</t>
        </is>
      </c>
      <c r="D23" s="28" t="inlineStr">
        <is>
          <t>Foile 10_CLIENTI, 11_PRODUSE și 12_OAMENI sunt exact asta. Fără ele, tranzacțiile sunt doar coduri.</t>
        </is>
      </c>
      <c r="E23" s="28" t="inlineStr">
        <is>
          <t>„Îmi trimiteți și lista de clienți și cea de produse, nu doar facturile?”</t>
        </is>
      </c>
    </row>
    <row r="24" ht="46" customHeight="1">
      <c r="A24" s="26" t="inlineStr">
        <is>
          <t>SKU</t>
        </is>
      </c>
      <c r="B24" s="29" t="inlineStr">
        <is>
          <t>Sisteme</t>
        </is>
      </c>
      <c r="C24" s="28" t="inlineStr">
        <is>
          <t>Stock Keeping Unit — codul unic al unui produs sau serviciu. „Referința” din catalog.</t>
        </is>
      </c>
      <c r="D24" s="28" t="inlineStr">
        <is>
          <t>Este cheia după care se leagă vânzările de produse. Un SKU = un rând în 11_PRODUSE.</t>
        </is>
      </c>
      <c r="E24" s="28" t="inlineStr">
        <is>
          <t>„Fiecare produs are un cod unic în sistem? Acela îmi trebuie, nu doar denumirea.”</t>
        </is>
      </c>
    </row>
    <row r="25" ht="46" customHeight="1">
      <c r="A25" s="26" t="inlineStr">
        <is>
          <t>CUI</t>
        </is>
      </c>
      <c r="B25" s="30" t="inlineStr">
        <is>
          <t>Financiar</t>
        </is>
      </c>
      <c r="C25" s="28" t="inlineStr">
        <is>
          <t>Codul Unic de Înregistrare al firmei la ANAF. Identificatorul fiscal.</t>
        </is>
      </c>
      <c r="D25" s="28" t="inlineStr">
        <is>
          <t>Identifică firma fără ambiguitate, chiar dacă își schimbă numele comercial.</t>
        </is>
      </c>
      <c r="E25" s="28" t="inlineStr">
        <is>
          <t>Se găsește pe orice factură a firmei.</t>
        </is>
      </c>
    </row>
    <row r="26" ht="46" customHeight="1">
      <c r="A26" s="26" t="inlineStr">
        <is>
          <t>CAEN</t>
        </is>
      </c>
      <c r="B26" s="30" t="inlineStr">
        <is>
          <t>Financiar</t>
        </is>
      </c>
      <c r="C26" s="28" t="inlineStr">
        <is>
          <t>Codul care descrie activitatea principală a firmei (Clasificarea Activităților din Economia Națională).</t>
        </is>
      </c>
      <c r="D26" s="28" t="inlineStr">
        <is>
          <t>Determină cu ce benchmark-uri de industrie compari rezultatele.</t>
        </is>
      </c>
      <c r="E26" s="28" t="inlineStr">
        <is>
          <t>„Care e codul CAEN principal?” — sau îl citești din datele publice ale firmei.</t>
        </is>
      </c>
    </row>
    <row r="27" ht="46" customHeight="1">
      <c r="A27" s="26" t="inlineStr">
        <is>
          <t>Venit net / cifră de afaceri</t>
        </is>
      </c>
      <c r="B27" s="30" t="inlineStr">
        <is>
          <t>Financiar</t>
        </is>
      </c>
      <c r="C27" s="28" t="inlineStr">
        <is>
          <t>Banii încasați din vânzări, fără TVA și după discount.</t>
        </is>
      </c>
      <c r="D27" s="28" t="inlineStr">
        <is>
          <t>Este baza tuturor calculelor din fișier. Coloana Revenue_Net din 13_VANZARI.</t>
        </is>
      </c>
      <c r="E27" s="28" t="inlineStr">
        <is>
          <t>„Cifrele sunt fără TVA, corect? Am nevoie de valoarea netă, după discount.”</t>
        </is>
      </c>
    </row>
    <row r="28" ht="46" customHeight="1">
      <c r="A28" s="26" t="inlineStr">
        <is>
          <t>TVA</t>
        </is>
      </c>
      <c r="B28" s="30" t="inlineStr">
        <is>
          <t>Financiar</t>
        </is>
      </c>
      <c r="C28" s="28" t="inlineStr">
        <is>
          <t>Taxa pe valoarea adăugată. Se adaugă peste prețul net și se virează statului; nu e venitul firmei.</t>
        </is>
      </c>
      <c r="D28" s="28" t="inlineStr">
        <is>
          <t>Dacă unii clienți îți dau cifre cu TVA și alții fără, comparațiile ies greșite cu ~19%.</t>
        </is>
      </c>
      <c r="E28" s="28" t="inlineStr">
        <is>
          <t>„Verificăm o factură împreună, ca să fiu sigur că vorbim despre aceeași bază.”</t>
        </is>
      </c>
    </row>
    <row r="29" ht="46" customHeight="1">
      <c r="A29" s="26" t="inlineStr">
        <is>
          <t>COGS / cost direct</t>
        </is>
      </c>
      <c r="B29" s="30" t="inlineStr">
        <is>
          <t>Financiar</t>
        </is>
      </c>
      <c r="C29" s="28" t="inlineStr">
        <is>
          <t>Cost of Goods Sold — costul direct al a ceea ce ai vândut: marfa, materialul, ora de manoperă. Nu include chiria sau salariile administrative.</t>
        </is>
      </c>
      <c r="D29" s="28" t="inlineStr">
        <is>
          <t>Fără COGS nu poți calcula profitul brut, deci nici oportunitățile de marjă.</t>
        </is>
      </c>
      <c r="E29" s="28" t="inlineStr">
        <is>
          <t>„Pentru fiecare linie de vânzare, care e costul direct al produsului? Nu costurile generale ale firmei.”</t>
        </is>
      </c>
    </row>
    <row r="30" ht="46" customHeight="1">
      <c r="A30" s="26" t="inlineStr">
        <is>
          <t>Profit brut</t>
        </is>
      </c>
      <c r="B30" s="30" t="inlineStr">
        <is>
          <t>Financiar</t>
        </is>
      </c>
      <c r="C30" s="28" t="inlineStr">
        <is>
          <t>Venit net minus COGS. Cât rămâne din vânzare înainte de cheltuielile generale.</t>
        </is>
      </c>
      <c r="D30" s="28" t="inlineStr">
        <is>
          <t>Se calculează automat în fișier. Este indicatorul care spune dacă o creștere de vânzări chiar aduce bani.</t>
        </is>
      </c>
      <c r="E30" s="28" t="inlineStr">
        <is>
          <t>Coloana Gross_Profit din 13_VANZARI, calculată automat.</t>
        </is>
      </c>
    </row>
    <row r="31" ht="46" customHeight="1">
      <c r="A31" s="26" t="inlineStr">
        <is>
          <t>Marjă brută %</t>
        </is>
      </c>
      <c r="B31" s="30" t="inlineStr">
        <is>
          <t>Financiar</t>
        </is>
      </c>
      <c r="C31" s="28" t="inlineStr">
        <is>
          <t>Profit brut împărțit la venit net, exprimat procentual. „Din 100 de lei vânduți, câți rămân.”</t>
        </is>
      </c>
      <c r="D31" s="28" t="inlineStr">
        <is>
          <t>Semnalul cel mai frecvent: vânzări în creștere, dar marjă în scădere, înseamnă că se crește prin discount.</t>
        </is>
      </c>
      <c r="E31" s="28" t="inlineStr">
        <is>
          <t>„Ce marjă considerați normală în domeniul dumneavoastră?” — răspunsul intră în 09_PARAMETRI.</t>
        </is>
      </c>
    </row>
    <row r="32" ht="46" customHeight="1">
      <c r="A32" s="26" t="inlineStr">
        <is>
          <t>P&amp;L / cont de profit și pierdere</t>
        </is>
      </c>
      <c r="B32" s="30" t="inlineStr">
        <is>
          <t>Financiar</t>
        </is>
      </c>
      <c r="C32" s="28" t="inlineStr">
        <is>
          <t>Raportul care arată veniturile, costurile și profitul pe o perioadă.</t>
        </is>
      </c>
      <c r="D32" s="28" t="inlineStr">
        <is>
          <t>Îl folosești ca să verifici dacă suma facturilor primite se potrivește cu realitatea contabilă.</t>
        </is>
      </c>
      <c r="E32" s="28" t="inlineStr">
        <is>
          <t>„Îmi puteți da P&amp;L-ul pe ultimele 24 de luni, măcar la nivel de total?”</t>
        </is>
      </c>
    </row>
    <row r="33" ht="46" customHeight="1">
      <c r="A33" s="26" t="inlineStr">
        <is>
          <t>Balanță</t>
        </is>
      </c>
      <c r="B33" s="30" t="inlineStr">
        <is>
          <t>Financiar</t>
        </is>
      </c>
      <c r="C33" s="28" t="inlineStr">
        <is>
          <t>Situația contabilă lunară cu toate conturile și soldurile lor.</t>
        </is>
      </c>
      <c r="D33" s="28" t="inlineStr">
        <is>
          <t>Sursa de validare pentru venituri și costuri. Nu ai nevoie de tot, doar de conturile de venituri și cheltuieli directe.</t>
        </is>
      </c>
      <c r="E33" s="28" t="inlineStr">
        <is>
          <t>„Balanța pe lunile analizate, doar clasele de venituri și cheltuieli, e suficientă.”</t>
        </is>
      </c>
    </row>
    <row r="34" ht="46" customHeight="1">
      <c r="A34" s="26" t="inlineStr">
        <is>
          <t>Cheltuieli fixe</t>
        </is>
      </c>
      <c r="B34" s="30" t="inlineStr">
        <is>
          <t>Financiar</t>
        </is>
      </c>
      <c r="C34" s="28" t="inlineStr">
        <is>
          <t>Costuri care apar indiferent cât vinzi: chirie, salarii administrative, abonamente, leasing.</t>
        </is>
      </c>
      <c r="D34" s="28" t="inlineStr">
        <is>
          <t>Cu ele afli pragul de rentabilitate și impactul real al unei oportunități.</t>
        </is>
      </c>
      <c r="E34" s="28" t="inlineStr">
        <is>
          <t>„Aproximativ cât înseamnă lunar costurile care merg oricum, chiar dacă nu vindeți nimic?”</t>
        </is>
      </c>
    </row>
    <row r="35" ht="46" customHeight="1">
      <c r="A35" s="26" t="inlineStr">
        <is>
          <t>Cash-flow</t>
        </is>
      </c>
      <c r="B35" s="30" t="inlineStr">
        <is>
          <t>Financiar</t>
        </is>
      </c>
      <c r="C35" s="28" t="inlineStr">
        <is>
          <t>Mișcarea efectivă a banilor în conturi. Diferit de profit: poți fi profitabil și fără bani, dacă nu te plătesc clienții.</t>
        </is>
      </c>
      <c r="D35" s="28" t="inlineStr">
        <is>
          <t>Explică de ce un client „bun” poate fi de fapt o problemă: cumpără mult, dar plătește la 120 de zile.</t>
        </is>
      </c>
      <c r="E35" s="28" t="inlineStr">
        <is>
          <t>„Aveți clienți care cumpără bine, dar plătesc greu?”</t>
        </is>
      </c>
    </row>
    <row r="36" ht="46" customHeight="1">
      <c r="A36" s="26" t="inlineStr">
        <is>
          <t>Termen de plată</t>
        </is>
      </c>
      <c r="B36" s="30" t="inlineStr">
        <is>
          <t>Financiar</t>
        </is>
      </c>
      <c r="C36" s="28" t="inlineStr">
        <is>
          <t>Numărul de zile în care clientul are voie să plătească factura.</t>
        </is>
      </c>
      <c r="D36" s="28" t="inlineStr">
        <is>
          <t>Un termen mare la un client mare blochează capital de lucru. Intră în discuția de risc.</t>
        </is>
      </c>
      <c r="E36" s="28" t="inlineStr">
        <is>
          <t>Coloana Payment_Terms_Days din 10_CLIENTI.</t>
        </is>
      </c>
    </row>
    <row r="37" ht="46" customHeight="1">
      <c r="A37" s="26" t="inlineStr">
        <is>
          <t>Limită de credit</t>
        </is>
      </c>
      <c r="B37" s="30" t="inlineStr">
        <is>
          <t>Financiar</t>
        </is>
      </c>
      <c r="C37" s="28" t="inlineStr">
        <is>
          <t>Plafonul maxim pe care un client îl poate avea neplătit la un moment dat.</t>
        </is>
      </c>
      <c r="D37" s="28" t="inlineStr">
        <is>
          <t>Arată cât de mult se expune firma la un singur client.</t>
        </is>
      </c>
      <c r="E37" s="28" t="inlineStr">
        <is>
          <t>Coloana Credit_Limit din 10_CLIENTI.</t>
        </is>
      </c>
    </row>
    <row r="38" ht="46" customHeight="1">
      <c r="A38" s="26" t="inlineStr">
        <is>
          <t>Buget / țintă</t>
        </is>
      </c>
      <c r="B38" s="30" t="inlineStr">
        <is>
          <t>Financiar</t>
        </is>
      </c>
      <c r="C38" s="28" t="inlineStr">
        <is>
          <t>Valoarea planificată pentru o perioadă: cât își propune firma să vândă.</t>
        </is>
      </c>
      <c r="D38" s="28" t="inlineStr">
        <is>
          <t>Fără țintă nu poți calcula gap-ul, iar gap-ul e punctul de plecare al oportunităților.</t>
        </is>
      </c>
      <c r="E38" s="28" t="inlineStr">
        <is>
          <t>„Aveți un buget de vânzări pe luni? Chiar și aproximativ, e mai bun decât nimic.”</t>
        </is>
      </c>
    </row>
    <row r="39" ht="46" customHeight="1">
      <c r="A39" s="26" t="inlineStr">
        <is>
          <t>Discount</t>
        </is>
      </c>
      <c r="B39" s="30" t="inlineStr">
        <is>
          <t>Financiar</t>
        </is>
      </c>
      <c r="C39" s="28" t="inlineStr">
        <is>
          <t>Reducerea acordată față de prețul de listă, în valoare sau procent.</t>
        </is>
      </c>
      <c r="D39" s="28" t="inlineStr">
        <is>
          <t>Discountul crescător este cauza cea mai frecventă a erodării marjei.</t>
        </is>
      </c>
      <c r="E39" s="28" t="inlineStr">
        <is>
          <t>„Discountul se vede separat pe factură sau e deja scăzut din preț?”</t>
        </is>
      </c>
    </row>
    <row r="40" ht="46" customHeight="1">
      <c r="A40" s="26" t="inlineStr">
        <is>
          <t>B2B / B2C</t>
        </is>
      </c>
      <c r="B40" s="31" t="inlineStr">
        <is>
          <t>Comercial</t>
        </is>
      </c>
      <c r="C40" s="28" t="inlineStr">
        <is>
          <t>Business to Business = vinzi către alte firme. Business to Consumer = vinzi către persoane fizice.</t>
        </is>
      </c>
      <c r="D40" s="28" t="inlineStr">
        <is>
          <t>Schimbă complet interpretarea: în B2B ai puțini clienți mari, în B2C mulți clienți mici.</t>
        </is>
      </c>
      <c r="E40" s="28" t="inlineStr">
        <is>
          <t>„Vindeți în principal către firme sau către persoane fizice?”</t>
        </is>
      </c>
    </row>
    <row r="41" ht="46" customHeight="1">
      <c r="A41" s="26" t="inlineStr">
        <is>
          <t>Canal de vânzare</t>
        </is>
      </c>
      <c r="B41" s="31" t="inlineStr">
        <is>
          <t>Comercial</t>
        </is>
      </c>
      <c r="C41" s="28" t="inlineStr">
        <is>
          <t>Drumul pe care ajunge produsul la client: retail, en-gros, online, direct, prin parteneri.</t>
        </is>
      </c>
      <c r="D41" s="28" t="inlineStr">
        <is>
          <t>Marja diferă mult între canale. Un mix care se schimbă explică o marjă care scade fără motiv aparent.</t>
        </is>
      </c>
      <c r="E41" s="28" t="inlineStr">
        <is>
          <t>Coloana Channel din 10_CLIENTI.</t>
        </is>
      </c>
    </row>
    <row r="42" ht="46" customHeight="1">
      <c r="A42" s="26" t="inlineStr">
        <is>
          <t>Segment de client</t>
        </is>
      </c>
      <c r="B42" s="31" t="inlineStr">
        <is>
          <t>Comercial</t>
        </is>
      </c>
      <c r="C42" s="28" t="inlineStr">
        <is>
          <t>Gruparea clienților după mărime sau tip: Key Account, Mid-market, Small, Online.</t>
        </is>
      </c>
      <c r="D42" s="28" t="inlineStr">
        <is>
          <t>Permite comparații corecte: un client mic nu se compară cu unul mare.</t>
        </is>
      </c>
      <c r="E42" s="28" t="inlineStr">
        <is>
          <t>„Cum vă împărțiți intern clienții? Aveți categorii?”</t>
        </is>
      </c>
    </row>
    <row r="43" ht="46" customHeight="1">
      <c r="A43" s="26" t="inlineStr">
        <is>
          <t>Key Account</t>
        </is>
      </c>
      <c r="B43" s="31" t="inlineStr">
        <is>
          <t>Comercial</t>
        </is>
      </c>
      <c r="C43" s="28" t="inlineStr">
        <is>
          <t>Client mare, strategic, de obicei cu responsabil dedicat.</t>
        </is>
      </c>
      <c r="D43" s="28" t="inlineStr">
        <is>
          <t>Concentrează venitul și riscul. Plecarea unuia singur poate muta rezultatul anului.</t>
        </is>
      </c>
      <c r="E43" s="28" t="inlineStr">
        <is>
          <t>„Care sunt primii 5 clienți ca valoare și cine se ocupă de ei?”</t>
        </is>
      </c>
    </row>
    <row r="44" ht="46" customHeight="1">
      <c r="A44" s="26" t="inlineStr">
        <is>
          <t>Pipeline</t>
        </is>
      </c>
      <c r="B44" s="31" t="inlineStr">
        <is>
          <t>Comercial</t>
        </is>
      </c>
      <c r="C44" s="28" t="inlineStr">
        <is>
          <t>Totalitatea oportunităților de vânzare aflate în lucru, pe etape, până la semnare.</t>
        </is>
      </c>
      <c r="D44" s="28" t="inlineStr">
        <is>
          <t>Arată dacă ținta e realizabilă: fără pipeline suficient, gap-ul nu se acoperă.</t>
        </is>
      </c>
      <c r="E44" s="28" t="inlineStr">
        <is>
          <t>„Aveți o listă a oportunităților în lucru, cu valoare și stadiu?”</t>
        </is>
      </c>
    </row>
    <row r="45" ht="46" customHeight="1">
      <c r="A45" s="26" t="inlineStr">
        <is>
          <t>Lead / prospect</t>
        </is>
      </c>
      <c r="B45" s="31" t="inlineStr">
        <is>
          <t>Comercial</t>
        </is>
      </c>
      <c r="C45" s="28" t="inlineStr">
        <is>
          <t>Lead = contact interesat, încă necalificat. Prospect = contact calificat, care chiar poate cumpăra.</t>
        </is>
      </c>
      <c r="D45" s="28" t="inlineStr">
        <is>
          <t>Relevant pentru creșterea prin clienți noi, nu prin clienții existenți.</t>
        </is>
      </c>
      <c r="E45" s="28" t="inlineStr">
        <is>
          <t>„Câți clienți noi ați adus în ultimele 12 luni și de unde au venit?”</t>
        </is>
      </c>
    </row>
    <row r="46" ht="46" customHeight="1">
      <c r="A46" s="26" t="inlineStr">
        <is>
          <t>Cross-sell</t>
        </is>
      </c>
      <c r="B46" s="31" t="inlineStr">
        <is>
          <t>Comercial</t>
        </is>
      </c>
      <c r="C46" s="28" t="inlineStr">
        <is>
          <t>Să vinzi un produs în plus unui client existent. „Cumpără X, dar nu și Y.”</t>
        </is>
      </c>
      <c r="D46" s="28" t="inlineStr">
        <is>
          <t>Cea mai ieftină creștere: clientul te cunoaște deja, nu mai plătești achiziția lui.</t>
        </is>
      </c>
      <c r="E46" s="28" t="inlineStr">
        <is>
          <t>Se vede automat în 22_ANALIZA_PRODUSE, la penetrare.</t>
        </is>
      </c>
    </row>
    <row r="47" ht="46" customHeight="1">
      <c r="A47" s="26" t="inlineStr">
        <is>
          <t>Up-sell</t>
        </is>
      </c>
      <c r="B47" s="31" t="inlineStr">
        <is>
          <t>Comercial</t>
        </is>
      </c>
      <c r="C47" s="28" t="inlineStr">
        <is>
          <t>Să vinzi aceluiași client o variantă mai mare sau mai scumpă din ce cumpără deja.</t>
        </is>
      </c>
      <c r="D47" s="28" t="inlineStr">
        <is>
          <t>Crește valoarea medie pe client fără efort de achiziție.</t>
        </is>
      </c>
      <c r="E47" s="28" t="inlineStr">
        <is>
          <t>„Există o variantă premium pe care o cumpără doar o parte din clienți?”</t>
        </is>
      </c>
    </row>
    <row r="48" ht="46" customHeight="1">
      <c r="A48" s="26" t="inlineStr">
        <is>
          <t>Churn / client pierdut</t>
        </is>
      </c>
      <c r="B48" s="31" t="inlineStr">
        <is>
          <t>Comercial</t>
        </is>
      </c>
      <c r="C48" s="28" t="inlineStr">
        <is>
          <t>Clientul care nu mai cumpără deloc. Churn rate = procentul de clienți pierduți într-o perioadă.</t>
        </is>
      </c>
      <c r="D48" s="28" t="inlineStr">
        <is>
          <t>Un churn mare anulează orice creștere: torni apă într-o găleată găurită.</t>
        </is>
      </c>
      <c r="E48" s="28" t="inlineStr">
        <is>
          <t>Semnalul „Client pierdut” din 21_ANALIZA_CLIENTI.</t>
        </is>
      </c>
    </row>
    <row r="49" ht="46" customHeight="1">
      <c r="A49" s="26" t="inlineStr">
        <is>
          <t>Client dormant</t>
        </is>
      </c>
      <c r="B49" s="31" t="inlineStr">
        <is>
          <t>Comercial</t>
        </is>
      </c>
      <c r="C49" s="28" t="inlineStr">
        <is>
          <t>Client care a cumpărat în trecut, dar nu a mai cumpărat de un număr de zile stabilit de tine.</t>
        </is>
      </c>
      <c r="D49" s="28" t="inlineStr">
        <is>
          <t>Între activ și pierdut. Aici reactivarea încă funcționează și costă puțin.</t>
        </is>
      </c>
      <c r="E49" s="28" t="inlineStr">
        <is>
          <t>Pragul se setează în 09_PARAMETRI (implicit 90 de zile).</t>
        </is>
      </c>
    </row>
    <row r="50" ht="46" customHeight="1">
      <c r="A50" s="26" t="inlineStr">
        <is>
          <t>Reactivare</t>
        </is>
      </c>
      <c r="B50" s="31" t="inlineStr">
        <is>
          <t>Comercial</t>
        </is>
      </c>
      <c r="C50" s="28" t="inlineStr">
        <is>
          <t>Acțiunea prin care aduci înapoi un client dormant.</t>
        </is>
      </c>
      <c r="D50" s="28" t="inlineStr">
        <is>
          <t>De obicei cea mai ușoară oportunitate din listă: probabilitate mare, efort mic.</t>
        </is>
      </c>
      <c r="E50" s="28" t="inlineStr">
        <is>
          <t>„Când ați contactat ultima dată clienții care nu au mai comandat de 3 luni?”</t>
        </is>
      </c>
    </row>
    <row r="51" ht="46" customHeight="1">
      <c r="A51" s="26" t="inlineStr">
        <is>
          <t>Concentrare / risc de concentrare</t>
        </is>
      </c>
      <c r="B51" s="31" t="inlineStr">
        <is>
          <t>Comercial</t>
        </is>
      </c>
      <c r="C51" s="28" t="inlineStr">
        <is>
          <t>Cât din venit vine de la un singur client sau de la primii câțiva.</t>
        </is>
      </c>
      <c r="D51" s="28" t="inlineStr">
        <is>
          <t>Peste 20-25% pe un singur client, firma nu mai negociază de pe poziție de forță.</t>
        </is>
      </c>
      <c r="E51" s="28" t="inlineStr">
        <is>
          <t>Se calculează automat în 20_KPI și 21_ANALIZA_CLIENTI.</t>
        </is>
      </c>
    </row>
    <row r="52" ht="46" customHeight="1">
      <c r="A52" s="26" t="inlineStr">
        <is>
          <t>Penetrare</t>
        </is>
      </c>
      <c r="B52" s="31" t="inlineStr">
        <is>
          <t>Comercial</t>
        </is>
      </c>
      <c r="C52" s="28" t="inlineStr">
        <is>
          <t>Ce procent din clienți cumpără un anumit produs.</t>
        </is>
      </c>
      <c r="D52" s="28" t="inlineStr">
        <is>
          <t>Produs bun cu penetrare mică = oportunitate clară de campanie dedicată.</t>
        </is>
      </c>
      <c r="E52" s="28" t="inlineStr">
        <is>
          <t>Coloana „Penetrare în baza de clienți” din 22_ANALIZA_PRODUSE.</t>
        </is>
      </c>
    </row>
    <row r="53" ht="46" customHeight="1">
      <c r="A53" s="26" t="inlineStr">
        <is>
          <t>Venit recurent vs. one-off</t>
        </is>
      </c>
      <c r="B53" s="31" t="inlineStr">
        <is>
          <t>Comercial</t>
        </is>
      </c>
      <c r="C53" s="28" t="inlineStr">
        <is>
          <t>Recurent = se repetă automat (abonament, contract anual). One-off = vânzare unică.</t>
        </is>
      </c>
      <c r="D53" s="28" t="inlineStr">
        <is>
          <t>Venitul recurent e mult mai valoros: e previzibil și nu trebuie revândut lunar.</t>
        </is>
      </c>
      <c r="E53" s="28" t="inlineStr">
        <is>
          <t>„Aveți contracte care se reînnoiesc automat?”</t>
        </is>
      </c>
    </row>
    <row r="54" ht="46" customHeight="1">
      <c r="A54" s="26" t="inlineStr">
        <is>
          <t>Venit mediu pe client (ARPU)</t>
        </is>
      </c>
      <c r="B54" s="31" t="inlineStr">
        <is>
          <t>Comercial</t>
        </is>
      </c>
      <c r="C54" s="28" t="inlineStr">
        <is>
          <t>Average Revenue Per User/Account — venit total împărțit la numărul de clienți activi.</t>
        </is>
      </c>
      <c r="D54" s="28" t="inlineStr">
        <is>
          <t>Spune dacă creșterea vine din clienți noi sau din adâncirea relației cu cei existenți.</t>
        </is>
      </c>
      <c r="E54" s="28" t="inlineStr">
        <is>
          <t>Calculat automat în 20_KPI.</t>
        </is>
      </c>
    </row>
    <row r="55" ht="46" customHeight="1">
      <c r="A55" s="26" t="inlineStr">
        <is>
          <t>FTE</t>
        </is>
      </c>
      <c r="B55" s="32" t="inlineStr">
        <is>
          <t>Oameni</t>
        </is>
      </c>
      <c r="C55" s="28" t="inlineStr">
        <is>
          <t>Full-Time Equivalent — normă întreagă echivalentă. 1 = program complet, 0,5 = jumătate de normă.</t>
        </is>
      </c>
      <c r="D55" s="28" t="inlineStr">
        <is>
          <t>Permite comparații corecte: 4 oameni part-time nu înseamnă 4 oameni.</t>
        </is>
      </c>
      <c r="E55" s="28" t="inlineStr">
        <is>
          <t>„Câți dintre ei sunt cu normă întreagă și câți part-time?”</t>
        </is>
      </c>
    </row>
    <row r="56" ht="46" customHeight="1">
      <c r="A56" s="26" t="inlineStr">
        <is>
          <t>Quota / țintă individuală</t>
        </is>
      </c>
      <c r="B56" s="32" t="inlineStr">
        <is>
          <t>Oameni</t>
        </is>
      </c>
      <c r="C56" s="28" t="inlineStr">
        <is>
          <t>Ținta de vânzări atribuită unei persoane pentru o perioadă.</t>
        </is>
      </c>
      <c r="D56" s="28" t="inlineStr">
        <is>
          <t>Fără ea nu poți spune dacă cineva e sub performanță sau doar are un portofoliu mai mic.</t>
        </is>
      </c>
      <c r="E56" s="28" t="inlineStr">
        <is>
          <t>„Fiecare om de vânzări are o țintă lunară?”</t>
        </is>
      </c>
    </row>
    <row r="57" ht="46" customHeight="1">
      <c r="A57" s="26" t="inlineStr">
        <is>
          <t>Coaching / shadowing</t>
        </is>
      </c>
      <c r="B57" s="32" t="inlineStr">
        <is>
          <t>Oameni</t>
        </is>
      </c>
      <c r="C57" s="28" t="inlineStr">
        <is>
          <t>Coaching = lucrezi 1-la-1 pe abilități concrete. Shadowing = cineva însoțește un coleg mai bun ca să învețe.</t>
        </is>
      </c>
      <c r="D57" s="28" t="inlineStr">
        <is>
          <t>Cele mai ieftine acțiuni pentru oportunitățile de tip „Dezvoltare oameni”.</t>
        </is>
      </c>
      <c r="E57" s="28" t="inlineStr">
        <is>
          <t>Apare ca acțiune recomandată în 30_OPORTUNITATI.</t>
        </is>
      </c>
    </row>
    <row r="58" ht="46" customHeight="1">
      <c r="A58" s="26" t="inlineStr">
        <is>
          <t>Fluctuație / turnover</t>
        </is>
      </c>
      <c r="B58" s="32" t="inlineStr">
        <is>
          <t>Oameni</t>
        </is>
      </c>
      <c r="C58" s="28" t="inlineStr">
        <is>
          <t>Rata cu care pleacă oamenii din firmă într-o perioadă.</t>
        </is>
      </c>
      <c r="D58" s="28" t="inlineStr">
        <is>
          <t>Fluctuația mare în vânzări explică pierderea de clienți: pleacă omul, pleacă relația.</t>
        </is>
      </c>
      <c r="E58" s="28" t="inlineStr">
        <is>
          <t>„Câți oameni din vânzări au plecat în ultimul an?”</t>
        </is>
      </c>
    </row>
    <row r="59" ht="46" customHeight="1">
      <c r="A59" s="26" t="inlineStr">
        <is>
          <t>KPI</t>
        </is>
      </c>
      <c r="B59" s="33" t="inlineStr">
        <is>
          <t>Măsurare</t>
        </is>
      </c>
      <c r="C59" s="28" t="inlineStr">
        <is>
          <t>Key Performance Indicator — indicator cheie de performanță. Un număr care spune dacă lucrurile merg bine.</t>
        </is>
      </c>
      <c r="D59" s="28" t="inlineStr">
        <is>
          <t>Foaia 20_KPI îi calculează automat. Un KPI fără comparație nu spune nimic.</t>
        </is>
      </c>
      <c r="E59" s="28" t="inlineStr">
        <is>
          <t>„Ce cifre vă uitați acum, lunar?”</t>
        </is>
      </c>
    </row>
    <row r="60" ht="46" customHeight="1">
      <c r="A60" s="26" t="inlineStr">
        <is>
          <t>NPS</t>
        </is>
      </c>
      <c r="B60" s="33" t="inlineStr">
        <is>
          <t>Măsurare</t>
        </is>
      </c>
      <c r="C60" s="28" t="inlineStr">
        <is>
          <t>Net Promoter Score. Se pune o singură întrebare: „Pe o scară de la 0 la 10, cât de probabil ne-ați recomanda?”. Scor = % promotori − % detractori, de la −100 la +100.</t>
        </is>
      </c>
      <c r="D60" s="28" t="inlineStr">
        <is>
          <t>Cel mai simplu indicator de relație cu clientul. Prezice pierderea clienților înainte să apară în vânzări.</t>
        </is>
      </c>
      <c r="E60" s="28" t="inlineStr">
        <is>
          <t>„Ați întrebat vreodată clienții cât de probabil v-ar recomanda?”</t>
        </is>
      </c>
    </row>
    <row r="61" ht="46" customHeight="1">
      <c r="A61" s="26" t="inlineStr">
        <is>
          <t>Promotor / Pasiv / Detractor</t>
        </is>
      </c>
      <c r="B61" s="33" t="inlineStr">
        <is>
          <t>Măsurare</t>
        </is>
      </c>
      <c r="C61" s="28" t="inlineStr">
        <is>
          <t>Promotor = scor 9-10. Pasiv = 7-8. Detractor = 0-6. Pasivii nu intră în formulă.</t>
        </is>
      </c>
      <c r="D61" s="28" t="inlineStr">
        <is>
          <t>Detractorii sunt lista ta de acțiuni imediate; promotorii sunt sursa de recomandări.</t>
        </is>
      </c>
      <c r="E61" s="28" t="inlineStr">
        <is>
          <t>Se calculează automat în 15_NPS, coloana NPS_Category.</t>
        </is>
      </c>
    </row>
    <row r="62" ht="46" customHeight="1">
      <c r="A62" s="26" t="inlineStr">
        <is>
          <t>Benchmark</t>
        </is>
      </c>
      <c r="B62" s="33" t="inlineStr">
        <is>
          <t>Măsurare</t>
        </is>
      </c>
      <c r="C62" s="28" t="inlineStr">
        <is>
          <t>Valoare de referință față de care compari: media industriei, anul trecut sau cel mai bun din echipă.</t>
        </is>
      </c>
      <c r="D62" s="28" t="inlineStr">
        <is>
          <t>Fără referință, „marjă de 22%” nu înseamnă nici bine, nici rău.</t>
        </is>
      </c>
      <c r="E62" s="28" t="inlineStr">
        <is>
          <t>Pragurile din 09_PARAMETRI joacă acest rol până ai date de industrie.</t>
        </is>
      </c>
    </row>
    <row r="63" ht="46" customHeight="1">
      <c r="A63" s="26" t="inlineStr">
        <is>
          <t>Perioadă de comparație / YoY</t>
        </is>
      </c>
      <c r="B63" s="33" t="inlineStr">
        <is>
          <t>Măsurare</t>
        </is>
      </c>
      <c r="C63" s="28" t="inlineStr">
        <is>
          <t>YoY = Year over Year, aceeași perioadă din anul anterior. Alternativ, perioada imediat anterioară.</t>
        </is>
      </c>
      <c r="D63" s="28" t="inlineStr">
        <is>
          <t>Comparația cu anul trecut elimină sezonalitatea; cea cu perioada anterioară arată dinamica recentă.</t>
        </is>
      </c>
      <c r="E63" s="28" t="inlineStr">
        <is>
          <t>Se setează în 09_PARAMETRI.</t>
        </is>
      </c>
    </row>
    <row r="64" ht="46" customHeight="1">
      <c r="A64" s="26" t="inlineStr">
        <is>
          <t>Δ (delta)</t>
        </is>
      </c>
      <c r="B64" s="33" t="inlineStr">
        <is>
          <t>Măsurare</t>
        </is>
      </c>
      <c r="C64" s="28" t="inlineStr">
        <is>
          <t>Diferența dintre două valori. Δ% = variația procentuală.</t>
        </is>
      </c>
      <c r="D64" s="28" t="inlineStr">
        <is>
          <t>Coloanele Δ și Δ% din 20_KPI. Verde = creștere, roșu = scădere.</t>
        </is>
      </c>
      <c r="E64" s="28" t="inlineStr">
        <is>
          <t>—</t>
        </is>
      </c>
    </row>
    <row r="65" ht="46" customHeight="1">
      <c r="A65" s="26" t="inlineStr">
        <is>
          <t>Sezonalitate</t>
        </is>
      </c>
      <c r="B65" s="33" t="inlineStr">
        <is>
          <t>Măsurare</t>
        </is>
      </c>
      <c r="C65" s="28" t="inlineStr">
        <is>
          <t>Variația normală, repetabilă, a vânzărilor în cursul anului.</t>
        </is>
      </c>
      <c r="D65" s="28" t="inlineStr">
        <is>
          <t>Fără ea, o scădere în august pare o criză, când de fapt e concediu.</t>
        </is>
      </c>
      <c r="E65" s="28" t="inlineStr">
        <is>
          <t>„Care sunt lunile bune și lunile slabe, în mod normal?”</t>
        </is>
      </c>
    </row>
    <row r="66" ht="46" customHeight="1">
      <c r="A66" s="26" t="inlineStr">
        <is>
          <t>Celulă calculată (formulă)</t>
        </is>
      </c>
      <c r="B66" s="34" t="inlineStr">
        <is>
          <t>Excel</t>
        </is>
      </c>
      <c r="C66" s="28" t="inlineStr">
        <is>
          <t>Celulă care își ia valoarea dintr-un calcul, nu din tastatură. În fișier sunt colorate gri.</t>
        </is>
      </c>
      <c r="D66" s="28" t="inlineStr">
        <is>
          <t>Dacă scrii peste ele, se pierde calculul și cifrele devin greșite fără să te anunțe nimeni.</t>
        </is>
      </c>
      <c r="E66" s="28" t="inlineStr">
        <is>
          <t>Regula: scrii doar în celulele galbene.</t>
        </is>
      </c>
    </row>
    <row r="67" ht="46" customHeight="1">
      <c r="A67" s="26" t="inlineStr">
        <is>
          <t>Validare de date (dropdown)</t>
        </is>
      </c>
      <c r="B67" s="34" t="inlineStr">
        <is>
          <t>Excel</t>
        </is>
      </c>
      <c r="C67" s="28" t="inlineStr">
        <is>
          <t>Listă predefinită din care alegi, în loc să scrii liber.</t>
        </is>
      </c>
      <c r="D67" s="28" t="inlineStr">
        <is>
          <t>Previne „Retail”, „retail” și „RETAIL” ca trei valori diferite, care strică orice grupare.</t>
        </is>
      </c>
      <c r="E67" s="28" t="inlineStr">
        <is>
          <t>Listele se editează în 90_LISTE.</t>
        </is>
      </c>
    </row>
    <row r="68" ht="46" customHeight="1">
      <c r="A68" s="26" t="inlineStr">
        <is>
          <t>Filtru</t>
        </is>
      </c>
      <c r="B68" s="34" t="inlineStr">
        <is>
          <t>Excel</t>
        </is>
      </c>
      <c r="C68" s="28" t="inlineStr">
        <is>
          <t>Butonul din antetul tabelului care ascunde rândurile care nu te interesează.</t>
        </is>
      </c>
      <c r="D68" s="28" t="inlineStr">
        <is>
          <t>Așa citești rapid doar semnalele: filtrezi coloana „Semnal” pe ce vrei să vezi.</t>
        </is>
      </c>
      <c r="E68" s="28" t="inlineStr">
        <is>
          <t>Se activează din săgeata de pe antet.</t>
        </is>
      </c>
    </row>
    <row r="69" ht="46" customHeight="1">
      <c r="A69" s="26" t="inlineStr">
        <is>
          <t>Recalculare</t>
        </is>
      </c>
      <c r="B69" s="34" t="inlineStr">
        <is>
          <t>Excel</t>
        </is>
      </c>
      <c r="C69" s="28" t="inlineStr">
        <is>
          <t>Refacerea tuturor calculelor. Se întâmplă automat; se poate forța cu F9 (Ctrl+Shift+F9 pentru tot fișierul).</t>
        </is>
      </c>
      <c r="D69" s="28" t="inlineStr">
        <is>
          <t>Dacă cifrele par blocate după ce ai lipit date noi, apasă F9.</t>
        </is>
      </c>
      <c r="E69" s="28" t="inlineStr">
        <is>
          <t>—</t>
        </is>
      </c>
    </row>
    <row r="70" ht="46" customHeight="1">
      <c r="A70" s="26" t="inlineStr">
        <is>
          <t>Formatare condiționată</t>
        </is>
      </c>
      <c r="B70" s="34" t="inlineStr">
        <is>
          <t>Excel</t>
        </is>
      </c>
      <c r="C70" s="28" t="inlineStr">
        <is>
          <t>Colorarea automată a celulelor în funcție de valoare sau text.</t>
        </is>
      </c>
      <c r="D70" s="28" t="inlineStr">
        <is>
          <t>Prioritățile HIGH/MEDIUM/LOW și semnalele se colorează singure.</t>
        </is>
      </c>
      <c r="E70" s="28" t="inlineStr">
        <is>
          <t>—</t>
        </is>
      </c>
    </row>
  </sheetData>
  <autoFilter ref="A4:E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6" customWidth="1" min="3" max="3"/>
  </cols>
  <sheetData>
    <row r="1" ht="26" customHeight="1">
      <c r="A1" s="1" t="inlineStr">
        <is>
          <t>09 — PARAMETRI (panoul de control)</t>
        </is>
      </c>
    </row>
    <row r="2" ht="16" customHeight="1">
      <c r="A2" s="2" t="inlineStr">
        <is>
          <t>Aici se setează perioada și pragurile. Tot restul fișierului se recalculează automat.</t>
        </is>
      </c>
    </row>
    <row r="3"/>
    <row r="4" ht="20" customHeight="1">
      <c r="A4" s="10" t="inlineStr">
        <is>
          <t>PERIOADA DE ANALIZĂ</t>
        </is>
      </c>
      <c r="B4" s="11" t="n"/>
      <c r="C4" s="11" t="n"/>
    </row>
    <row r="5">
      <c r="A5" s="12" t="inlineStr">
        <is>
          <t>Perioada curentă — de la</t>
        </is>
      </c>
      <c r="B5" s="35" t="n">
        <v>46023</v>
      </c>
      <c r="C5" s="14" t="inlineStr">
        <is>
          <t>Prima zi a perioadei analizate.</t>
        </is>
      </c>
    </row>
    <row r="6">
      <c r="A6" s="12" t="inlineStr">
        <is>
          <t>Perioada curentă — până la</t>
        </is>
      </c>
      <c r="B6" s="35" t="n">
        <v>46203</v>
      </c>
      <c r="C6" s="14" t="inlineStr">
        <is>
          <t>Ultima zi a perioadei analizate.</t>
        </is>
      </c>
    </row>
    <row r="7">
      <c r="A7" s="12" t="inlineStr">
        <is>
          <t>Perioada de comparație — de la</t>
        </is>
      </c>
      <c r="B7" s="35" t="n">
        <v>45658</v>
      </c>
      <c r="C7" s="14" t="inlineStr">
        <is>
          <t>De regulă aceeași perioadă din anul anterior.</t>
        </is>
      </c>
    </row>
    <row r="8">
      <c r="A8" s="12" t="inlineStr">
        <is>
          <t>Perioada de comparație — până la</t>
        </is>
      </c>
      <c r="B8" s="35" t="n">
        <v>45838</v>
      </c>
    </row>
    <row r="9">
      <c r="A9" s="12" t="inlineStr">
        <is>
          <t>Data de referință</t>
        </is>
      </c>
      <c r="B9" s="36">
        <f>IF($B$6="",TODAY(),$B$6)</f>
        <v/>
      </c>
      <c r="C9" s="14" t="inlineStr">
        <is>
          <t>Față de ea se numără zilele de inactivitate. Implicit = ultima zi a perioadei analizate, ca să nu apară dormanți artificiali când analizezi o perioadă din trecut. Poți scrie în loc =TODAY() sau o dată fixă.</t>
        </is>
      </c>
    </row>
    <row r="10">
      <c r="A10" s="12" t="inlineStr">
        <is>
          <t>Moneda de raportare</t>
        </is>
      </c>
      <c r="B10" s="13" t="inlineStr">
        <is>
          <t>RON</t>
        </is>
      </c>
      <c r="C10" s="14" t="inlineStr">
        <is>
          <t>Toate valorile trebuie să fie în aceeași monedă.</t>
        </is>
      </c>
    </row>
    <row r="11"/>
    <row r="12" ht="20" customHeight="1">
      <c r="A12" s="10" t="inlineStr">
        <is>
          <t>PRAGURI PENTRU SEMNALE</t>
        </is>
      </c>
      <c r="B12" s="11" t="n"/>
      <c r="C12" s="11" t="n"/>
    </row>
    <row r="13">
      <c r="A13" s="12" t="inlineStr">
        <is>
          <t>Scădere de venit considerată alertă</t>
        </is>
      </c>
      <c r="B13" s="37" t="n">
        <v>-0.15</v>
      </c>
      <c r="C13" s="14" t="inlineStr">
        <is>
          <t>Ex. −15%: sub acest nivel, clientul intră în „Scădere venit”.</t>
        </is>
      </c>
    </row>
    <row r="14">
      <c r="A14" s="12" t="inlineStr">
        <is>
          <t>Creștere considerată oportunitate</t>
        </is>
      </c>
      <c r="B14" s="37" t="n">
        <v>0.2</v>
      </c>
      <c r="C14" s="14" t="inlineStr">
        <is>
          <t>Peste acest nivel, produsul/clientul e marcat ca „în creștere”.</t>
        </is>
      </c>
    </row>
    <row r="15">
      <c r="A15" s="12" t="inlineStr">
        <is>
          <t>Marjă brută de referință</t>
        </is>
      </c>
      <c r="B15" s="37" t="n">
        <v>0.3</v>
      </c>
      <c r="C15" s="14" t="inlineStr">
        <is>
          <t>Sub acest nivel se semnalează problemă de marjă.</t>
        </is>
      </c>
    </row>
    <row r="16">
      <c r="A16" s="12" t="inlineStr">
        <is>
          <t>Zile fără achiziție = client dormant</t>
        </is>
      </c>
      <c r="B16" s="38" t="n">
        <v>90</v>
      </c>
      <c r="C16" s="14" t="inlineStr">
        <is>
          <t>Numărul de zile de la ultima achiziție.</t>
        </is>
      </c>
    </row>
    <row r="17">
      <c r="A17" s="12" t="inlineStr">
        <is>
          <t>Prag NPS acceptabil</t>
        </is>
      </c>
      <c r="B17" s="38" t="n">
        <v>30</v>
      </c>
      <c r="C17" s="14" t="inlineStr">
        <is>
          <t>NPS sub acest nivel declanșează plan de recuperare.</t>
        </is>
      </c>
    </row>
    <row r="18">
      <c r="A18" s="12" t="inlineStr">
        <is>
          <t>Prag de atingere a țintei</t>
        </is>
      </c>
      <c r="B18" s="37" t="n">
        <v>0.9</v>
      </c>
      <c r="C18" s="14" t="inlineStr">
        <is>
          <t>Sub acest nivel se semnalează gap față de țintă.</t>
        </is>
      </c>
    </row>
    <row r="19">
      <c r="A19" s="12" t="inlineStr">
        <is>
          <t>Concentrare: prag pe un singur client</t>
        </is>
      </c>
      <c r="B19" s="37" t="n">
        <v>0.2</v>
      </c>
      <c r="C19" s="14" t="inlineStr">
        <is>
          <t>Peste acest procent din venit, clientul e risc de concentrare.</t>
        </is>
      </c>
    </row>
    <row r="20">
      <c r="A20" s="12" t="inlineStr">
        <is>
          <t>Venit minim pentru a intra în analiză</t>
        </is>
      </c>
      <c r="B20" s="38" t="n">
        <v>0</v>
      </c>
      <c r="C20" s="14" t="inlineStr">
        <is>
          <t>Ignoră clienții sub acest venit, ca să nu se aglomereze raportul.</t>
        </is>
      </c>
    </row>
    <row r="21"/>
    <row r="22" ht="20" customHeight="1">
      <c r="A22" s="10" t="inlineStr">
        <is>
          <t>PRAGURI DE PRIORITIZARE A OPORTUNITĂȚILOR</t>
        </is>
      </c>
      <c r="B22" s="11" t="n"/>
      <c r="C22" s="11" t="n"/>
    </row>
    <row r="23">
      <c r="A23" s="12" t="inlineStr">
        <is>
          <t>Scor minim pentru prioritate HIGH</t>
        </is>
      </c>
      <c r="B23" s="38" t="n">
        <v>40000</v>
      </c>
      <c r="C23" s="14" t="inlineStr">
        <is>
          <t>Scor = Impact × Probabilitate × Ușurință.</t>
        </is>
      </c>
    </row>
    <row r="24">
      <c r="A24" s="12" t="inlineStr">
        <is>
          <t>Scor minim pentru prioritate MEDIUM</t>
        </is>
      </c>
      <c r="B24" s="38" t="n">
        <v>20000</v>
      </c>
    </row>
    <row r="25"/>
    <row r="26" ht="20" customHeight="1">
      <c r="A26" s="10" t="inlineStr">
        <is>
          <t>META</t>
        </is>
      </c>
      <c r="B26" s="11" t="n"/>
      <c r="C26" s="11" t="n"/>
    </row>
    <row r="27">
      <c r="A27" s="12" t="inlineStr">
        <is>
          <t>Client analizat</t>
        </is>
      </c>
      <c r="B27" s="39">
        <f>IF('01_FIRMA'!B5="","[completează 01_FIRMA]",'01_FIRMA'!B5)</f>
        <v/>
      </c>
      <c r="C27" s="14" t="inlineStr">
        <is>
          <t>Se preia din 01_FIRMA.</t>
        </is>
      </c>
    </row>
    <row r="28">
      <c r="A28" s="12" t="inlineStr">
        <is>
          <t>Consultant EQUIL</t>
        </is>
      </c>
      <c r="B28" s="13" t="inlineStr"/>
    </row>
    <row r="29">
      <c r="A29" s="12" t="inlineStr">
        <is>
          <t>Versiune fișier</t>
        </is>
      </c>
      <c r="B29" s="39" t="inlineStr">
        <is>
          <t>v0.2</t>
        </is>
      </c>
    </row>
    <row r="30">
      <c r="A30" s="12" t="inlineStr">
        <is>
          <t>Data generării raportului</t>
        </is>
      </c>
      <c r="B30" s="35" t="inlineStr"/>
    </row>
  </sheetData>
  <dataValidations count="1">
    <dataValidation sqref="B10" showDropDown="0" showInputMessage="0" showErrorMessage="0" allowBlank="1" errorTitle="Valoare neacceptată" error="Valoare în afara listei permise. Alege din listă sau completează lista de valori." type="list">
      <formula1>='90_LISTE'!$R$2:$R$5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3" customWidth="1" min="4" max="4"/>
    <col width="14" customWidth="1" min="5" max="5"/>
    <col width="11" customWidth="1" min="6" max="6"/>
    <col width="15" customWidth="1" min="7" max="7"/>
    <col width="14" customWidth="1" min="8" max="8"/>
    <col width="12" customWidth="1" min="9" max="9"/>
    <col width="14" customWidth="1" min="10" max="10"/>
    <col width="13" customWidth="1" min="11" max="11"/>
    <col width="28" customWidth="1" min="12" max="12"/>
  </cols>
  <sheetData>
    <row r="1" ht="26" customHeight="1">
      <c r="A1" s="1" t="inlineStr">
        <is>
          <t>10 — CLIENȚI (NOMENCLATOR)</t>
        </is>
      </c>
    </row>
    <row r="2" ht="16" customHeight="1">
      <c r="A2" s="2" t="inlineStr">
        <is>
          <t>Galben = se completează. Gri = calculat automat, nu suprascrie.</t>
        </is>
      </c>
    </row>
    <row r="3"/>
    <row r="4" ht="34" customHeight="1">
      <c r="A4" s="15" t="inlineStr">
        <is>
          <t>ID client
Customer_ID</t>
        </is>
      </c>
      <c r="B4" s="15" t="inlineStr">
        <is>
          <t>Denumire client
Customer_Name</t>
        </is>
      </c>
      <c r="C4" s="15" t="inlineStr">
        <is>
          <t>Segment
Segment</t>
        </is>
      </c>
      <c r="D4" s="15" t="inlineStr">
        <is>
          <t>Canal
Channel</t>
        </is>
      </c>
      <c r="E4" s="15" t="inlineStr">
        <is>
          <t>Regiune / Țară
Region</t>
        </is>
      </c>
      <c r="F4" s="15" t="inlineStr">
        <is>
          <t>Țară
Country</t>
        </is>
      </c>
      <c r="G4" s="15" t="inlineStr">
        <is>
          <t>ID responsabil cont
Account_Owner_ID</t>
        </is>
      </c>
      <c r="H4" s="15" t="inlineStr">
        <is>
          <t>Client din data
Customer_Since</t>
        </is>
      </c>
      <c r="I4" s="15" t="inlineStr">
        <is>
          <t>Status
Status</t>
        </is>
      </c>
      <c r="J4" s="15" t="inlineStr">
        <is>
          <t>Termen plată (zile)
Payment_Terms_Days</t>
        </is>
      </c>
      <c r="K4" s="15" t="inlineStr">
        <is>
          <t>Limită credit
Credit_Limit</t>
        </is>
      </c>
      <c r="L4" s="15" t="inlineStr">
        <is>
          <t>Observații
Notes</t>
        </is>
      </c>
    </row>
    <row r="5">
      <c r="A5" s="13" t="inlineStr">
        <is>
          <t>C001</t>
        </is>
      </c>
      <c r="B5" s="13" t="inlineStr">
        <is>
          <t>Alfa Distribution SRL</t>
        </is>
      </c>
      <c r="C5" s="13" t="inlineStr">
        <is>
          <t>Key Account</t>
        </is>
      </c>
      <c r="D5" s="13" t="inlineStr">
        <is>
          <t>Wholesale</t>
        </is>
      </c>
      <c r="E5" s="13" t="inlineStr">
        <is>
          <t>București-Ilfov</t>
        </is>
      </c>
      <c r="F5" s="13" t="inlineStr">
        <is>
          <t>RO</t>
        </is>
      </c>
      <c r="G5" s="13" t="inlineStr">
        <is>
          <t>S001</t>
        </is>
      </c>
      <c r="H5" s="35" t="n">
        <v>44270</v>
      </c>
      <c r="I5" s="13" t="inlineStr">
        <is>
          <t>Activ</t>
        </is>
      </c>
      <c r="J5" s="38" t="n">
        <v>30</v>
      </c>
      <c r="K5" s="38" t="n">
        <v>50000</v>
      </c>
      <c r="L5" s="13" t="inlineStr">
        <is>
          <t>Exemplu — șterge înainte de utilizare</t>
        </is>
      </c>
    </row>
    <row r="6">
      <c r="A6" s="13" t="inlineStr">
        <is>
          <t>C002</t>
        </is>
      </c>
      <c r="B6" s="13" t="inlineStr">
        <is>
          <t>Beta Retail SA</t>
        </is>
      </c>
      <c r="C6" s="13" t="inlineStr">
        <is>
          <t>Mid-market</t>
        </is>
      </c>
      <c r="D6" s="13" t="inlineStr">
        <is>
          <t>Retail</t>
        </is>
      </c>
      <c r="E6" s="13" t="inlineStr">
        <is>
          <t>Cluj</t>
        </is>
      </c>
      <c r="F6" s="13" t="inlineStr">
        <is>
          <t>RO</t>
        </is>
      </c>
      <c r="G6" s="13" t="inlineStr">
        <is>
          <t>S002</t>
        </is>
      </c>
      <c r="H6" s="35" t="n">
        <v>45078</v>
      </c>
      <c r="I6" s="13" t="inlineStr">
        <is>
          <t>Activ</t>
        </is>
      </c>
      <c r="J6" s="38" t="n">
        <v>15</v>
      </c>
      <c r="K6" s="38" t="n">
        <v>20000</v>
      </c>
      <c r="L6" s="13" t="inlineStr">
        <is>
          <t>Exemplu — șterge înainte de utilizare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35" t="n"/>
      <c r="I7" s="13" t="n"/>
      <c r="J7" s="38" t="n"/>
      <c r="K7" s="38" t="n"/>
      <c r="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35" t="n"/>
      <c r="I8" s="13" t="n"/>
      <c r="J8" s="38" t="n"/>
      <c r="K8" s="38" t="n"/>
      <c r="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35" t="n"/>
      <c r="I9" s="13" t="n"/>
      <c r="J9" s="38" t="n"/>
      <c r="K9" s="38" t="n"/>
      <c r="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35" t="n"/>
      <c r="I10" s="13" t="n"/>
      <c r="J10" s="38" t="n"/>
      <c r="K10" s="38" t="n"/>
      <c r="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35" t="n"/>
      <c r="I11" s="13" t="n"/>
      <c r="J11" s="38" t="n"/>
      <c r="K11" s="38" t="n"/>
      <c r="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35" t="n"/>
      <c r="I12" s="13" t="n"/>
      <c r="J12" s="38" t="n"/>
      <c r="K12" s="38" t="n"/>
      <c r="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35" t="n"/>
      <c r="I13" s="13" t="n"/>
      <c r="J13" s="38" t="n"/>
      <c r="K13" s="38" t="n"/>
      <c r="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35" t="n"/>
      <c r="I14" s="13" t="n"/>
      <c r="J14" s="38" t="n"/>
      <c r="K14" s="38" t="n"/>
      <c r="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35" t="n"/>
      <c r="I15" s="13" t="n"/>
      <c r="J15" s="38" t="n"/>
      <c r="K15" s="38" t="n"/>
      <c r="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35" t="n"/>
      <c r="I16" s="13" t="n"/>
      <c r="J16" s="38" t="n"/>
      <c r="K16" s="38" t="n"/>
      <c r="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35" t="n"/>
      <c r="I17" s="13" t="n"/>
      <c r="J17" s="38" t="n"/>
      <c r="K17" s="38" t="n"/>
      <c r="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35" t="n"/>
      <c r="I18" s="13" t="n"/>
      <c r="J18" s="38" t="n"/>
      <c r="K18" s="38" t="n"/>
      <c r="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35" t="n"/>
      <c r="I19" s="13" t="n"/>
      <c r="J19" s="38" t="n"/>
      <c r="K19" s="38" t="n"/>
      <c r="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35" t="n"/>
      <c r="I20" s="13" t="n"/>
      <c r="J20" s="38" t="n"/>
      <c r="K20" s="38" t="n"/>
      <c r="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35" t="n"/>
      <c r="I21" s="13" t="n"/>
      <c r="J21" s="38" t="n"/>
      <c r="K21" s="38" t="n"/>
      <c r="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35" t="n"/>
      <c r="I22" s="13" t="n"/>
      <c r="J22" s="38" t="n"/>
      <c r="K22" s="38" t="n"/>
      <c r="L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35" t="n"/>
      <c r="I23" s="13" t="n"/>
      <c r="J23" s="38" t="n"/>
      <c r="K23" s="38" t="n"/>
      <c r="L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35" t="n"/>
      <c r="I24" s="13" t="n"/>
      <c r="J24" s="38" t="n"/>
      <c r="K24" s="38" t="n"/>
      <c r="L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35" t="n"/>
      <c r="I25" s="13" t="n"/>
      <c r="J25" s="38" t="n"/>
      <c r="K25" s="38" t="n"/>
      <c r="L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35" t="n"/>
      <c r="I26" s="13" t="n"/>
      <c r="J26" s="38" t="n"/>
      <c r="K26" s="38" t="n"/>
      <c r="L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35" t="n"/>
      <c r="I27" s="13" t="n"/>
      <c r="J27" s="38" t="n"/>
      <c r="K27" s="38" t="n"/>
      <c r="L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35" t="n"/>
      <c r="I28" s="13" t="n"/>
      <c r="J28" s="38" t="n"/>
      <c r="K28" s="38" t="n"/>
      <c r="L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35" t="n"/>
      <c r="I29" s="13" t="n"/>
      <c r="J29" s="38" t="n"/>
      <c r="K29" s="38" t="n"/>
      <c r="L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35" t="n"/>
      <c r="I30" s="13" t="n"/>
      <c r="J30" s="38" t="n"/>
      <c r="K30" s="38" t="n"/>
      <c r="L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35" t="n"/>
      <c r="I31" s="13" t="n"/>
      <c r="J31" s="38" t="n"/>
      <c r="K31" s="38" t="n"/>
      <c r="L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35" t="n"/>
      <c r="I32" s="13" t="n"/>
      <c r="J32" s="38" t="n"/>
      <c r="K32" s="38" t="n"/>
      <c r="L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35" t="n"/>
      <c r="I33" s="13" t="n"/>
      <c r="J33" s="38" t="n"/>
      <c r="K33" s="38" t="n"/>
      <c r="L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35" t="n"/>
      <c r="I34" s="13" t="n"/>
      <c r="J34" s="38" t="n"/>
      <c r="K34" s="38" t="n"/>
      <c r="L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35" t="n"/>
      <c r="I35" s="13" t="n"/>
      <c r="J35" s="38" t="n"/>
      <c r="K35" s="38" t="n"/>
      <c r="L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35" t="n"/>
      <c r="I36" s="13" t="n"/>
      <c r="J36" s="38" t="n"/>
      <c r="K36" s="38" t="n"/>
      <c r="L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35" t="n"/>
      <c r="I37" s="13" t="n"/>
      <c r="J37" s="38" t="n"/>
      <c r="K37" s="38" t="n"/>
      <c r="L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35" t="n"/>
      <c r="I38" s="13" t="n"/>
      <c r="J38" s="38" t="n"/>
      <c r="K38" s="38" t="n"/>
      <c r="L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35" t="n"/>
      <c r="I39" s="13" t="n"/>
      <c r="J39" s="38" t="n"/>
      <c r="K39" s="38" t="n"/>
      <c r="L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35" t="n"/>
      <c r="I40" s="13" t="n"/>
      <c r="J40" s="38" t="n"/>
      <c r="K40" s="38" t="n"/>
      <c r="L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35" t="n"/>
      <c r="I41" s="13" t="n"/>
      <c r="J41" s="38" t="n"/>
      <c r="K41" s="38" t="n"/>
      <c r="L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35" t="n"/>
      <c r="I42" s="13" t="n"/>
      <c r="J42" s="38" t="n"/>
      <c r="K42" s="38" t="n"/>
      <c r="L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35" t="n"/>
      <c r="I43" s="13" t="n"/>
      <c r="J43" s="38" t="n"/>
      <c r="K43" s="38" t="n"/>
      <c r="L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35" t="n"/>
      <c r="I44" s="13" t="n"/>
      <c r="J44" s="38" t="n"/>
      <c r="K44" s="38" t="n"/>
      <c r="L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35" t="n"/>
      <c r="I45" s="13" t="n"/>
      <c r="J45" s="38" t="n"/>
      <c r="K45" s="38" t="n"/>
      <c r="L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35" t="n"/>
      <c r="I46" s="13" t="n"/>
      <c r="J46" s="38" t="n"/>
      <c r="K46" s="38" t="n"/>
      <c r="L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35" t="n"/>
      <c r="I47" s="13" t="n"/>
      <c r="J47" s="38" t="n"/>
      <c r="K47" s="38" t="n"/>
      <c r="L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35" t="n"/>
      <c r="I48" s="13" t="n"/>
      <c r="J48" s="38" t="n"/>
      <c r="K48" s="38" t="n"/>
      <c r="L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35" t="n"/>
      <c r="I49" s="13" t="n"/>
      <c r="J49" s="38" t="n"/>
      <c r="K49" s="38" t="n"/>
      <c r="L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35" t="n"/>
      <c r="I50" s="13" t="n"/>
      <c r="J50" s="38" t="n"/>
      <c r="K50" s="38" t="n"/>
      <c r="L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35" t="n"/>
      <c r="I51" s="13" t="n"/>
      <c r="J51" s="38" t="n"/>
      <c r="K51" s="38" t="n"/>
      <c r="L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35" t="n"/>
      <c r="I52" s="13" t="n"/>
      <c r="J52" s="38" t="n"/>
      <c r="K52" s="38" t="n"/>
      <c r="L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35" t="n"/>
      <c r="I53" s="13" t="n"/>
      <c r="J53" s="38" t="n"/>
      <c r="K53" s="38" t="n"/>
      <c r="L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35" t="n"/>
      <c r="I54" s="13" t="n"/>
      <c r="J54" s="38" t="n"/>
      <c r="K54" s="38" t="n"/>
      <c r="L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35" t="n"/>
      <c r="I55" s="13" t="n"/>
      <c r="J55" s="38" t="n"/>
      <c r="K55" s="38" t="n"/>
      <c r="L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35" t="n"/>
      <c r="I56" s="13" t="n"/>
      <c r="J56" s="38" t="n"/>
      <c r="K56" s="38" t="n"/>
      <c r="L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35" t="n"/>
      <c r="I57" s="13" t="n"/>
      <c r="J57" s="38" t="n"/>
      <c r="K57" s="38" t="n"/>
      <c r="L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35" t="n"/>
      <c r="I58" s="13" t="n"/>
      <c r="J58" s="38" t="n"/>
      <c r="K58" s="38" t="n"/>
      <c r="L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35" t="n"/>
      <c r="I59" s="13" t="n"/>
      <c r="J59" s="38" t="n"/>
      <c r="K59" s="38" t="n"/>
      <c r="L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35" t="n"/>
      <c r="I60" s="13" t="n"/>
      <c r="J60" s="38" t="n"/>
      <c r="K60" s="38" t="n"/>
      <c r="L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35" t="n"/>
      <c r="I61" s="13" t="n"/>
      <c r="J61" s="38" t="n"/>
      <c r="K61" s="38" t="n"/>
      <c r="L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35" t="n"/>
      <c r="I62" s="13" t="n"/>
      <c r="J62" s="38" t="n"/>
      <c r="K62" s="38" t="n"/>
      <c r="L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35" t="n"/>
      <c r="I63" s="13" t="n"/>
      <c r="J63" s="38" t="n"/>
      <c r="K63" s="38" t="n"/>
      <c r="L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35" t="n"/>
      <c r="I64" s="13" t="n"/>
      <c r="J64" s="38" t="n"/>
      <c r="K64" s="38" t="n"/>
      <c r="L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35" t="n"/>
      <c r="I65" s="13" t="n"/>
      <c r="J65" s="38" t="n"/>
      <c r="K65" s="38" t="n"/>
      <c r="L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35" t="n"/>
      <c r="I66" s="13" t="n"/>
      <c r="J66" s="38" t="n"/>
      <c r="K66" s="38" t="n"/>
      <c r="L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35" t="n"/>
      <c r="I67" s="13" t="n"/>
      <c r="J67" s="38" t="n"/>
      <c r="K67" s="38" t="n"/>
      <c r="L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35" t="n"/>
      <c r="I68" s="13" t="n"/>
      <c r="J68" s="38" t="n"/>
      <c r="K68" s="38" t="n"/>
      <c r="L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35" t="n"/>
      <c r="I69" s="13" t="n"/>
      <c r="J69" s="38" t="n"/>
      <c r="K69" s="38" t="n"/>
      <c r="L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35" t="n"/>
      <c r="I70" s="13" t="n"/>
      <c r="J70" s="38" t="n"/>
      <c r="K70" s="38" t="n"/>
      <c r="L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35" t="n"/>
      <c r="I71" s="13" t="n"/>
      <c r="J71" s="38" t="n"/>
      <c r="K71" s="38" t="n"/>
      <c r="L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35" t="n"/>
      <c r="I72" s="13" t="n"/>
      <c r="J72" s="38" t="n"/>
      <c r="K72" s="38" t="n"/>
      <c r="L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35" t="n"/>
      <c r="I73" s="13" t="n"/>
      <c r="J73" s="38" t="n"/>
      <c r="K73" s="38" t="n"/>
      <c r="L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35" t="n"/>
      <c r="I74" s="13" t="n"/>
      <c r="J74" s="38" t="n"/>
      <c r="K74" s="38" t="n"/>
      <c r="L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35" t="n"/>
      <c r="I75" s="13" t="n"/>
      <c r="J75" s="38" t="n"/>
      <c r="K75" s="38" t="n"/>
      <c r="L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35" t="n"/>
      <c r="I76" s="13" t="n"/>
      <c r="J76" s="38" t="n"/>
      <c r="K76" s="38" t="n"/>
      <c r="L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35" t="n"/>
      <c r="I77" s="13" t="n"/>
      <c r="J77" s="38" t="n"/>
      <c r="K77" s="38" t="n"/>
      <c r="L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35" t="n"/>
      <c r="I78" s="13" t="n"/>
      <c r="J78" s="38" t="n"/>
      <c r="K78" s="38" t="n"/>
      <c r="L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35" t="n"/>
      <c r="I79" s="13" t="n"/>
      <c r="J79" s="38" t="n"/>
      <c r="K79" s="38" t="n"/>
      <c r="L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35" t="n"/>
      <c r="I80" s="13" t="n"/>
      <c r="J80" s="38" t="n"/>
      <c r="K80" s="38" t="n"/>
      <c r="L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35" t="n"/>
      <c r="I81" s="13" t="n"/>
      <c r="J81" s="38" t="n"/>
      <c r="K81" s="38" t="n"/>
      <c r="L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35" t="n"/>
      <c r="I82" s="13" t="n"/>
      <c r="J82" s="38" t="n"/>
      <c r="K82" s="38" t="n"/>
      <c r="L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35" t="n"/>
      <c r="I83" s="13" t="n"/>
      <c r="J83" s="38" t="n"/>
      <c r="K83" s="38" t="n"/>
      <c r="L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35" t="n"/>
      <c r="I84" s="13" t="n"/>
      <c r="J84" s="38" t="n"/>
      <c r="K84" s="38" t="n"/>
      <c r="L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35" t="n"/>
      <c r="I85" s="13" t="n"/>
      <c r="J85" s="38" t="n"/>
      <c r="K85" s="38" t="n"/>
      <c r="L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35" t="n"/>
      <c r="I86" s="13" t="n"/>
      <c r="J86" s="38" t="n"/>
      <c r="K86" s="38" t="n"/>
      <c r="L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35" t="n"/>
      <c r="I87" s="13" t="n"/>
      <c r="J87" s="38" t="n"/>
      <c r="K87" s="38" t="n"/>
      <c r="L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35" t="n"/>
      <c r="I88" s="13" t="n"/>
      <c r="J88" s="38" t="n"/>
      <c r="K88" s="38" t="n"/>
      <c r="L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35" t="n"/>
      <c r="I89" s="13" t="n"/>
      <c r="J89" s="38" t="n"/>
      <c r="K89" s="38" t="n"/>
      <c r="L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35" t="n"/>
      <c r="I90" s="13" t="n"/>
      <c r="J90" s="38" t="n"/>
      <c r="K90" s="38" t="n"/>
      <c r="L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35" t="n"/>
      <c r="I91" s="13" t="n"/>
      <c r="J91" s="38" t="n"/>
      <c r="K91" s="38" t="n"/>
      <c r="L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35" t="n"/>
      <c r="I92" s="13" t="n"/>
      <c r="J92" s="38" t="n"/>
      <c r="K92" s="38" t="n"/>
      <c r="L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35" t="n"/>
      <c r="I93" s="13" t="n"/>
      <c r="J93" s="38" t="n"/>
      <c r="K93" s="38" t="n"/>
      <c r="L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35" t="n"/>
      <c r="I94" s="13" t="n"/>
      <c r="J94" s="38" t="n"/>
      <c r="K94" s="38" t="n"/>
      <c r="L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35" t="n"/>
      <c r="I95" s="13" t="n"/>
      <c r="J95" s="38" t="n"/>
      <c r="K95" s="38" t="n"/>
      <c r="L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35" t="n"/>
      <c r="I96" s="13" t="n"/>
      <c r="J96" s="38" t="n"/>
      <c r="K96" s="38" t="n"/>
      <c r="L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35" t="n"/>
      <c r="I97" s="13" t="n"/>
      <c r="J97" s="38" t="n"/>
      <c r="K97" s="38" t="n"/>
      <c r="L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35" t="n"/>
      <c r="I98" s="13" t="n"/>
      <c r="J98" s="38" t="n"/>
      <c r="K98" s="38" t="n"/>
      <c r="L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35" t="n"/>
      <c r="I99" s="13" t="n"/>
      <c r="J99" s="38" t="n"/>
      <c r="K99" s="38" t="n"/>
      <c r="L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35" t="n"/>
      <c r="I100" s="13" t="n"/>
      <c r="J100" s="38" t="n"/>
      <c r="K100" s="38" t="n"/>
      <c r="L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35" t="n"/>
      <c r="I101" s="13" t="n"/>
      <c r="J101" s="38" t="n"/>
      <c r="K101" s="38" t="n"/>
      <c r="L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35" t="n"/>
      <c r="I102" s="13" t="n"/>
      <c r="J102" s="38" t="n"/>
      <c r="K102" s="38" t="n"/>
      <c r="L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35" t="n"/>
      <c r="I103" s="13" t="n"/>
      <c r="J103" s="38" t="n"/>
      <c r="K103" s="38" t="n"/>
      <c r="L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35" t="n"/>
      <c r="I104" s="13" t="n"/>
      <c r="J104" s="38" t="n"/>
      <c r="K104" s="38" t="n"/>
      <c r="L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35" t="n"/>
      <c r="I105" s="13" t="n"/>
      <c r="J105" s="38" t="n"/>
      <c r="K105" s="38" t="n"/>
      <c r="L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35" t="n"/>
      <c r="I106" s="13" t="n"/>
      <c r="J106" s="38" t="n"/>
      <c r="K106" s="38" t="n"/>
      <c r="L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35" t="n"/>
      <c r="I107" s="13" t="n"/>
      <c r="J107" s="38" t="n"/>
      <c r="K107" s="38" t="n"/>
      <c r="L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35" t="n"/>
      <c r="I108" s="13" t="n"/>
      <c r="J108" s="38" t="n"/>
      <c r="K108" s="38" t="n"/>
      <c r="L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35" t="n"/>
      <c r="I109" s="13" t="n"/>
      <c r="J109" s="38" t="n"/>
      <c r="K109" s="38" t="n"/>
      <c r="L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35" t="n"/>
      <c r="I110" s="13" t="n"/>
      <c r="J110" s="38" t="n"/>
      <c r="K110" s="38" t="n"/>
      <c r="L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35" t="n"/>
      <c r="I111" s="13" t="n"/>
      <c r="J111" s="38" t="n"/>
      <c r="K111" s="38" t="n"/>
      <c r="L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35" t="n"/>
      <c r="I112" s="13" t="n"/>
      <c r="J112" s="38" t="n"/>
      <c r="K112" s="38" t="n"/>
      <c r="L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35" t="n"/>
      <c r="I113" s="13" t="n"/>
      <c r="J113" s="38" t="n"/>
      <c r="K113" s="38" t="n"/>
      <c r="L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35" t="n"/>
      <c r="I114" s="13" t="n"/>
      <c r="J114" s="38" t="n"/>
      <c r="K114" s="38" t="n"/>
      <c r="L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35" t="n"/>
      <c r="I115" s="13" t="n"/>
      <c r="J115" s="38" t="n"/>
      <c r="K115" s="38" t="n"/>
      <c r="L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35" t="n"/>
      <c r="I116" s="13" t="n"/>
      <c r="J116" s="38" t="n"/>
      <c r="K116" s="38" t="n"/>
      <c r="L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35" t="n"/>
      <c r="I117" s="13" t="n"/>
      <c r="J117" s="38" t="n"/>
      <c r="K117" s="38" t="n"/>
      <c r="L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35" t="n"/>
      <c r="I118" s="13" t="n"/>
      <c r="J118" s="38" t="n"/>
      <c r="K118" s="38" t="n"/>
      <c r="L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35" t="n"/>
      <c r="I119" s="13" t="n"/>
      <c r="J119" s="38" t="n"/>
      <c r="K119" s="38" t="n"/>
      <c r="L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35" t="n"/>
      <c r="I120" s="13" t="n"/>
      <c r="J120" s="38" t="n"/>
      <c r="K120" s="38" t="n"/>
      <c r="L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35" t="n"/>
      <c r="I121" s="13" t="n"/>
      <c r="J121" s="38" t="n"/>
      <c r="K121" s="38" t="n"/>
      <c r="L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35" t="n"/>
      <c r="I122" s="13" t="n"/>
      <c r="J122" s="38" t="n"/>
      <c r="K122" s="38" t="n"/>
      <c r="L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35" t="n"/>
      <c r="I123" s="13" t="n"/>
      <c r="J123" s="38" t="n"/>
      <c r="K123" s="38" t="n"/>
      <c r="L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35" t="n"/>
      <c r="I124" s="13" t="n"/>
      <c r="J124" s="38" t="n"/>
      <c r="K124" s="38" t="n"/>
      <c r="L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35" t="n"/>
      <c r="I125" s="13" t="n"/>
      <c r="J125" s="38" t="n"/>
      <c r="K125" s="38" t="n"/>
      <c r="L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35" t="n"/>
      <c r="I126" s="13" t="n"/>
      <c r="J126" s="38" t="n"/>
      <c r="K126" s="38" t="n"/>
      <c r="L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35" t="n"/>
      <c r="I127" s="13" t="n"/>
      <c r="J127" s="38" t="n"/>
      <c r="K127" s="38" t="n"/>
      <c r="L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35" t="n"/>
      <c r="I128" s="13" t="n"/>
      <c r="J128" s="38" t="n"/>
      <c r="K128" s="38" t="n"/>
      <c r="L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35" t="n"/>
      <c r="I129" s="13" t="n"/>
      <c r="J129" s="38" t="n"/>
      <c r="K129" s="38" t="n"/>
      <c r="L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35" t="n"/>
      <c r="I130" s="13" t="n"/>
      <c r="J130" s="38" t="n"/>
      <c r="K130" s="38" t="n"/>
      <c r="L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35" t="n"/>
      <c r="I131" s="13" t="n"/>
      <c r="J131" s="38" t="n"/>
      <c r="K131" s="38" t="n"/>
      <c r="L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35" t="n"/>
      <c r="I132" s="13" t="n"/>
      <c r="J132" s="38" t="n"/>
      <c r="K132" s="38" t="n"/>
      <c r="L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35" t="n"/>
      <c r="I133" s="13" t="n"/>
      <c r="J133" s="38" t="n"/>
      <c r="K133" s="38" t="n"/>
      <c r="L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35" t="n"/>
      <c r="I134" s="13" t="n"/>
      <c r="J134" s="38" t="n"/>
      <c r="K134" s="38" t="n"/>
      <c r="L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35" t="n"/>
      <c r="I135" s="13" t="n"/>
      <c r="J135" s="38" t="n"/>
      <c r="K135" s="38" t="n"/>
      <c r="L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35" t="n"/>
      <c r="I136" s="13" t="n"/>
      <c r="J136" s="38" t="n"/>
      <c r="K136" s="38" t="n"/>
      <c r="L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35" t="n"/>
      <c r="I137" s="13" t="n"/>
      <c r="J137" s="38" t="n"/>
      <c r="K137" s="38" t="n"/>
      <c r="L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35" t="n"/>
      <c r="I138" s="13" t="n"/>
      <c r="J138" s="38" t="n"/>
      <c r="K138" s="38" t="n"/>
      <c r="L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35" t="n"/>
      <c r="I139" s="13" t="n"/>
      <c r="J139" s="38" t="n"/>
      <c r="K139" s="38" t="n"/>
      <c r="L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35" t="n"/>
      <c r="I140" s="13" t="n"/>
      <c r="J140" s="38" t="n"/>
      <c r="K140" s="38" t="n"/>
      <c r="L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35" t="n"/>
      <c r="I141" s="13" t="n"/>
      <c r="J141" s="38" t="n"/>
      <c r="K141" s="38" t="n"/>
      <c r="L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35" t="n"/>
      <c r="I142" s="13" t="n"/>
      <c r="J142" s="38" t="n"/>
      <c r="K142" s="38" t="n"/>
      <c r="L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35" t="n"/>
      <c r="I143" s="13" t="n"/>
      <c r="J143" s="38" t="n"/>
      <c r="K143" s="38" t="n"/>
      <c r="L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35" t="n"/>
      <c r="I144" s="13" t="n"/>
      <c r="J144" s="38" t="n"/>
      <c r="K144" s="38" t="n"/>
      <c r="L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35" t="n"/>
      <c r="I145" s="13" t="n"/>
      <c r="J145" s="38" t="n"/>
      <c r="K145" s="38" t="n"/>
      <c r="L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35" t="n"/>
      <c r="I146" s="13" t="n"/>
      <c r="J146" s="38" t="n"/>
      <c r="K146" s="38" t="n"/>
      <c r="L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35" t="n"/>
      <c r="I147" s="13" t="n"/>
      <c r="J147" s="38" t="n"/>
      <c r="K147" s="38" t="n"/>
      <c r="L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35" t="n"/>
      <c r="I148" s="13" t="n"/>
      <c r="J148" s="38" t="n"/>
      <c r="K148" s="38" t="n"/>
      <c r="L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35" t="n"/>
      <c r="I149" s="13" t="n"/>
      <c r="J149" s="38" t="n"/>
      <c r="K149" s="38" t="n"/>
      <c r="L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35" t="n"/>
      <c r="I150" s="13" t="n"/>
      <c r="J150" s="38" t="n"/>
      <c r="K150" s="38" t="n"/>
      <c r="L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35" t="n"/>
      <c r="I151" s="13" t="n"/>
      <c r="J151" s="38" t="n"/>
      <c r="K151" s="38" t="n"/>
      <c r="L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35" t="n"/>
      <c r="I152" s="13" t="n"/>
      <c r="J152" s="38" t="n"/>
      <c r="K152" s="38" t="n"/>
      <c r="L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35" t="n"/>
      <c r="I153" s="13" t="n"/>
      <c r="J153" s="38" t="n"/>
      <c r="K153" s="38" t="n"/>
      <c r="L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35" t="n"/>
      <c r="I154" s="13" t="n"/>
      <c r="J154" s="38" t="n"/>
      <c r="K154" s="38" t="n"/>
      <c r="L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35" t="n"/>
      <c r="I155" s="13" t="n"/>
      <c r="J155" s="38" t="n"/>
      <c r="K155" s="38" t="n"/>
      <c r="L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35" t="n"/>
      <c r="I156" s="13" t="n"/>
      <c r="J156" s="38" t="n"/>
      <c r="K156" s="38" t="n"/>
      <c r="L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35" t="n"/>
      <c r="I157" s="13" t="n"/>
      <c r="J157" s="38" t="n"/>
      <c r="K157" s="38" t="n"/>
      <c r="L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35" t="n"/>
      <c r="I158" s="13" t="n"/>
      <c r="J158" s="38" t="n"/>
      <c r="K158" s="38" t="n"/>
      <c r="L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35" t="n"/>
      <c r="I159" s="13" t="n"/>
      <c r="J159" s="38" t="n"/>
      <c r="K159" s="38" t="n"/>
      <c r="L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35" t="n"/>
      <c r="I160" s="13" t="n"/>
      <c r="J160" s="38" t="n"/>
      <c r="K160" s="38" t="n"/>
      <c r="L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35" t="n"/>
      <c r="I161" s="13" t="n"/>
      <c r="J161" s="38" t="n"/>
      <c r="K161" s="38" t="n"/>
      <c r="L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35" t="n"/>
      <c r="I162" s="13" t="n"/>
      <c r="J162" s="38" t="n"/>
      <c r="K162" s="38" t="n"/>
      <c r="L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35" t="n"/>
      <c r="I163" s="13" t="n"/>
      <c r="J163" s="38" t="n"/>
      <c r="K163" s="38" t="n"/>
      <c r="L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35" t="n"/>
      <c r="I164" s="13" t="n"/>
      <c r="J164" s="38" t="n"/>
      <c r="K164" s="38" t="n"/>
      <c r="L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35" t="n"/>
      <c r="I165" s="13" t="n"/>
      <c r="J165" s="38" t="n"/>
      <c r="K165" s="38" t="n"/>
      <c r="L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35" t="n"/>
      <c r="I166" s="13" t="n"/>
      <c r="J166" s="38" t="n"/>
      <c r="K166" s="38" t="n"/>
      <c r="L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35" t="n"/>
      <c r="I167" s="13" t="n"/>
      <c r="J167" s="38" t="n"/>
      <c r="K167" s="38" t="n"/>
      <c r="L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35" t="n"/>
      <c r="I168" s="13" t="n"/>
      <c r="J168" s="38" t="n"/>
      <c r="K168" s="38" t="n"/>
      <c r="L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35" t="n"/>
      <c r="I169" s="13" t="n"/>
      <c r="J169" s="38" t="n"/>
      <c r="K169" s="38" t="n"/>
      <c r="L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35" t="n"/>
      <c r="I170" s="13" t="n"/>
      <c r="J170" s="38" t="n"/>
      <c r="K170" s="38" t="n"/>
      <c r="L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35" t="n"/>
      <c r="I171" s="13" t="n"/>
      <c r="J171" s="38" t="n"/>
      <c r="K171" s="38" t="n"/>
      <c r="L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35" t="n"/>
      <c r="I172" s="13" t="n"/>
      <c r="J172" s="38" t="n"/>
      <c r="K172" s="38" t="n"/>
      <c r="L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35" t="n"/>
      <c r="I173" s="13" t="n"/>
      <c r="J173" s="38" t="n"/>
      <c r="K173" s="38" t="n"/>
      <c r="L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35" t="n"/>
      <c r="I174" s="13" t="n"/>
      <c r="J174" s="38" t="n"/>
      <c r="K174" s="38" t="n"/>
      <c r="L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35" t="n"/>
      <c r="I175" s="13" t="n"/>
      <c r="J175" s="38" t="n"/>
      <c r="K175" s="38" t="n"/>
      <c r="L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35" t="n"/>
      <c r="I176" s="13" t="n"/>
      <c r="J176" s="38" t="n"/>
      <c r="K176" s="38" t="n"/>
      <c r="L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35" t="n"/>
      <c r="I177" s="13" t="n"/>
      <c r="J177" s="38" t="n"/>
      <c r="K177" s="38" t="n"/>
      <c r="L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35" t="n"/>
      <c r="I178" s="13" t="n"/>
      <c r="J178" s="38" t="n"/>
      <c r="K178" s="38" t="n"/>
      <c r="L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35" t="n"/>
      <c r="I179" s="13" t="n"/>
      <c r="J179" s="38" t="n"/>
      <c r="K179" s="38" t="n"/>
      <c r="L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35" t="n"/>
      <c r="I180" s="13" t="n"/>
      <c r="J180" s="38" t="n"/>
      <c r="K180" s="38" t="n"/>
      <c r="L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35" t="n"/>
      <c r="I181" s="13" t="n"/>
      <c r="J181" s="38" t="n"/>
      <c r="K181" s="38" t="n"/>
      <c r="L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35" t="n"/>
      <c r="I182" s="13" t="n"/>
      <c r="J182" s="38" t="n"/>
      <c r="K182" s="38" t="n"/>
      <c r="L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35" t="n"/>
      <c r="I183" s="13" t="n"/>
      <c r="J183" s="38" t="n"/>
      <c r="K183" s="38" t="n"/>
      <c r="L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35" t="n"/>
      <c r="I184" s="13" t="n"/>
      <c r="J184" s="38" t="n"/>
      <c r="K184" s="38" t="n"/>
      <c r="L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35" t="n"/>
      <c r="I185" s="13" t="n"/>
      <c r="J185" s="38" t="n"/>
      <c r="K185" s="38" t="n"/>
      <c r="L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35" t="n"/>
      <c r="I186" s="13" t="n"/>
      <c r="J186" s="38" t="n"/>
      <c r="K186" s="38" t="n"/>
      <c r="L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35" t="n"/>
      <c r="I187" s="13" t="n"/>
      <c r="J187" s="38" t="n"/>
      <c r="K187" s="38" t="n"/>
      <c r="L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35" t="n"/>
      <c r="I188" s="13" t="n"/>
      <c r="J188" s="38" t="n"/>
      <c r="K188" s="38" t="n"/>
      <c r="L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35" t="n"/>
      <c r="I189" s="13" t="n"/>
      <c r="J189" s="38" t="n"/>
      <c r="K189" s="38" t="n"/>
      <c r="L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35" t="n"/>
      <c r="I190" s="13" t="n"/>
      <c r="J190" s="38" t="n"/>
      <c r="K190" s="38" t="n"/>
      <c r="L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35" t="n"/>
      <c r="I191" s="13" t="n"/>
      <c r="J191" s="38" t="n"/>
      <c r="K191" s="38" t="n"/>
      <c r="L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35" t="n"/>
      <c r="I192" s="13" t="n"/>
      <c r="J192" s="38" t="n"/>
      <c r="K192" s="38" t="n"/>
      <c r="L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35" t="n"/>
      <c r="I193" s="13" t="n"/>
      <c r="J193" s="38" t="n"/>
      <c r="K193" s="38" t="n"/>
      <c r="L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35" t="n"/>
      <c r="I194" s="13" t="n"/>
      <c r="J194" s="38" t="n"/>
      <c r="K194" s="38" t="n"/>
      <c r="L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35" t="n"/>
      <c r="I195" s="13" t="n"/>
      <c r="J195" s="38" t="n"/>
      <c r="K195" s="38" t="n"/>
      <c r="L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35" t="n"/>
      <c r="I196" s="13" t="n"/>
      <c r="J196" s="38" t="n"/>
      <c r="K196" s="38" t="n"/>
      <c r="L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35" t="n"/>
      <c r="I197" s="13" t="n"/>
      <c r="J197" s="38" t="n"/>
      <c r="K197" s="38" t="n"/>
      <c r="L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35" t="n"/>
      <c r="I198" s="13" t="n"/>
      <c r="J198" s="38" t="n"/>
      <c r="K198" s="38" t="n"/>
      <c r="L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35" t="n"/>
      <c r="I199" s="13" t="n"/>
      <c r="J199" s="38" t="n"/>
      <c r="K199" s="38" t="n"/>
      <c r="L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35" t="n"/>
      <c r="I200" s="13" t="n"/>
      <c r="J200" s="38" t="n"/>
      <c r="K200" s="38" t="n"/>
      <c r="L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35" t="n"/>
      <c r="I201" s="13" t="n"/>
      <c r="J201" s="38" t="n"/>
      <c r="K201" s="38" t="n"/>
      <c r="L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35" t="n"/>
      <c r="I202" s="13" t="n"/>
      <c r="J202" s="38" t="n"/>
      <c r="K202" s="38" t="n"/>
      <c r="L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35" t="n"/>
      <c r="I203" s="13" t="n"/>
      <c r="J203" s="38" t="n"/>
      <c r="K203" s="38" t="n"/>
      <c r="L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35" t="n"/>
      <c r="I204" s="13" t="n"/>
      <c r="J204" s="38" t="n"/>
      <c r="K204" s="38" t="n"/>
      <c r="L204" s="13" t="n"/>
    </row>
  </sheetData>
  <autoFilter ref="A4:L204"/>
  <dataValidations count="3">
    <dataValidation sqref="C5:C204" showDropDown="0" showInputMessage="0" showErrorMessage="0" allowBlank="1" errorTitle="Valoare neacceptată" error="Valoare în afara listei permise. Alege din listă sau completează lista de valori." type="list">
      <formula1>='90_LISTE'!$D$2:$D$7</formula1>
    </dataValidation>
    <dataValidation sqref="D5:D204" showDropDown="0" showInputMessage="0" showErrorMessage="0" allowBlank="1" errorTitle="Valoare neacceptată" error="Valoare în afara listei permise. Alege din listă sau completează lista de valori." type="list">
      <formula1>='90_LISTE'!$E$2:$E$7</formula1>
    </dataValidation>
    <dataValidation sqref="I5:I204" showDropDown="0" showInputMessage="0" showErrorMessage="0" allowBlank="1" errorTitle="Valoare neacceptată" error="Valoare în afara listei permise. Alege din listă sau completează lista de valori." type="list">
      <formula1>='90_LISTE'!$M$2:$M$7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6" customWidth="1" min="4" max="4"/>
    <col width="13" customWidth="1" min="5" max="5"/>
    <col width="13" customWidth="1" min="6" max="6"/>
    <col width="14" customWidth="1" min="7" max="7"/>
    <col width="13" customWidth="1" min="8" max="8"/>
    <col width="12" customWidth="1" min="9" max="9"/>
  </cols>
  <sheetData>
    <row r="1" ht="26" customHeight="1">
      <c r="A1" s="1" t="inlineStr">
        <is>
          <t>11 — PRODUSE / SERVICII (NOMENCLATOR)</t>
        </is>
      </c>
    </row>
    <row r="2" ht="16" customHeight="1">
      <c r="A2" s="2" t="inlineStr">
        <is>
          <t>Galben = se completează. Gri = calculat automat, nu suprascrie.</t>
        </is>
      </c>
    </row>
    <row r="3"/>
    <row r="4" ht="34" customHeight="1">
      <c r="A4" s="15" t="inlineStr">
        <is>
          <t>ID produs
Product_ID</t>
        </is>
      </c>
      <c r="B4" s="15" t="inlineStr">
        <is>
          <t>Denumire produs
Product_Name</t>
        </is>
      </c>
      <c r="C4" s="15" t="inlineStr">
        <is>
          <t>Categorie
Category</t>
        </is>
      </c>
      <c r="D4" s="15" t="inlineStr">
        <is>
          <t>Subcategorie
Subcategory</t>
        </is>
      </c>
      <c r="E4" s="15" t="inlineStr">
        <is>
          <t>Preț de listă
List_Price</t>
        </is>
      </c>
      <c r="F4" s="15" t="inlineStr">
        <is>
          <t>Cost standard
Standard_Cost</t>
        </is>
      </c>
      <c r="G4" s="15" t="inlineStr">
        <is>
          <t>Recurent (Da/Nu)
Is_Recurring</t>
        </is>
      </c>
      <c r="H4" s="15" t="inlineStr">
        <is>
          <t>Data lansării
Launch_Date</t>
        </is>
      </c>
      <c r="I4" s="15" t="inlineStr">
        <is>
          <t>Status
Status</t>
        </is>
      </c>
    </row>
    <row r="5">
      <c r="A5" s="13" t="inlineStr">
        <is>
          <t>P001</t>
        </is>
      </c>
      <c r="B5" s="13" t="inlineStr">
        <is>
          <t>Produs X</t>
        </is>
      </c>
      <c r="C5" s="13" t="inlineStr">
        <is>
          <t>Categoria A</t>
        </is>
      </c>
      <c r="D5" s="13" t="inlineStr"/>
      <c r="E5" s="38" t="n">
        <v>120</v>
      </c>
      <c r="F5" s="38" t="n">
        <v>84</v>
      </c>
      <c r="G5" s="13" t="inlineStr">
        <is>
          <t>Nu</t>
        </is>
      </c>
      <c r="H5" s="35" t="n"/>
      <c r="I5" s="13" t="inlineStr">
        <is>
          <t>Activ</t>
        </is>
      </c>
    </row>
    <row r="6">
      <c r="A6" s="13" t="inlineStr">
        <is>
          <t>P002</t>
        </is>
      </c>
      <c r="B6" s="13" t="inlineStr">
        <is>
          <t>Serviciu Y</t>
        </is>
      </c>
      <c r="C6" s="13" t="inlineStr">
        <is>
          <t>Servicii recurente</t>
        </is>
      </c>
      <c r="D6" s="13" t="inlineStr"/>
      <c r="E6" s="38" t="n">
        <v>1200</v>
      </c>
      <c r="F6" s="38" t="n">
        <v>600</v>
      </c>
      <c r="G6" s="13" t="inlineStr">
        <is>
          <t>Da</t>
        </is>
      </c>
      <c r="H6" s="35" t="n"/>
      <c r="I6" s="13" t="inlineStr">
        <is>
          <t>Activ</t>
        </is>
      </c>
    </row>
    <row r="7">
      <c r="A7" s="13" t="n"/>
      <c r="B7" s="13" t="n"/>
      <c r="C7" s="13" t="n"/>
      <c r="D7" s="13" t="n"/>
      <c r="E7" s="38" t="n"/>
      <c r="F7" s="38" t="n"/>
      <c r="G7" s="13" t="n"/>
      <c r="H7" s="35" t="n"/>
      <c r="I7" s="13" t="n"/>
    </row>
    <row r="8">
      <c r="A8" s="13" t="n"/>
      <c r="B8" s="13" t="n"/>
      <c r="C8" s="13" t="n"/>
      <c r="D8" s="13" t="n"/>
      <c r="E8" s="38" t="n"/>
      <c r="F8" s="38" t="n"/>
      <c r="G8" s="13" t="n"/>
      <c r="H8" s="35" t="n"/>
      <c r="I8" s="13" t="n"/>
    </row>
    <row r="9">
      <c r="A9" s="13" t="n"/>
      <c r="B9" s="13" t="n"/>
      <c r="C9" s="13" t="n"/>
      <c r="D9" s="13" t="n"/>
      <c r="E9" s="38" t="n"/>
      <c r="F9" s="38" t="n"/>
      <c r="G9" s="13" t="n"/>
      <c r="H9" s="35" t="n"/>
      <c r="I9" s="13" t="n"/>
    </row>
    <row r="10">
      <c r="A10" s="13" t="n"/>
      <c r="B10" s="13" t="n"/>
      <c r="C10" s="13" t="n"/>
      <c r="D10" s="13" t="n"/>
      <c r="E10" s="38" t="n"/>
      <c r="F10" s="38" t="n"/>
      <c r="G10" s="13" t="n"/>
      <c r="H10" s="35" t="n"/>
      <c r="I10" s="13" t="n"/>
    </row>
    <row r="11">
      <c r="A11" s="13" t="n"/>
      <c r="B11" s="13" t="n"/>
      <c r="C11" s="13" t="n"/>
      <c r="D11" s="13" t="n"/>
      <c r="E11" s="38" t="n"/>
      <c r="F11" s="38" t="n"/>
      <c r="G11" s="13" t="n"/>
      <c r="H11" s="35" t="n"/>
      <c r="I11" s="13" t="n"/>
    </row>
    <row r="12">
      <c r="A12" s="13" t="n"/>
      <c r="B12" s="13" t="n"/>
      <c r="C12" s="13" t="n"/>
      <c r="D12" s="13" t="n"/>
      <c r="E12" s="38" t="n"/>
      <c r="F12" s="38" t="n"/>
      <c r="G12" s="13" t="n"/>
      <c r="H12" s="35" t="n"/>
      <c r="I12" s="13" t="n"/>
    </row>
    <row r="13">
      <c r="A13" s="13" t="n"/>
      <c r="B13" s="13" t="n"/>
      <c r="C13" s="13" t="n"/>
      <c r="D13" s="13" t="n"/>
      <c r="E13" s="38" t="n"/>
      <c r="F13" s="38" t="n"/>
      <c r="G13" s="13" t="n"/>
      <c r="H13" s="35" t="n"/>
      <c r="I13" s="13" t="n"/>
    </row>
    <row r="14">
      <c r="A14" s="13" t="n"/>
      <c r="B14" s="13" t="n"/>
      <c r="C14" s="13" t="n"/>
      <c r="D14" s="13" t="n"/>
      <c r="E14" s="38" t="n"/>
      <c r="F14" s="38" t="n"/>
      <c r="G14" s="13" t="n"/>
      <c r="H14" s="35" t="n"/>
      <c r="I14" s="13" t="n"/>
    </row>
    <row r="15">
      <c r="A15" s="13" t="n"/>
      <c r="B15" s="13" t="n"/>
      <c r="C15" s="13" t="n"/>
      <c r="D15" s="13" t="n"/>
      <c r="E15" s="38" t="n"/>
      <c r="F15" s="38" t="n"/>
      <c r="G15" s="13" t="n"/>
      <c r="H15" s="35" t="n"/>
      <c r="I15" s="13" t="n"/>
    </row>
    <row r="16">
      <c r="A16" s="13" t="n"/>
      <c r="B16" s="13" t="n"/>
      <c r="C16" s="13" t="n"/>
      <c r="D16" s="13" t="n"/>
      <c r="E16" s="38" t="n"/>
      <c r="F16" s="38" t="n"/>
      <c r="G16" s="13" t="n"/>
      <c r="H16" s="35" t="n"/>
      <c r="I16" s="13" t="n"/>
    </row>
    <row r="17">
      <c r="A17" s="13" t="n"/>
      <c r="B17" s="13" t="n"/>
      <c r="C17" s="13" t="n"/>
      <c r="D17" s="13" t="n"/>
      <c r="E17" s="38" t="n"/>
      <c r="F17" s="38" t="n"/>
      <c r="G17" s="13" t="n"/>
      <c r="H17" s="35" t="n"/>
      <c r="I17" s="13" t="n"/>
    </row>
    <row r="18">
      <c r="A18" s="13" t="n"/>
      <c r="B18" s="13" t="n"/>
      <c r="C18" s="13" t="n"/>
      <c r="D18" s="13" t="n"/>
      <c r="E18" s="38" t="n"/>
      <c r="F18" s="38" t="n"/>
      <c r="G18" s="13" t="n"/>
      <c r="H18" s="35" t="n"/>
      <c r="I18" s="13" t="n"/>
    </row>
    <row r="19">
      <c r="A19" s="13" t="n"/>
      <c r="B19" s="13" t="n"/>
      <c r="C19" s="13" t="n"/>
      <c r="D19" s="13" t="n"/>
      <c r="E19" s="38" t="n"/>
      <c r="F19" s="38" t="n"/>
      <c r="G19" s="13" t="n"/>
      <c r="H19" s="35" t="n"/>
      <c r="I19" s="13" t="n"/>
    </row>
    <row r="20">
      <c r="A20" s="13" t="n"/>
      <c r="B20" s="13" t="n"/>
      <c r="C20" s="13" t="n"/>
      <c r="D20" s="13" t="n"/>
      <c r="E20" s="38" t="n"/>
      <c r="F20" s="38" t="n"/>
      <c r="G20" s="13" t="n"/>
      <c r="H20" s="35" t="n"/>
      <c r="I20" s="13" t="n"/>
    </row>
    <row r="21">
      <c r="A21" s="13" t="n"/>
      <c r="B21" s="13" t="n"/>
      <c r="C21" s="13" t="n"/>
      <c r="D21" s="13" t="n"/>
      <c r="E21" s="38" t="n"/>
      <c r="F21" s="38" t="n"/>
      <c r="G21" s="13" t="n"/>
      <c r="H21" s="35" t="n"/>
      <c r="I21" s="13" t="n"/>
    </row>
    <row r="22">
      <c r="A22" s="13" t="n"/>
      <c r="B22" s="13" t="n"/>
      <c r="C22" s="13" t="n"/>
      <c r="D22" s="13" t="n"/>
      <c r="E22" s="38" t="n"/>
      <c r="F22" s="38" t="n"/>
      <c r="G22" s="13" t="n"/>
      <c r="H22" s="35" t="n"/>
      <c r="I22" s="13" t="n"/>
    </row>
    <row r="23">
      <c r="A23" s="13" t="n"/>
      <c r="B23" s="13" t="n"/>
      <c r="C23" s="13" t="n"/>
      <c r="D23" s="13" t="n"/>
      <c r="E23" s="38" t="n"/>
      <c r="F23" s="38" t="n"/>
      <c r="G23" s="13" t="n"/>
      <c r="H23" s="35" t="n"/>
      <c r="I23" s="13" t="n"/>
    </row>
    <row r="24">
      <c r="A24" s="13" t="n"/>
      <c r="B24" s="13" t="n"/>
      <c r="C24" s="13" t="n"/>
      <c r="D24" s="13" t="n"/>
      <c r="E24" s="38" t="n"/>
      <c r="F24" s="38" t="n"/>
      <c r="G24" s="13" t="n"/>
      <c r="H24" s="35" t="n"/>
      <c r="I24" s="13" t="n"/>
    </row>
    <row r="25">
      <c r="A25" s="13" t="n"/>
      <c r="B25" s="13" t="n"/>
      <c r="C25" s="13" t="n"/>
      <c r="D25" s="13" t="n"/>
      <c r="E25" s="38" t="n"/>
      <c r="F25" s="38" t="n"/>
      <c r="G25" s="13" t="n"/>
      <c r="H25" s="35" t="n"/>
      <c r="I25" s="13" t="n"/>
    </row>
    <row r="26">
      <c r="A26" s="13" t="n"/>
      <c r="B26" s="13" t="n"/>
      <c r="C26" s="13" t="n"/>
      <c r="D26" s="13" t="n"/>
      <c r="E26" s="38" t="n"/>
      <c r="F26" s="38" t="n"/>
      <c r="G26" s="13" t="n"/>
      <c r="H26" s="35" t="n"/>
      <c r="I26" s="13" t="n"/>
    </row>
    <row r="27">
      <c r="A27" s="13" t="n"/>
      <c r="B27" s="13" t="n"/>
      <c r="C27" s="13" t="n"/>
      <c r="D27" s="13" t="n"/>
      <c r="E27" s="38" t="n"/>
      <c r="F27" s="38" t="n"/>
      <c r="G27" s="13" t="n"/>
      <c r="H27" s="35" t="n"/>
      <c r="I27" s="13" t="n"/>
    </row>
    <row r="28">
      <c r="A28" s="13" t="n"/>
      <c r="B28" s="13" t="n"/>
      <c r="C28" s="13" t="n"/>
      <c r="D28" s="13" t="n"/>
      <c r="E28" s="38" t="n"/>
      <c r="F28" s="38" t="n"/>
      <c r="G28" s="13" t="n"/>
      <c r="H28" s="35" t="n"/>
      <c r="I28" s="13" t="n"/>
    </row>
    <row r="29">
      <c r="A29" s="13" t="n"/>
      <c r="B29" s="13" t="n"/>
      <c r="C29" s="13" t="n"/>
      <c r="D29" s="13" t="n"/>
      <c r="E29" s="38" t="n"/>
      <c r="F29" s="38" t="n"/>
      <c r="G29" s="13" t="n"/>
      <c r="H29" s="35" t="n"/>
      <c r="I29" s="13" t="n"/>
    </row>
    <row r="30">
      <c r="A30" s="13" t="n"/>
      <c r="B30" s="13" t="n"/>
      <c r="C30" s="13" t="n"/>
      <c r="D30" s="13" t="n"/>
      <c r="E30" s="38" t="n"/>
      <c r="F30" s="38" t="n"/>
      <c r="G30" s="13" t="n"/>
      <c r="H30" s="35" t="n"/>
      <c r="I30" s="13" t="n"/>
    </row>
    <row r="31">
      <c r="A31" s="13" t="n"/>
      <c r="B31" s="13" t="n"/>
      <c r="C31" s="13" t="n"/>
      <c r="D31" s="13" t="n"/>
      <c r="E31" s="38" t="n"/>
      <c r="F31" s="38" t="n"/>
      <c r="G31" s="13" t="n"/>
      <c r="H31" s="35" t="n"/>
      <c r="I31" s="13" t="n"/>
    </row>
    <row r="32">
      <c r="A32" s="13" t="n"/>
      <c r="B32" s="13" t="n"/>
      <c r="C32" s="13" t="n"/>
      <c r="D32" s="13" t="n"/>
      <c r="E32" s="38" t="n"/>
      <c r="F32" s="38" t="n"/>
      <c r="G32" s="13" t="n"/>
      <c r="H32" s="35" t="n"/>
      <c r="I32" s="13" t="n"/>
    </row>
    <row r="33">
      <c r="A33" s="13" t="n"/>
      <c r="B33" s="13" t="n"/>
      <c r="C33" s="13" t="n"/>
      <c r="D33" s="13" t="n"/>
      <c r="E33" s="38" t="n"/>
      <c r="F33" s="38" t="n"/>
      <c r="G33" s="13" t="n"/>
      <c r="H33" s="35" t="n"/>
      <c r="I33" s="13" t="n"/>
    </row>
    <row r="34">
      <c r="A34" s="13" t="n"/>
      <c r="B34" s="13" t="n"/>
      <c r="C34" s="13" t="n"/>
      <c r="D34" s="13" t="n"/>
      <c r="E34" s="38" t="n"/>
      <c r="F34" s="38" t="n"/>
      <c r="G34" s="13" t="n"/>
      <c r="H34" s="35" t="n"/>
      <c r="I34" s="13" t="n"/>
    </row>
    <row r="35">
      <c r="A35" s="13" t="n"/>
      <c r="B35" s="13" t="n"/>
      <c r="C35" s="13" t="n"/>
      <c r="D35" s="13" t="n"/>
      <c r="E35" s="38" t="n"/>
      <c r="F35" s="38" t="n"/>
      <c r="G35" s="13" t="n"/>
      <c r="H35" s="35" t="n"/>
      <c r="I35" s="13" t="n"/>
    </row>
    <row r="36">
      <c r="A36" s="13" t="n"/>
      <c r="B36" s="13" t="n"/>
      <c r="C36" s="13" t="n"/>
      <c r="D36" s="13" t="n"/>
      <c r="E36" s="38" t="n"/>
      <c r="F36" s="38" t="n"/>
      <c r="G36" s="13" t="n"/>
      <c r="H36" s="35" t="n"/>
      <c r="I36" s="13" t="n"/>
    </row>
    <row r="37">
      <c r="A37" s="13" t="n"/>
      <c r="B37" s="13" t="n"/>
      <c r="C37" s="13" t="n"/>
      <c r="D37" s="13" t="n"/>
      <c r="E37" s="38" t="n"/>
      <c r="F37" s="38" t="n"/>
      <c r="G37" s="13" t="n"/>
      <c r="H37" s="35" t="n"/>
      <c r="I37" s="13" t="n"/>
    </row>
    <row r="38">
      <c r="A38" s="13" t="n"/>
      <c r="B38" s="13" t="n"/>
      <c r="C38" s="13" t="n"/>
      <c r="D38" s="13" t="n"/>
      <c r="E38" s="38" t="n"/>
      <c r="F38" s="38" t="n"/>
      <c r="G38" s="13" t="n"/>
      <c r="H38" s="35" t="n"/>
      <c r="I38" s="13" t="n"/>
    </row>
    <row r="39">
      <c r="A39" s="13" t="n"/>
      <c r="B39" s="13" t="n"/>
      <c r="C39" s="13" t="n"/>
      <c r="D39" s="13" t="n"/>
      <c r="E39" s="38" t="n"/>
      <c r="F39" s="38" t="n"/>
      <c r="G39" s="13" t="n"/>
      <c r="H39" s="35" t="n"/>
      <c r="I39" s="13" t="n"/>
    </row>
    <row r="40">
      <c r="A40" s="13" t="n"/>
      <c r="B40" s="13" t="n"/>
      <c r="C40" s="13" t="n"/>
      <c r="D40" s="13" t="n"/>
      <c r="E40" s="38" t="n"/>
      <c r="F40" s="38" t="n"/>
      <c r="G40" s="13" t="n"/>
      <c r="H40" s="35" t="n"/>
      <c r="I40" s="13" t="n"/>
    </row>
    <row r="41">
      <c r="A41" s="13" t="n"/>
      <c r="B41" s="13" t="n"/>
      <c r="C41" s="13" t="n"/>
      <c r="D41" s="13" t="n"/>
      <c r="E41" s="38" t="n"/>
      <c r="F41" s="38" t="n"/>
      <c r="G41" s="13" t="n"/>
      <c r="H41" s="35" t="n"/>
      <c r="I41" s="13" t="n"/>
    </row>
    <row r="42">
      <c r="A42" s="13" t="n"/>
      <c r="B42" s="13" t="n"/>
      <c r="C42" s="13" t="n"/>
      <c r="D42" s="13" t="n"/>
      <c r="E42" s="38" t="n"/>
      <c r="F42" s="38" t="n"/>
      <c r="G42" s="13" t="n"/>
      <c r="H42" s="35" t="n"/>
      <c r="I42" s="13" t="n"/>
    </row>
    <row r="43">
      <c r="A43" s="13" t="n"/>
      <c r="B43" s="13" t="n"/>
      <c r="C43" s="13" t="n"/>
      <c r="D43" s="13" t="n"/>
      <c r="E43" s="38" t="n"/>
      <c r="F43" s="38" t="n"/>
      <c r="G43" s="13" t="n"/>
      <c r="H43" s="35" t="n"/>
      <c r="I43" s="13" t="n"/>
    </row>
    <row r="44">
      <c r="A44" s="13" t="n"/>
      <c r="B44" s="13" t="n"/>
      <c r="C44" s="13" t="n"/>
      <c r="D44" s="13" t="n"/>
      <c r="E44" s="38" t="n"/>
      <c r="F44" s="38" t="n"/>
      <c r="G44" s="13" t="n"/>
      <c r="H44" s="35" t="n"/>
      <c r="I44" s="13" t="n"/>
    </row>
    <row r="45">
      <c r="A45" s="13" t="n"/>
      <c r="B45" s="13" t="n"/>
      <c r="C45" s="13" t="n"/>
      <c r="D45" s="13" t="n"/>
      <c r="E45" s="38" t="n"/>
      <c r="F45" s="38" t="n"/>
      <c r="G45" s="13" t="n"/>
      <c r="H45" s="35" t="n"/>
      <c r="I45" s="13" t="n"/>
    </row>
    <row r="46">
      <c r="A46" s="13" t="n"/>
      <c r="B46" s="13" t="n"/>
      <c r="C46" s="13" t="n"/>
      <c r="D46" s="13" t="n"/>
      <c r="E46" s="38" t="n"/>
      <c r="F46" s="38" t="n"/>
      <c r="G46" s="13" t="n"/>
      <c r="H46" s="35" t="n"/>
      <c r="I46" s="13" t="n"/>
    </row>
    <row r="47">
      <c r="A47" s="13" t="n"/>
      <c r="B47" s="13" t="n"/>
      <c r="C47" s="13" t="n"/>
      <c r="D47" s="13" t="n"/>
      <c r="E47" s="38" t="n"/>
      <c r="F47" s="38" t="n"/>
      <c r="G47" s="13" t="n"/>
      <c r="H47" s="35" t="n"/>
      <c r="I47" s="13" t="n"/>
    </row>
    <row r="48">
      <c r="A48" s="13" t="n"/>
      <c r="B48" s="13" t="n"/>
      <c r="C48" s="13" t="n"/>
      <c r="D48" s="13" t="n"/>
      <c r="E48" s="38" t="n"/>
      <c r="F48" s="38" t="n"/>
      <c r="G48" s="13" t="n"/>
      <c r="H48" s="35" t="n"/>
      <c r="I48" s="13" t="n"/>
    </row>
    <row r="49">
      <c r="A49" s="13" t="n"/>
      <c r="B49" s="13" t="n"/>
      <c r="C49" s="13" t="n"/>
      <c r="D49" s="13" t="n"/>
      <c r="E49" s="38" t="n"/>
      <c r="F49" s="38" t="n"/>
      <c r="G49" s="13" t="n"/>
      <c r="H49" s="35" t="n"/>
      <c r="I49" s="13" t="n"/>
    </row>
    <row r="50">
      <c r="A50" s="13" t="n"/>
      <c r="B50" s="13" t="n"/>
      <c r="C50" s="13" t="n"/>
      <c r="D50" s="13" t="n"/>
      <c r="E50" s="38" t="n"/>
      <c r="F50" s="38" t="n"/>
      <c r="G50" s="13" t="n"/>
      <c r="H50" s="35" t="n"/>
      <c r="I50" s="13" t="n"/>
    </row>
    <row r="51">
      <c r="A51" s="13" t="n"/>
      <c r="B51" s="13" t="n"/>
      <c r="C51" s="13" t="n"/>
      <c r="D51" s="13" t="n"/>
      <c r="E51" s="38" t="n"/>
      <c r="F51" s="38" t="n"/>
      <c r="G51" s="13" t="n"/>
      <c r="H51" s="35" t="n"/>
      <c r="I51" s="13" t="n"/>
    </row>
    <row r="52">
      <c r="A52" s="13" t="n"/>
      <c r="B52" s="13" t="n"/>
      <c r="C52" s="13" t="n"/>
      <c r="D52" s="13" t="n"/>
      <c r="E52" s="38" t="n"/>
      <c r="F52" s="38" t="n"/>
      <c r="G52" s="13" t="n"/>
      <c r="H52" s="35" t="n"/>
      <c r="I52" s="13" t="n"/>
    </row>
    <row r="53">
      <c r="A53" s="13" t="n"/>
      <c r="B53" s="13" t="n"/>
      <c r="C53" s="13" t="n"/>
      <c r="D53" s="13" t="n"/>
      <c r="E53" s="38" t="n"/>
      <c r="F53" s="38" t="n"/>
      <c r="G53" s="13" t="n"/>
      <c r="H53" s="35" t="n"/>
      <c r="I53" s="13" t="n"/>
    </row>
    <row r="54">
      <c r="A54" s="13" t="n"/>
      <c r="B54" s="13" t="n"/>
      <c r="C54" s="13" t="n"/>
      <c r="D54" s="13" t="n"/>
      <c r="E54" s="38" t="n"/>
      <c r="F54" s="38" t="n"/>
      <c r="G54" s="13" t="n"/>
      <c r="H54" s="35" t="n"/>
      <c r="I54" s="13" t="n"/>
    </row>
    <row r="55">
      <c r="A55" s="13" t="n"/>
      <c r="B55" s="13" t="n"/>
      <c r="C55" s="13" t="n"/>
      <c r="D55" s="13" t="n"/>
      <c r="E55" s="38" t="n"/>
      <c r="F55" s="38" t="n"/>
      <c r="G55" s="13" t="n"/>
      <c r="H55" s="35" t="n"/>
      <c r="I55" s="13" t="n"/>
    </row>
    <row r="56">
      <c r="A56" s="13" t="n"/>
      <c r="B56" s="13" t="n"/>
      <c r="C56" s="13" t="n"/>
      <c r="D56" s="13" t="n"/>
      <c r="E56" s="38" t="n"/>
      <c r="F56" s="38" t="n"/>
      <c r="G56" s="13" t="n"/>
      <c r="H56" s="35" t="n"/>
      <c r="I56" s="13" t="n"/>
    </row>
    <row r="57">
      <c r="A57" s="13" t="n"/>
      <c r="B57" s="13" t="n"/>
      <c r="C57" s="13" t="n"/>
      <c r="D57" s="13" t="n"/>
      <c r="E57" s="38" t="n"/>
      <c r="F57" s="38" t="n"/>
      <c r="G57" s="13" t="n"/>
      <c r="H57" s="35" t="n"/>
      <c r="I57" s="13" t="n"/>
    </row>
    <row r="58">
      <c r="A58" s="13" t="n"/>
      <c r="B58" s="13" t="n"/>
      <c r="C58" s="13" t="n"/>
      <c r="D58" s="13" t="n"/>
      <c r="E58" s="38" t="n"/>
      <c r="F58" s="38" t="n"/>
      <c r="G58" s="13" t="n"/>
      <c r="H58" s="35" t="n"/>
      <c r="I58" s="13" t="n"/>
    </row>
    <row r="59">
      <c r="A59" s="13" t="n"/>
      <c r="B59" s="13" t="n"/>
      <c r="C59" s="13" t="n"/>
      <c r="D59" s="13" t="n"/>
      <c r="E59" s="38" t="n"/>
      <c r="F59" s="38" t="n"/>
      <c r="G59" s="13" t="n"/>
      <c r="H59" s="35" t="n"/>
      <c r="I59" s="13" t="n"/>
    </row>
    <row r="60">
      <c r="A60" s="13" t="n"/>
      <c r="B60" s="13" t="n"/>
      <c r="C60" s="13" t="n"/>
      <c r="D60" s="13" t="n"/>
      <c r="E60" s="38" t="n"/>
      <c r="F60" s="38" t="n"/>
      <c r="G60" s="13" t="n"/>
      <c r="H60" s="35" t="n"/>
      <c r="I60" s="13" t="n"/>
    </row>
    <row r="61">
      <c r="A61" s="13" t="n"/>
      <c r="B61" s="13" t="n"/>
      <c r="C61" s="13" t="n"/>
      <c r="D61" s="13" t="n"/>
      <c r="E61" s="38" t="n"/>
      <c r="F61" s="38" t="n"/>
      <c r="G61" s="13" t="n"/>
      <c r="H61" s="35" t="n"/>
      <c r="I61" s="13" t="n"/>
    </row>
    <row r="62">
      <c r="A62" s="13" t="n"/>
      <c r="B62" s="13" t="n"/>
      <c r="C62" s="13" t="n"/>
      <c r="D62" s="13" t="n"/>
      <c r="E62" s="38" t="n"/>
      <c r="F62" s="38" t="n"/>
      <c r="G62" s="13" t="n"/>
      <c r="H62" s="35" t="n"/>
      <c r="I62" s="13" t="n"/>
    </row>
    <row r="63">
      <c r="A63" s="13" t="n"/>
      <c r="B63" s="13" t="n"/>
      <c r="C63" s="13" t="n"/>
      <c r="D63" s="13" t="n"/>
      <c r="E63" s="38" t="n"/>
      <c r="F63" s="38" t="n"/>
      <c r="G63" s="13" t="n"/>
      <c r="H63" s="35" t="n"/>
      <c r="I63" s="13" t="n"/>
    </row>
    <row r="64">
      <c r="A64" s="13" t="n"/>
      <c r="B64" s="13" t="n"/>
      <c r="C64" s="13" t="n"/>
      <c r="D64" s="13" t="n"/>
      <c r="E64" s="38" t="n"/>
      <c r="F64" s="38" t="n"/>
      <c r="G64" s="13" t="n"/>
      <c r="H64" s="35" t="n"/>
      <c r="I64" s="13" t="n"/>
    </row>
    <row r="65">
      <c r="A65" s="13" t="n"/>
      <c r="B65" s="13" t="n"/>
      <c r="C65" s="13" t="n"/>
      <c r="D65" s="13" t="n"/>
      <c r="E65" s="38" t="n"/>
      <c r="F65" s="38" t="n"/>
      <c r="G65" s="13" t="n"/>
      <c r="H65" s="35" t="n"/>
      <c r="I65" s="13" t="n"/>
    </row>
    <row r="66">
      <c r="A66" s="13" t="n"/>
      <c r="B66" s="13" t="n"/>
      <c r="C66" s="13" t="n"/>
      <c r="D66" s="13" t="n"/>
      <c r="E66" s="38" t="n"/>
      <c r="F66" s="38" t="n"/>
      <c r="G66" s="13" t="n"/>
      <c r="H66" s="35" t="n"/>
      <c r="I66" s="13" t="n"/>
    </row>
    <row r="67">
      <c r="A67" s="13" t="n"/>
      <c r="B67" s="13" t="n"/>
      <c r="C67" s="13" t="n"/>
      <c r="D67" s="13" t="n"/>
      <c r="E67" s="38" t="n"/>
      <c r="F67" s="38" t="n"/>
      <c r="G67" s="13" t="n"/>
      <c r="H67" s="35" t="n"/>
      <c r="I67" s="13" t="n"/>
    </row>
    <row r="68">
      <c r="A68" s="13" t="n"/>
      <c r="B68" s="13" t="n"/>
      <c r="C68" s="13" t="n"/>
      <c r="D68" s="13" t="n"/>
      <c r="E68" s="38" t="n"/>
      <c r="F68" s="38" t="n"/>
      <c r="G68" s="13" t="n"/>
      <c r="H68" s="35" t="n"/>
      <c r="I68" s="13" t="n"/>
    </row>
    <row r="69">
      <c r="A69" s="13" t="n"/>
      <c r="B69" s="13" t="n"/>
      <c r="C69" s="13" t="n"/>
      <c r="D69" s="13" t="n"/>
      <c r="E69" s="38" t="n"/>
      <c r="F69" s="38" t="n"/>
      <c r="G69" s="13" t="n"/>
      <c r="H69" s="35" t="n"/>
      <c r="I69" s="13" t="n"/>
    </row>
    <row r="70">
      <c r="A70" s="13" t="n"/>
      <c r="B70" s="13" t="n"/>
      <c r="C70" s="13" t="n"/>
      <c r="D70" s="13" t="n"/>
      <c r="E70" s="38" t="n"/>
      <c r="F70" s="38" t="n"/>
      <c r="G70" s="13" t="n"/>
      <c r="H70" s="35" t="n"/>
      <c r="I70" s="13" t="n"/>
    </row>
    <row r="71">
      <c r="A71" s="13" t="n"/>
      <c r="B71" s="13" t="n"/>
      <c r="C71" s="13" t="n"/>
      <c r="D71" s="13" t="n"/>
      <c r="E71" s="38" t="n"/>
      <c r="F71" s="38" t="n"/>
      <c r="G71" s="13" t="n"/>
      <c r="H71" s="35" t="n"/>
      <c r="I71" s="13" t="n"/>
    </row>
    <row r="72">
      <c r="A72" s="13" t="n"/>
      <c r="B72" s="13" t="n"/>
      <c r="C72" s="13" t="n"/>
      <c r="D72" s="13" t="n"/>
      <c r="E72" s="38" t="n"/>
      <c r="F72" s="38" t="n"/>
      <c r="G72" s="13" t="n"/>
      <c r="H72" s="35" t="n"/>
      <c r="I72" s="13" t="n"/>
    </row>
    <row r="73">
      <c r="A73" s="13" t="n"/>
      <c r="B73" s="13" t="n"/>
      <c r="C73" s="13" t="n"/>
      <c r="D73" s="13" t="n"/>
      <c r="E73" s="38" t="n"/>
      <c r="F73" s="38" t="n"/>
      <c r="G73" s="13" t="n"/>
      <c r="H73" s="35" t="n"/>
      <c r="I73" s="13" t="n"/>
    </row>
    <row r="74">
      <c r="A74" s="13" t="n"/>
      <c r="B74" s="13" t="n"/>
      <c r="C74" s="13" t="n"/>
      <c r="D74" s="13" t="n"/>
      <c r="E74" s="38" t="n"/>
      <c r="F74" s="38" t="n"/>
      <c r="G74" s="13" t="n"/>
      <c r="H74" s="35" t="n"/>
      <c r="I74" s="13" t="n"/>
    </row>
    <row r="75">
      <c r="A75" s="13" t="n"/>
      <c r="B75" s="13" t="n"/>
      <c r="C75" s="13" t="n"/>
      <c r="D75" s="13" t="n"/>
      <c r="E75" s="38" t="n"/>
      <c r="F75" s="38" t="n"/>
      <c r="G75" s="13" t="n"/>
      <c r="H75" s="35" t="n"/>
      <c r="I75" s="13" t="n"/>
    </row>
    <row r="76">
      <c r="A76" s="13" t="n"/>
      <c r="B76" s="13" t="n"/>
      <c r="C76" s="13" t="n"/>
      <c r="D76" s="13" t="n"/>
      <c r="E76" s="38" t="n"/>
      <c r="F76" s="38" t="n"/>
      <c r="G76" s="13" t="n"/>
      <c r="H76" s="35" t="n"/>
      <c r="I76" s="13" t="n"/>
    </row>
    <row r="77">
      <c r="A77" s="13" t="n"/>
      <c r="B77" s="13" t="n"/>
      <c r="C77" s="13" t="n"/>
      <c r="D77" s="13" t="n"/>
      <c r="E77" s="38" t="n"/>
      <c r="F77" s="38" t="n"/>
      <c r="G77" s="13" t="n"/>
      <c r="H77" s="35" t="n"/>
      <c r="I77" s="13" t="n"/>
    </row>
    <row r="78">
      <c r="A78" s="13" t="n"/>
      <c r="B78" s="13" t="n"/>
      <c r="C78" s="13" t="n"/>
      <c r="D78" s="13" t="n"/>
      <c r="E78" s="38" t="n"/>
      <c r="F78" s="38" t="n"/>
      <c r="G78" s="13" t="n"/>
      <c r="H78" s="35" t="n"/>
      <c r="I78" s="13" t="n"/>
    </row>
    <row r="79">
      <c r="A79" s="13" t="n"/>
      <c r="B79" s="13" t="n"/>
      <c r="C79" s="13" t="n"/>
      <c r="D79" s="13" t="n"/>
      <c r="E79" s="38" t="n"/>
      <c r="F79" s="38" t="n"/>
      <c r="G79" s="13" t="n"/>
      <c r="H79" s="35" t="n"/>
      <c r="I79" s="13" t="n"/>
    </row>
    <row r="80">
      <c r="A80" s="13" t="n"/>
      <c r="B80" s="13" t="n"/>
      <c r="C80" s="13" t="n"/>
      <c r="D80" s="13" t="n"/>
      <c r="E80" s="38" t="n"/>
      <c r="F80" s="38" t="n"/>
      <c r="G80" s="13" t="n"/>
      <c r="H80" s="35" t="n"/>
      <c r="I80" s="13" t="n"/>
    </row>
    <row r="81">
      <c r="A81" s="13" t="n"/>
      <c r="B81" s="13" t="n"/>
      <c r="C81" s="13" t="n"/>
      <c r="D81" s="13" t="n"/>
      <c r="E81" s="38" t="n"/>
      <c r="F81" s="38" t="n"/>
      <c r="G81" s="13" t="n"/>
      <c r="H81" s="35" t="n"/>
      <c r="I81" s="13" t="n"/>
    </row>
    <row r="82">
      <c r="A82" s="13" t="n"/>
      <c r="B82" s="13" t="n"/>
      <c r="C82" s="13" t="n"/>
      <c r="D82" s="13" t="n"/>
      <c r="E82" s="38" t="n"/>
      <c r="F82" s="38" t="n"/>
      <c r="G82" s="13" t="n"/>
      <c r="H82" s="35" t="n"/>
      <c r="I82" s="13" t="n"/>
    </row>
    <row r="83">
      <c r="A83" s="13" t="n"/>
      <c r="B83" s="13" t="n"/>
      <c r="C83" s="13" t="n"/>
      <c r="D83" s="13" t="n"/>
      <c r="E83" s="38" t="n"/>
      <c r="F83" s="38" t="n"/>
      <c r="G83" s="13" t="n"/>
      <c r="H83" s="35" t="n"/>
      <c r="I83" s="13" t="n"/>
    </row>
    <row r="84">
      <c r="A84" s="13" t="n"/>
      <c r="B84" s="13" t="n"/>
      <c r="C84" s="13" t="n"/>
      <c r="D84" s="13" t="n"/>
      <c r="E84" s="38" t="n"/>
      <c r="F84" s="38" t="n"/>
      <c r="G84" s="13" t="n"/>
      <c r="H84" s="35" t="n"/>
      <c r="I84" s="13" t="n"/>
    </row>
    <row r="85">
      <c r="A85" s="13" t="n"/>
      <c r="B85" s="13" t="n"/>
      <c r="C85" s="13" t="n"/>
      <c r="D85" s="13" t="n"/>
      <c r="E85" s="38" t="n"/>
      <c r="F85" s="38" t="n"/>
      <c r="G85" s="13" t="n"/>
      <c r="H85" s="35" t="n"/>
      <c r="I85" s="13" t="n"/>
    </row>
    <row r="86">
      <c r="A86" s="13" t="n"/>
      <c r="B86" s="13" t="n"/>
      <c r="C86" s="13" t="n"/>
      <c r="D86" s="13" t="n"/>
      <c r="E86" s="38" t="n"/>
      <c r="F86" s="38" t="n"/>
      <c r="G86" s="13" t="n"/>
      <c r="H86" s="35" t="n"/>
      <c r="I86" s="13" t="n"/>
    </row>
    <row r="87">
      <c r="A87" s="13" t="n"/>
      <c r="B87" s="13" t="n"/>
      <c r="C87" s="13" t="n"/>
      <c r="D87" s="13" t="n"/>
      <c r="E87" s="38" t="n"/>
      <c r="F87" s="38" t="n"/>
      <c r="G87" s="13" t="n"/>
      <c r="H87" s="35" t="n"/>
      <c r="I87" s="13" t="n"/>
    </row>
    <row r="88">
      <c r="A88" s="13" t="n"/>
      <c r="B88" s="13" t="n"/>
      <c r="C88" s="13" t="n"/>
      <c r="D88" s="13" t="n"/>
      <c r="E88" s="38" t="n"/>
      <c r="F88" s="38" t="n"/>
      <c r="G88" s="13" t="n"/>
      <c r="H88" s="35" t="n"/>
      <c r="I88" s="13" t="n"/>
    </row>
    <row r="89">
      <c r="A89" s="13" t="n"/>
      <c r="B89" s="13" t="n"/>
      <c r="C89" s="13" t="n"/>
      <c r="D89" s="13" t="n"/>
      <c r="E89" s="38" t="n"/>
      <c r="F89" s="38" t="n"/>
      <c r="G89" s="13" t="n"/>
      <c r="H89" s="35" t="n"/>
      <c r="I89" s="13" t="n"/>
    </row>
    <row r="90">
      <c r="A90" s="13" t="n"/>
      <c r="B90" s="13" t="n"/>
      <c r="C90" s="13" t="n"/>
      <c r="D90" s="13" t="n"/>
      <c r="E90" s="38" t="n"/>
      <c r="F90" s="38" t="n"/>
      <c r="G90" s="13" t="n"/>
      <c r="H90" s="35" t="n"/>
      <c r="I90" s="13" t="n"/>
    </row>
    <row r="91">
      <c r="A91" s="13" t="n"/>
      <c r="B91" s="13" t="n"/>
      <c r="C91" s="13" t="n"/>
      <c r="D91" s="13" t="n"/>
      <c r="E91" s="38" t="n"/>
      <c r="F91" s="38" t="n"/>
      <c r="G91" s="13" t="n"/>
      <c r="H91" s="35" t="n"/>
      <c r="I91" s="13" t="n"/>
    </row>
    <row r="92">
      <c r="A92" s="13" t="n"/>
      <c r="B92" s="13" t="n"/>
      <c r="C92" s="13" t="n"/>
      <c r="D92" s="13" t="n"/>
      <c r="E92" s="38" t="n"/>
      <c r="F92" s="38" t="n"/>
      <c r="G92" s="13" t="n"/>
      <c r="H92" s="35" t="n"/>
      <c r="I92" s="13" t="n"/>
    </row>
    <row r="93">
      <c r="A93" s="13" t="n"/>
      <c r="B93" s="13" t="n"/>
      <c r="C93" s="13" t="n"/>
      <c r="D93" s="13" t="n"/>
      <c r="E93" s="38" t="n"/>
      <c r="F93" s="38" t="n"/>
      <c r="G93" s="13" t="n"/>
      <c r="H93" s="35" t="n"/>
      <c r="I93" s="13" t="n"/>
    </row>
    <row r="94">
      <c r="A94" s="13" t="n"/>
      <c r="B94" s="13" t="n"/>
      <c r="C94" s="13" t="n"/>
      <c r="D94" s="13" t="n"/>
      <c r="E94" s="38" t="n"/>
      <c r="F94" s="38" t="n"/>
      <c r="G94" s="13" t="n"/>
      <c r="H94" s="35" t="n"/>
      <c r="I94" s="13" t="n"/>
    </row>
    <row r="95">
      <c r="A95" s="13" t="n"/>
      <c r="B95" s="13" t="n"/>
      <c r="C95" s="13" t="n"/>
      <c r="D95" s="13" t="n"/>
      <c r="E95" s="38" t="n"/>
      <c r="F95" s="38" t="n"/>
      <c r="G95" s="13" t="n"/>
      <c r="H95" s="35" t="n"/>
      <c r="I95" s="13" t="n"/>
    </row>
    <row r="96">
      <c r="A96" s="13" t="n"/>
      <c r="B96" s="13" t="n"/>
      <c r="C96" s="13" t="n"/>
      <c r="D96" s="13" t="n"/>
      <c r="E96" s="38" t="n"/>
      <c r="F96" s="38" t="n"/>
      <c r="G96" s="13" t="n"/>
      <c r="H96" s="35" t="n"/>
      <c r="I96" s="13" t="n"/>
    </row>
    <row r="97">
      <c r="A97" s="13" t="n"/>
      <c r="B97" s="13" t="n"/>
      <c r="C97" s="13" t="n"/>
      <c r="D97" s="13" t="n"/>
      <c r="E97" s="38" t="n"/>
      <c r="F97" s="38" t="n"/>
      <c r="G97" s="13" t="n"/>
      <c r="H97" s="35" t="n"/>
      <c r="I97" s="13" t="n"/>
    </row>
    <row r="98">
      <c r="A98" s="13" t="n"/>
      <c r="B98" s="13" t="n"/>
      <c r="C98" s="13" t="n"/>
      <c r="D98" s="13" t="n"/>
      <c r="E98" s="38" t="n"/>
      <c r="F98" s="38" t="n"/>
      <c r="G98" s="13" t="n"/>
      <c r="H98" s="35" t="n"/>
      <c r="I98" s="13" t="n"/>
    </row>
    <row r="99">
      <c r="A99" s="13" t="n"/>
      <c r="B99" s="13" t="n"/>
      <c r="C99" s="13" t="n"/>
      <c r="D99" s="13" t="n"/>
      <c r="E99" s="38" t="n"/>
      <c r="F99" s="38" t="n"/>
      <c r="G99" s="13" t="n"/>
      <c r="H99" s="35" t="n"/>
      <c r="I99" s="13" t="n"/>
    </row>
    <row r="100">
      <c r="A100" s="13" t="n"/>
      <c r="B100" s="13" t="n"/>
      <c r="C100" s="13" t="n"/>
      <c r="D100" s="13" t="n"/>
      <c r="E100" s="38" t="n"/>
      <c r="F100" s="38" t="n"/>
      <c r="G100" s="13" t="n"/>
      <c r="H100" s="35" t="n"/>
      <c r="I100" s="13" t="n"/>
    </row>
    <row r="101">
      <c r="A101" s="13" t="n"/>
      <c r="B101" s="13" t="n"/>
      <c r="C101" s="13" t="n"/>
      <c r="D101" s="13" t="n"/>
      <c r="E101" s="38" t="n"/>
      <c r="F101" s="38" t="n"/>
      <c r="G101" s="13" t="n"/>
      <c r="H101" s="35" t="n"/>
      <c r="I101" s="13" t="n"/>
    </row>
    <row r="102">
      <c r="A102" s="13" t="n"/>
      <c r="B102" s="13" t="n"/>
      <c r="C102" s="13" t="n"/>
      <c r="D102" s="13" t="n"/>
      <c r="E102" s="38" t="n"/>
      <c r="F102" s="38" t="n"/>
      <c r="G102" s="13" t="n"/>
      <c r="H102" s="35" t="n"/>
      <c r="I102" s="13" t="n"/>
    </row>
    <row r="103">
      <c r="A103" s="13" t="n"/>
      <c r="B103" s="13" t="n"/>
      <c r="C103" s="13" t="n"/>
      <c r="D103" s="13" t="n"/>
      <c r="E103" s="38" t="n"/>
      <c r="F103" s="38" t="n"/>
      <c r="G103" s="13" t="n"/>
      <c r="H103" s="35" t="n"/>
      <c r="I103" s="13" t="n"/>
    </row>
    <row r="104">
      <c r="A104" s="13" t="n"/>
      <c r="B104" s="13" t="n"/>
      <c r="C104" s="13" t="n"/>
      <c r="D104" s="13" t="n"/>
      <c r="E104" s="38" t="n"/>
      <c r="F104" s="38" t="n"/>
      <c r="G104" s="13" t="n"/>
      <c r="H104" s="35" t="n"/>
      <c r="I104" s="13" t="n"/>
    </row>
  </sheetData>
  <autoFilter ref="A4:I104"/>
  <dataValidations count="2">
    <dataValidation sqref="G5:G104" showDropDown="0" showInputMessage="0" showErrorMessage="0" allowBlank="1" errorTitle="Valoare neacceptată" error="Valoare în afara listei permise. Alege din listă sau completează lista de valori." type="list">
      <formula1>='90_LISTE'!$N$2:$N$3</formula1>
    </dataValidation>
    <dataValidation sqref="I5:I104" showDropDown="0" showInputMessage="0" showErrorMessage="0" allowBlank="1" errorTitle="Valoare neacceptată" error="Valoare în afara listei permise. Alege din listă sau completează lista de valori." type="list">
      <formula1>='90_LISTE'!$M$2:$M$7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5" customWidth="1" min="4" max="4"/>
    <col width="10" customWidth="1" min="5" max="5"/>
    <col width="13" customWidth="1" min="6" max="6"/>
    <col width="13" customWidth="1" min="7" max="7"/>
    <col width="14" customWidth="1" min="8" max="8"/>
    <col width="14" customWidth="1" min="9" max="9"/>
  </cols>
  <sheetData>
    <row r="1" ht="26" customHeight="1">
      <c r="A1" s="1" t="inlineStr">
        <is>
          <t>12 — OAMENI (ECHIPA COMERCIALĂ / OPERAȚIONALĂ)</t>
        </is>
      </c>
    </row>
    <row r="2" ht="16" customHeight="1">
      <c r="A2" s="2" t="inlineStr">
        <is>
          <t>Galben = se completează. Gri = calculat automat, nu suprascrie.</t>
        </is>
      </c>
    </row>
    <row r="3"/>
    <row r="4" ht="34" customHeight="1">
      <c r="A4" s="15" t="inlineStr">
        <is>
          <t>ID persoană
Person_ID</t>
        </is>
      </c>
      <c r="B4" s="15" t="inlineStr">
        <is>
          <t>Nume
Person_Name</t>
        </is>
      </c>
      <c r="C4" s="15" t="inlineStr">
        <is>
          <t>Rol
Role</t>
        </is>
      </c>
      <c r="D4" s="15" t="inlineStr">
        <is>
          <t>Echipă
Team</t>
        </is>
      </c>
      <c r="E4" s="15" t="inlineStr">
        <is>
          <t>FTE (normă)
FTE</t>
        </is>
      </c>
      <c r="F4" s="15" t="inlineStr">
        <is>
          <t>Data angajării
Start_Date</t>
        </is>
      </c>
      <c r="G4" s="15" t="inlineStr">
        <is>
          <t>Data plecării
Exit_Date</t>
        </is>
      </c>
      <c r="H4" s="15" t="inlineStr">
        <is>
          <t>Cost anual total
Annual_Cost</t>
        </is>
      </c>
      <c r="I4" s="15" t="inlineStr">
        <is>
          <t>Are țintă (Da/Nu)
Is_Quota_Carrying</t>
        </is>
      </c>
    </row>
    <row r="5">
      <c r="A5" s="13" t="inlineStr">
        <is>
          <t>S001</t>
        </is>
      </c>
      <c r="B5" s="13" t="inlineStr">
        <is>
          <t>Ana P.</t>
        </is>
      </c>
      <c r="C5" s="13" t="inlineStr">
        <is>
          <t>Key Account Manager</t>
        </is>
      </c>
      <c r="D5" s="13" t="inlineStr">
        <is>
          <t>Vânzări B2B</t>
        </is>
      </c>
      <c r="E5" s="40" t="n">
        <v>1</v>
      </c>
      <c r="F5" s="35" t="n">
        <v>44958</v>
      </c>
      <c r="G5" s="35" t="n"/>
      <c r="H5" s="38" t="n">
        <v>96000</v>
      </c>
      <c r="I5" s="13" t="inlineStr">
        <is>
          <t>Da</t>
        </is>
      </c>
    </row>
    <row r="6">
      <c r="A6" s="13" t="inlineStr">
        <is>
          <t>S002</t>
        </is>
      </c>
      <c r="B6" s="13" t="inlineStr">
        <is>
          <t>Bogdan M.</t>
        </is>
      </c>
      <c r="C6" s="13" t="inlineStr">
        <is>
          <t>Sales Representative</t>
        </is>
      </c>
      <c r="D6" s="13" t="inlineStr">
        <is>
          <t>Vânzări B2B</t>
        </is>
      </c>
      <c r="E6" s="40" t="n">
        <v>1</v>
      </c>
      <c r="F6" s="35" t="n">
        <v>45536</v>
      </c>
      <c r="G6" s="35" t="n"/>
      <c r="H6" s="38" t="n">
        <v>72000</v>
      </c>
      <c r="I6" s="13" t="inlineStr">
        <is>
          <t>Da</t>
        </is>
      </c>
    </row>
    <row r="7">
      <c r="A7" s="13" t="n"/>
      <c r="B7" s="13" t="n"/>
      <c r="C7" s="13" t="n"/>
      <c r="D7" s="13" t="n"/>
      <c r="E7" s="40" t="n"/>
      <c r="F7" s="35" t="n"/>
      <c r="G7" s="35" t="n"/>
      <c r="H7" s="38" t="n"/>
      <c r="I7" s="13" t="n"/>
    </row>
    <row r="8">
      <c r="A8" s="13" t="n"/>
      <c r="B8" s="13" t="n"/>
      <c r="C8" s="13" t="n"/>
      <c r="D8" s="13" t="n"/>
      <c r="E8" s="40" t="n"/>
      <c r="F8" s="35" t="n"/>
      <c r="G8" s="35" t="n"/>
      <c r="H8" s="38" t="n"/>
      <c r="I8" s="13" t="n"/>
    </row>
    <row r="9">
      <c r="A9" s="13" t="n"/>
      <c r="B9" s="13" t="n"/>
      <c r="C9" s="13" t="n"/>
      <c r="D9" s="13" t="n"/>
      <c r="E9" s="40" t="n"/>
      <c r="F9" s="35" t="n"/>
      <c r="G9" s="35" t="n"/>
      <c r="H9" s="38" t="n"/>
      <c r="I9" s="13" t="n"/>
    </row>
    <row r="10">
      <c r="A10" s="13" t="n"/>
      <c r="B10" s="13" t="n"/>
      <c r="C10" s="13" t="n"/>
      <c r="D10" s="13" t="n"/>
      <c r="E10" s="40" t="n"/>
      <c r="F10" s="35" t="n"/>
      <c r="G10" s="35" t="n"/>
      <c r="H10" s="38" t="n"/>
      <c r="I10" s="13" t="n"/>
    </row>
    <row r="11">
      <c r="A11" s="13" t="n"/>
      <c r="B11" s="13" t="n"/>
      <c r="C11" s="13" t="n"/>
      <c r="D11" s="13" t="n"/>
      <c r="E11" s="40" t="n"/>
      <c r="F11" s="35" t="n"/>
      <c r="G11" s="35" t="n"/>
      <c r="H11" s="38" t="n"/>
      <c r="I11" s="13" t="n"/>
    </row>
    <row r="12">
      <c r="A12" s="13" t="n"/>
      <c r="B12" s="13" t="n"/>
      <c r="C12" s="13" t="n"/>
      <c r="D12" s="13" t="n"/>
      <c r="E12" s="40" t="n"/>
      <c r="F12" s="35" t="n"/>
      <c r="G12" s="35" t="n"/>
      <c r="H12" s="38" t="n"/>
      <c r="I12" s="13" t="n"/>
    </row>
    <row r="13">
      <c r="A13" s="13" t="n"/>
      <c r="B13" s="13" t="n"/>
      <c r="C13" s="13" t="n"/>
      <c r="D13" s="13" t="n"/>
      <c r="E13" s="40" t="n"/>
      <c r="F13" s="35" t="n"/>
      <c r="G13" s="35" t="n"/>
      <c r="H13" s="38" t="n"/>
      <c r="I13" s="13" t="n"/>
    </row>
    <row r="14">
      <c r="A14" s="13" t="n"/>
      <c r="B14" s="13" t="n"/>
      <c r="C14" s="13" t="n"/>
      <c r="D14" s="13" t="n"/>
      <c r="E14" s="40" t="n"/>
      <c r="F14" s="35" t="n"/>
      <c r="G14" s="35" t="n"/>
      <c r="H14" s="38" t="n"/>
      <c r="I14" s="13" t="n"/>
    </row>
    <row r="15">
      <c r="A15" s="13" t="n"/>
      <c r="B15" s="13" t="n"/>
      <c r="C15" s="13" t="n"/>
      <c r="D15" s="13" t="n"/>
      <c r="E15" s="40" t="n"/>
      <c r="F15" s="35" t="n"/>
      <c r="G15" s="35" t="n"/>
      <c r="H15" s="38" t="n"/>
      <c r="I15" s="13" t="n"/>
    </row>
    <row r="16">
      <c r="A16" s="13" t="n"/>
      <c r="B16" s="13" t="n"/>
      <c r="C16" s="13" t="n"/>
      <c r="D16" s="13" t="n"/>
      <c r="E16" s="40" t="n"/>
      <c r="F16" s="35" t="n"/>
      <c r="G16" s="35" t="n"/>
      <c r="H16" s="38" t="n"/>
      <c r="I16" s="13" t="n"/>
    </row>
    <row r="17">
      <c r="A17" s="13" t="n"/>
      <c r="B17" s="13" t="n"/>
      <c r="C17" s="13" t="n"/>
      <c r="D17" s="13" t="n"/>
      <c r="E17" s="40" t="n"/>
      <c r="F17" s="35" t="n"/>
      <c r="G17" s="35" t="n"/>
      <c r="H17" s="38" t="n"/>
      <c r="I17" s="13" t="n"/>
    </row>
    <row r="18">
      <c r="A18" s="13" t="n"/>
      <c r="B18" s="13" t="n"/>
      <c r="C18" s="13" t="n"/>
      <c r="D18" s="13" t="n"/>
      <c r="E18" s="40" t="n"/>
      <c r="F18" s="35" t="n"/>
      <c r="G18" s="35" t="n"/>
      <c r="H18" s="38" t="n"/>
      <c r="I18" s="13" t="n"/>
    </row>
    <row r="19">
      <c r="A19" s="13" t="n"/>
      <c r="B19" s="13" t="n"/>
      <c r="C19" s="13" t="n"/>
      <c r="D19" s="13" t="n"/>
      <c r="E19" s="40" t="n"/>
      <c r="F19" s="35" t="n"/>
      <c r="G19" s="35" t="n"/>
      <c r="H19" s="38" t="n"/>
      <c r="I19" s="13" t="n"/>
    </row>
    <row r="20">
      <c r="A20" s="13" t="n"/>
      <c r="B20" s="13" t="n"/>
      <c r="C20" s="13" t="n"/>
      <c r="D20" s="13" t="n"/>
      <c r="E20" s="40" t="n"/>
      <c r="F20" s="35" t="n"/>
      <c r="G20" s="35" t="n"/>
      <c r="H20" s="38" t="n"/>
      <c r="I20" s="13" t="n"/>
    </row>
    <row r="21">
      <c r="A21" s="13" t="n"/>
      <c r="B21" s="13" t="n"/>
      <c r="C21" s="13" t="n"/>
      <c r="D21" s="13" t="n"/>
      <c r="E21" s="40" t="n"/>
      <c r="F21" s="35" t="n"/>
      <c r="G21" s="35" t="n"/>
      <c r="H21" s="38" t="n"/>
      <c r="I21" s="13" t="n"/>
    </row>
    <row r="22">
      <c r="A22" s="13" t="n"/>
      <c r="B22" s="13" t="n"/>
      <c r="C22" s="13" t="n"/>
      <c r="D22" s="13" t="n"/>
      <c r="E22" s="40" t="n"/>
      <c r="F22" s="35" t="n"/>
      <c r="G22" s="35" t="n"/>
      <c r="H22" s="38" t="n"/>
      <c r="I22" s="13" t="n"/>
    </row>
    <row r="23">
      <c r="A23" s="13" t="n"/>
      <c r="B23" s="13" t="n"/>
      <c r="C23" s="13" t="n"/>
      <c r="D23" s="13" t="n"/>
      <c r="E23" s="40" t="n"/>
      <c r="F23" s="35" t="n"/>
      <c r="G23" s="35" t="n"/>
      <c r="H23" s="38" t="n"/>
      <c r="I23" s="13" t="n"/>
    </row>
    <row r="24">
      <c r="A24" s="13" t="n"/>
      <c r="B24" s="13" t="n"/>
      <c r="C24" s="13" t="n"/>
      <c r="D24" s="13" t="n"/>
      <c r="E24" s="40" t="n"/>
      <c r="F24" s="35" t="n"/>
      <c r="G24" s="35" t="n"/>
      <c r="H24" s="38" t="n"/>
      <c r="I24" s="13" t="n"/>
    </row>
    <row r="25">
      <c r="A25" s="13" t="n"/>
      <c r="B25" s="13" t="n"/>
      <c r="C25" s="13" t="n"/>
      <c r="D25" s="13" t="n"/>
      <c r="E25" s="40" t="n"/>
      <c r="F25" s="35" t="n"/>
      <c r="G25" s="35" t="n"/>
      <c r="H25" s="38" t="n"/>
      <c r="I25" s="13" t="n"/>
    </row>
    <row r="26">
      <c r="A26" s="13" t="n"/>
      <c r="B26" s="13" t="n"/>
      <c r="C26" s="13" t="n"/>
      <c r="D26" s="13" t="n"/>
      <c r="E26" s="40" t="n"/>
      <c r="F26" s="35" t="n"/>
      <c r="G26" s="35" t="n"/>
      <c r="H26" s="38" t="n"/>
      <c r="I26" s="13" t="n"/>
    </row>
    <row r="27">
      <c r="A27" s="13" t="n"/>
      <c r="B27" s="13" t="n"/>
      <c r="C27" s="13" t="n"/>
      <c r="D27" s="13" t="n"/>
      <c r="E27" s="40" t="n"/>
      <c r="F27" s="35" t="n"/>
      <c r="G27" s="35" t="n"/>
      <c r="H27" s="38" t="n"/>
      <c r="I27" s="13" t="n"/>
    </row>
    <row r="28">
      <c r="A28" s="13" t="n"/>
      <c r="B28" s="13" t="n"/>
      <c r="C28" s="13" t="n"/>
      <c r="D28" s="13" t="n"/>
      <c r="E28" s="40" t="n"/>
      <c r="F28" s="35" t="n"/>
      <c r="G28" s="35" t="n"/>
      <c r="H28" s="38" t="n"/>
      <c r="I28" s="13" t="n"/>
    </row>
    <row r="29">
      <c r="A29" s="13" t="n"/>
      <c r="B29" s="13" t="n"/>
      <c r="C29" s="13" t="n"/>
      <c r="D29" s="13" t="n"/>
      <c r="E29" s="40" t="n"/>
      <c r="F29" s="35" t="n"/>
      <c r="G29" s="35" t="n"/>
      <c r="H29" s="38" t="n"/>
      <c r="I29" s="13" t="n"/>
    </row>
    <row r="30">
      <c r="A30" s="13" t="n"/>
      <c r="B30" s="13" t="n"/>
      <c r="C30" s="13" t="n"/>
      <c r="D30" s="13" t="n"/>
      <c r="E30" s="40" t="n"/>
      <c r="F30" s="35" t="n"/>
      <c r="G30" s="35" t="n"/>
      <c r="H30" s="38" t="n"/>
      <c r="I30" s="13" t="n"/>
    </row>
    <row r="31">
      <c r="A31" s="13" t="n"/>
      <c r="B31" s="13" t="n"/>
      <c r="C31" s="13" t="n"/>
      <c r="D31" s="13" t="n"/>
      <c r="E31" s="40" t="n"/>
      <c r="F31" s="35" t="n"/>
      <c r="G31" s="35" t="n"/>
      <c r="H31" s="38" t="n"/>
      <c r="I31" s="13" t="n"/>
    </row>
    <row r="32">
      <c r="A32" s="13" t="n"/>
      <c r="B32" s="13" t="n"/>
      <c r="C32" s="13" t="n"/>
      <c r="D32" s="13" t="n"/>
      <c r="E32" s="40" t="n"/>
      <c r="F32" s="35" t="n"/>
      <c r="G32" s="35" t="n"/>
      <c r="H32" s="38" t="n"/>
      <c r="I32" s="13" t="n"/>
    </row>
    <row r="33">
      <c r="A33" s="13" t="n"/>
      <c r="B33" s="13" t="n"/>
      <c r="C33" s="13" t="n"/>
      <c r="D33" s="13" t="n"/>
      <c r="E33" s="40" t="n"/>
      <c r="F33" s="35" t="n"/>
      <c r="G33" s="35" t="n"/>
      <c r="H33" s="38" t="n"/>
      <c r="I33" s="13" t="n"/>
    </row>
    <row r="34">
      <c r="A34" s="13" t="n"/>
      <c r="B34" s="13" t="n"/>
      <c r="C34" s="13" t="n"/>
      <c r="D34" s="13" t="n"/>
      <c r="E34" s="40" t="n"/>
      <c r="F34" s="35" t="n"/>
      <c r="G34" s="35" t="n"/>
      <c r="H34" s="38" t="n"/>
      <c r="I34" s="13" t="n"/>
    </row>
    <row r="35">
      <c r="A35" s="13" t="n"/>
      <c r="B35" s="13" t="n"/>
      <c r="C35" s="13" t="n"/>
      <c r="D35" s="13" t="n"/>
      <c r="E35" s="40" t="n"/>
      <c r="F35" s="35" t="n"/>
      <c r="G35" s="35" t="n"/>
      <c r="H35" s="38" t="n"/>
      <c r="I35" s="13" t="n"/>
    </row>
    <row r="36">
      <c r="A36" s="13" t="n"/>
      <c r="B36" s="13" t="n"/>
      <c r="C36" s="13" t="n"/>
      <c r="D36" s="13" t="n"/>
      <c r="E36" s="40" t="n"/>
      <c r="F36" s="35" t="n"/>
      <c r="G36" s="35" t="n"/>
      <c r="H36" s="38" t="n"/>
      <c r="I36" s="13" t="n"/>
    </row>
    <row r="37">
      <c r="A37" s="13" t="n"/>
      <c r="B37" s="13" t="n"/>
      <c r="C37" s="13" t="n"/>
      <c r="D37" s="13" t="n"/>
      <c r="E37" s="40" t="n"/>
      <c r="F37" s="35" t="n"/>
      <c r="G37" s="35" t="n"/>
      <c r="H37" s="38" t="n"/>
      <c r="I37" s="13" t="n"/>
    </row>
    <row r="38">
      <c r="A38" s="13" t="n"/>
      <c r="B38" s="13" t="n"/>
      <c r="C38" s="13" t="n"/>
      <c r="D38" s="13" t="n"/>
      <c r="E38" s="40" t="n"/>
      <c r="F38" s="35" t="n"/>
      <c r="G38" s="35" t="n"/>
      <c r="H38" s="38" t="n"/>
      <c r="I38" s="13" t="n"/>
    </row>
    <row r="39">
      <c r="A39" s="13" t="n"/>
      <c r="B39" s="13" t="n"/>
      <c r="C39" s="13" t="n"/>
      <c r="D39" s="13" t="n"/>
      <c r="E39" s="40" t="n"/>
      <c r="F39" s="35" t="n"/>
      <c r="G39" s="35" t="n"/>
      <c r="H39" s="38" t="n"/>
      <c r="I39" s="13" t="n"/>
    </row>
    <row r="40">
      <c r="A40" s="13" t="n"/>
      <c r="B40" s="13" t="n"/>
      <c r="C40" s="13" t="n"/>
      <c r="D40" s="13" t="n"/>
      <c r="E40" s="40" t="n"/>
      <c r="F40" s="35" t="n"/>
      <c r="G40" s="35" t="n"/>
      <c r="H40" s="38" t="n"/>
      <c r="I40" s="13" t="n"/>
    </row>
    <row r="41">
      <c r="A41" s="13" t="n"/>
      <c r="B41" s="13" t="n"/>
      <c r="C41" s="13" t="n"/>
      <c r="D41" s="13" t="n"/>
      <c r="E41" s="40" t="n"/>
      <c r="F41" s="35" t="n"/>
      <c r="G41" s="35" t="n"/>
      <c r="H41" s="38" t="n"/>
      <c r="I41" s="13" t="n"/>
    </row>
    <row r="42">
      <c r="A42" s="13" t="n"/>
      <c r="B42" s="13" t="n"/>
      <c r="C42" s="13" t="n"/>
      <c r="D42" s="13" t="n"/>
      <c r="E42" s="40" t="n"/>
      <c r="F42" s="35" t="n"/>
      <c r="G42" s="35" t="n"/>
      <c r="H42" s="38" t="n"/>
      <c r="I42" s="13" t="n"/>
    </row>
    <row r="43">
      <c r="A43" s="13" t="n"/>
      <c r="B43" s="13" t="n"/>
      <c r="C43" s="13" t="n"/>
      <c r="D43" s="13" t="n"/>
      <c r="E43" s="40" t="n"/>
      <c r="F43" s="35" t="n"/>
      <c r="G43" s="35" t="n"/>
      <c r="H43" s="38" t="n"/>
      <c r="I43" s="13" t="n"/>
    </row>
    <row r="44">
      <c r="A44" s="13" t="n"/>
      <c r="B44" s="13" t="n"/>
      <c r="C44" s="13" t="n"/>
      <c r="D44" s="13" t="n"/>
      <c r="E44" s="40" t="n"/>
      <c r="F44" s="35" t="n"/>
      <c r="G44" s="35" t="n"/>
      <c r="H44" s="38" t="n"/>
      <c r="I44" s="13" t="n"/>
    </row>
    <row r="45">
      <c r="A45" s="13" t="n"/>
      <c r="B45" s="13" t="n"/>
      <c r="C45" s="13" t="n"/>
      <c r="D45" s="13" t="n"/>
      <c r="E45" s="40" t="n"/>
      <c r="F45" s="35" t="n"/>
      <c r="G45" s="35" t="n"/>
      <c r="H45" s="38" t="n"/>
      <c r="I45" s="13" t="n"/>
    </row>
    <row r="46">
      <c r="A46" s="13" t="n"/>
      <c r="B46" s="13" t="n"/>
      <c r="C46" s="13" t="n"/>
      <c r="D46" s="13" t="n"/>
      <c r="E46" s="40" t="n"/>
      <c r="F46" s="35" t="n"/>
      <c r="G46" s="35" t="n"/>
      <c r="H46" s="38" t="n"/>
      <c r="I46" s="13" t="n"/>
    </row>
    <row r="47">
      <c r="A47" s="13" t="n"/>
      <c r="B47" s="13" t="n"/>
      <c r="C47" s="13" t="n"/>
      <c r="D47" s="13" t="n"/>
      <c r="E47" s="40" t="n"/>
      <c r="F47" s="35" t="n"/>
      <c r="G47" s="35" t="n"/>
      <c r="H47" s="38" t="n"/>
      <c r="I47" s="13" t="n"/>
    </row>
    <row r="48">
      <c r="A48" s="13" t="n"/>
      <c r="B48" s="13" t="n"/>
      <c r="C48" s="13" t="n"/>
      <c r="D48" s="13" t="n"/>
      <c r="E48" s="40" t="n"/>
      <c r="F48" s="35" t="n"/>
      <c r="G48" s="35" t="n"/>
      <c r="H48" s="38" t="n"/>
      <c r="I48" s="13" t="n"/>
    </row>
    <row r="49">
      <c r="A49" s="13" t="n"/>
      <c r="B49" s="13" t="n"/>
      <c r="C49" s="13" t="n"/>
      <c r="D49" s="13" t="n"/>
      <c r="E49" s="40" t="n"/>
      <c r="F49" s="35" t="n"/>
      <c r="G49" s="35" t="n"/>
      <c r="H49" s="38" t="n"/>
      <c r="I49" s="13" t="n"/>
    </row>
    <row r="50">
      <c r="A50" s="13" t="n"/>
      <c r="B50" s="13" t="n"/>
      <c r="C50" s="13" t="n"/>
      <c r="D50" s="13" t="n"/>
      <c r="E50" s="40" t="n"/>
      <c r="F50" s="35" t="n"/>
      <c r="G50" s="35" t="n"/>
      <c r="H50" s="38" t="n"/>
      <c r="I50" s="13" t="n"/>
    </row>
    <row r="51">
      <c r="A51" s="13" t="n"/>
      <c r="B51" s="13" t="n"/>
      <c r="C51" s="13" t="n"/>
      <c r="D51" s="13" t="n"/>
      <c r="E51" s="40" t="n"/>
      <c r="F51" s="35" t="n"/>
      <c r="G51" s="35" t="n"/>
      <c r="H51" s="38" t="n"/>
      <c r="I51" s="13" t="n"/>
    </row>
    <row r="52">
      <c r="A52" s="13" t="n"/>
      <c r="B52" s="13" t="n"/>
      <c r="C52" s="13" t="n"/>
      <c r="D52" s="13" t="n"/>
      <c r="E52" s="40" t="n"/>
      <c r="F52" s="35" t="n"/>
      <c r="G52" s="35" t="n"/>
      <c r="H52" s="38" t="n"/>
      <c r="I52" s="13" t="n"/>
    </row>
    <row r="53">
      <c r="A53" s="13" t="n"/>
      <c r="B53" s="13" t="n"/>
      <c r="C53" s="13" t="n"/>
      <c r="D53" s="13" t="n"/>
      <c r="E53" s="40" t="n"/>
      <c r="F53" s="35" t="n"/>
      <c r="G53" s="35" t="n"/>
      <c r="H53" s="38" t="n"/>
      <c r="I53" s="13" t="n"/>
    </row>
    <row r="54">
      <c r="A54" s="13" t="n"/>
      <c r="B54" s="13" t="n"/>
      <c r="C54" s="13" t="n"/>
      <c r="D54" s="13" t="n"/>
      <c r="E54" s="40" t="n"/>
      <c r="F54" s="35" t="n"/>
      <c r="G54" s="35" t="n"/>
      <c r="H54" s="38" t="n"/>
      <c r="I54" s="13" t="n"/>
    </row>
    <row r="55">
      <c r="A55" s="13" t="n"/>
      <c r="B55" s="13" t="n"/>
      <c r="C55" s="13" t="n"/>
      <c r="D55" s="13" t="n"/>
      <c r="E55" s="40" t="n"/>
      <c r="F55" s="35" t="n"/>
      <c r="G55" s="35" t="n"/>
      <c r="H55" s="38" t="n"/>
      <c r="I55" s="13" t="n"/>
    </row>
    <row r="56">
      <c r="A56" s="13" t="n"/>
      <c r="B56" s="13" t="n"/>
      <c r="C56" s="13" t="n"/>
      <c r="D56" s="13" t="n"/>
      <c r="E56" s="40" t="n"/>
      <c r="F56" s="35" t="n"/>
      <c r="G56" s="35" t="n"/>
      <c r="H56" s="38" t="n"/>
      <c r="I56" s="13" t="n"/>
    </row>
    <row r="57">
      <c r="A57" s="13" t="n"/>
      <c r="B57" s="13" t="n"/>
      <c r="C57" s="13" t="n"/>
      <c r="D57" s="13" t="n"/>
      <c r="E57" s="40" t="n"/>
      <c r="F57" s="35" t="n"/>
      <c r="G57" s="35" t="n"/>
      <c r="H57" s="38" t="n"/>
      <c r="I57" s="13" t="n"/>
    </row>
    <row r="58">
      <c r="A58" s="13" t="n"/>
      <c r="B58" s="13" t="n"/>
      <c r="C58" s="13" t="n"/>
      <c r="D58" s="13" t="n"/>
      <c r="E58" s="40" t="n"/>
      <c r="F58" s="35" t="n"/>
      <c r="G58" s="35" t="n"/>
      <c r="H58" s="38" t="n"/>
      <c r="I58" s="13" t="n"/>
    </row>
    <row r="59">
      <c r="A59" s="13" t="n"/>
      <c r="B59" s="13" t="n"/>
      <c r="C59" s="13" t="n"/>
      <c r="D59" s="13" t="n"/>
      <c r="E59" s="40" t="n"/>
      <c r="F59" s="35" t="n"/>
      <c r="G59" s="35" t="n"/>
      <c r="H59" s="38" t="n"/>
      <c r="I59" s="13" t="n"/>
    </row>
    <row r="60">
      <c r="A60" s="13" t="n"/>
      <c r="B60" s="13" t="n"/>
      <c r="C60" s="13" t="n"/>
      <c r="D60" s="13" t="n"/>
      <c r="E60" s="40" t="n"/>
      <c r="F60" s="35" t="n"/>
      <c r="G60" s="35" t="n"/>
      <c r="H60" s="38" t="n"/>
      <c r="I60" s="13" t="n"/>
    </row>
    <row r="61">
      <c r="A61" s="13" t="n"/>
      <c r="B61" s="13" t="n"/>
      <c r="C61" s="13" t="n"/>
      <c r="D61" s="13" t="n"/>
      <c r="E61" s="40" t="n"/>
      <c r="F61" s="35" t="n"/>
      <c r="G61" s="35" t="n"/>
      <c r="H61" s="38" t="n"/>
      <c r="I61" s="13" t="n"/>
    </row>
    <row r="62">
      <c r="A62" s="13" t="n"/>
      <c r="B62" s="13" t="n"/>
      <c r="C62" s="13" t="n"/>
      <c r="D62" s="13" t="n"/>
      <c r="E62" s="40" t="n"/>
      <c r="F62" s="35" t="n"/>
      <c r="G62" s="35" t="n"/>
      <c r="H62" s="38" t="n"/>
      <c r="I62" s="13" t="n"/>
    </row>
    <row r="63">
      <c r="A63" s="13" t="n"/>
      <c r="B63" s="13" t="n"/>
      <c r="C63" s="13" t="n"/>
      <c r="D63" s="13" t="n"/>
      <c r="E63" s="40" t="n"/>
      <c r="F63" s="35" t="n"/>
      <c r="G63" s="35" t="n"/>
      <c r="H63" s="38" t="n"/>
      <c r="I63" s="13" t="n"/>
    </row>
    <row r="64">
      <c r="A64" s="13" t="n"/>
      <c r="B64" s="13" t="n"/>
      <c r="C64" s="13" t="n"/>
      <c r="D64" s="13" t="n"/>
      <c r="E64" s="40" t="n"/>
      <c r="F64" s="35" t="n"/>
      <c r="G64" s="35" t="n"/>
      <c r="H64" s="38" t="n"/>
      <c r="I64" s="13" t="n"/>
    </row>
  </sheetData>
  <autoFilter ref="A4:I64"/>
  <dataValidations count="1">
    <dataValidation sqref="I5:I64" showDropDown="0" showInputMessage="0" showErrorMessage="0" allowBlank="1" errorTitle="Valoare neacceptată" error="Valoare în afara listei permise. Alege din listă sau completează lista de valori." type="list">
      <formula1>='90_LISTE'!$N$2:$N$3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  <col width="11" customWidth="1" min="7" max="7"/>
    <col width="13" customWidth="1" min="8" max="8"/>
    <col width="13" customWidth="1" min="9" max="9"/>
    <col width="14" customWidth="1" min="10" max="10"/>
    <col width="12" customWidth="1" min="11" max="11"/>
    <col width="10" customWidth="1" min="12" max="12"/>
    <col width="22" customWidth="1" min="13" max="13"/>
    <col width="22" customWidth="1" min="14" max="14"/>
    <col width="9" customWidth="1" min="15" max="15"/>
    <col width="20" customWidth="1" min="16" max="16"/>
  </cols>
  <sheetData>
    <row r="1" ht="26" customHeight="1">
      <c r="A1" s="1" t="inlineStr">
        <is>
          <t>13 — VÂNZĂRI / TRANZACȚII (FAPTIC)</t>
        </is>
      </c>
    </row>
    <row r="2" ht="16" customHeight="1">
      <c r="A2" s="2" t="inlineStr">
        <is>
          <t>Galben = se completează. Gri = calculat automat, nu suprascrie.</t>
        </is>
      </c>
    </row>
    <row r="3"/>
    <row r="4" ht="34" customHeight="1">
      <c r="A4" s="15" t="inlineStr">
        <is>
          <t>Data document
Doc_Date</t>
        </is>
      </c>
      <c r="B4" s="15" t="inlineStr">
        <is>
          <t>Perioadă (AAAA-LL)
Period</t>
        </is>
      </c>
      <c r="C4" s="15" t="inlineStr">
        <is>
          <t>Tip document
Doc_Type</t>
        </is>
      </c>
      <c r="D4" s="15" t="inlineStr">
        <is>
          <t>ID client
Customer_ID</t>
        </is>
      </c>
      <c r="E4" s="15" t="inlineStr">
        <is>
          <t>ID produs
Product_ID</t>
        </is>
      </c>
      <c r="F4" s="15" t="inlineStr">
        <is>
          <t>ID persoană vânzări
Person_ID</t>
        </is>
      </c>
      <c r="G4" s="15" t="inlineStr">
        <is>
          <t>Cantitate
Units</t>
        </is>
      </c>
      <c r="H4" s="15" t="inlineStr">
        <is>
          <t>Venit net
Revenue_Net</t>
        </is>
      </c>
      <c r="I4" s="15" t="inlineStr">
        <is>
          <t>Valoare discount
Discount_Value</t>
        </is>
      </c>
      <c r="J4" s="15" t="inlineStr">
        <is>
          <t>Cost direct (COGS)
COGS</t>
        </is>
      </c>
      <c r="K4" s="15" t="inlineStr">
        <is>
          <t>Profit brut
Gross_Profit</t>
        </is>
      </c>
      <c r="L4" s="15" t="inlineStr">
        <is>
          <t>Marjă %
Margin_Pct</t>
        </is>
      </c>
      <c r="M4" s="15" t="inlineStr">
        <is>
          <t>Denumire client
Customer_Name</t>
        </is>
      </c>
      <c r="N4" s="15" t="inlineStr">
        <is>
          <t>Denumire produs
Product_Name</t>
        </is>
      </c>
      <c r="O4" s="15" t="inlineStr">
        <is>
          <t>Monedă
Currency</t>
        </is>
      </c>
      <c r="P4" s="15" t="inlineStr">
        <is>
          <t>Observații
Notes</t>
        </is>
      </c>
    </row>
    <row r="5">
      <c r="A5" s="35" t="n">
        <v>46053</v>
      </c>
      <c r="B5" s="39">
        <f>IF($A5="","",YEAR($A5)&amp;"-"&amp;RIGHT("0"&amp;MONTH($A5),2))</f>
        <v/>
      </c>
      <c r="C5" s="13" t="inlineStr">
        <is>
          <t>Factură</t>
        </is>
      </c>
      <c r="D5" s="13" t="inlineStr">
        <is>
          <t>C001</t>
        </is>
      </c>
      <c r="E5" s="13" t="inlineStr">
        <is>
          <t>P001</t>
        </is>
      </c>
      <c r="F5" s="13" t="inlineStr">
        <is>
          <t>S001</t>
        </is>
      </c>
      <c r="G5" s="40" t="n">
        <v>100</v>
      </c>
      <c r="H5" s="38" t="n">
        <v>10000</v>
      </c>
      <c r="I5" s="38" t="n">
        <v>0</v>
      </c>
      <c r="J5" s="38" t="n">
        <v>7500</v>
      </c>
      <c r="K5" s="24">
        <f>IF($H5="","",$H5-N($J5))</f>
        <v/>
      </c>
      <c r="L5" s="25">
        <f>IFERROR($K5/$H5,"")</f>
        <v/>
      </c>
      <c r="M5" s="39">
        <f>IFERROR(INDEX('10_CLIENTI'!$B$5:$B$204,MATCH($D5,'10_CLIENTI'!$A$5:$A$204,0)),"")</f>
        <v/>
      </c>
      <c r="N5" s="39">
        <f>IFERROR(INDEX('11_PRODUSE'!$B$5:$B$104,MATCH($E5,'11_PRODUSE'!$A$5:$A$104,0)),"")</f>
        <v/>
      </c>
      <c r="O5" s="13" t="inlineStr">
        <is>
          <t>RON</t>
        </is>
      </c>
      <c r="P5" s="13" t="inlineStr">
        <is>
          <t>Exemplu — șterge înainte de utilizare</t>
        </is>
      </c>
    </row>
    <row r="6">
      <c r="A6" s="35" t="n">
        <v>46053</v>
      </c>
      <c r="B6" s="39">
        <f>IF($A6="","",YEAR($A6)&amp;"-"&amp;RIGHT("0"&amp;MONTH($A6),2))</f>
        <v/>
      </c>
      <c r="C6" s="13" t="inlineStr">
        <is>
          <t>Factură</t>
        </is>
      </c>
      <c r="D6" s="13" t="inlineStr">
        <is>
          <t>C002</t>
        </is>
      </c>
      <c r="E6" s="13" t="inlineStr">
        <is>
          <t>P002</t>
        </is>
      </c>
      <c r="F6" s="13" t="inlineStr">
        <is>
          <t>S002</t>
        </is>
      </c>
      <c r="G6" s="40" t="n">
        <v>10</v>
      </c>
      <c r="H6" s="38" t="n">
        <v>12000</v>
      </c>
      <c r="I6" s="38" t="n">
        <v>500</v>
      </c>
      <c r="J6" s="38" t="n">
        <v>6000</v>
      </c>
      <c r="K6" s="24">
        <f>IF($H6="","",$H6-N($J6))</f>
        <v/>
      </c>
      <c r="L6" s="25">
        <f>IFERROR($K6/$H6,"")</f>
        <v/>
      </c>
      <c r="M6" s="39">
        <f>IFERROR(INDEX('10_CLIENTI'!$B$5:$B$204,MATCH($D6,'10_CLIENTI'!$A$5:$A$204,0)),"")</f>
        <v/>
      </c>
      <c r="N6" s="39">
        <f>IFERROR(INDEX('11_PRODUSE'!$B$5:$B$104,MATCH($E6,'11_PRODUSE'!$A$5:$A$104,0)),"")</f>
        <v/>
      </c>
      <c r="O6" s="13" t="inlineStr">
        <is>
          <t>RON</t>
        </is>
      </c>
      <c r="P6" s="13" t="inlineStr">
        <is>
          <t>Exemplu — șterge înainte de utilizare</t>
        </is>
      </c>
    </row>
    <row r="7">
      <c r="A7" s="35" t="n"/>
      <c r="B7" s="39">
        <f>IF($A7="","",YEAR($A7)&amp;"-"&amp;RIGHT("0"&amp;MONTH($A7),2))</f>
        <v/>
      </c>
      <c r="C7" s="13" t="n"/>
      <c r="D7" s="13" t="n"/>
      <c r="E7" s="13" t="n"/>
      <c r="F7" s="13" t="n"/>
      <c r="G7" s="40" t="n"/>
      <c r="H7" s="38" t="n"/>
      <c r="I7" s="38" t="n"/>
      <c r="J7" s="38" t="n"/>
      <c r="K7" s="24">
        <f>IF($H7="","",$H7-N($J7))</f>
        <v/>
      </c>
      <c r="L7" s="25">
        <f>IFERROR($K7/$H7,"")</f>
        <v/>
      </c>
      <c r="M7" s="39">
        <f>IFERROR(INDEX('10_CLIENTI'!$B$5:$B$204,MATCH($D7,'10_CLIENTI'!$A$5:$A$204,0)),"")</f>
        <v/>
      </c>
      <c r="N7" s="39">
        <f>IFERROR(INDEX('11_PRODUSE'!$B$5:$B$104,MATCH($E7,'11_PRODUSE'!$A$5:$A$104,0)),"")</f>
        <v/>
      </c>
      <c r="O7" s="13" t="n"/>
      <c r="P7" s="13" t="n"/>
    </row>
    <row r="8">
      <c r="A8" s="35" t="n"/>
      <c r="B8" s="39">
        <f>IF($A8="","",YEAR($A8)&amp;"-"&amp;RIGHT("0"&amp;MONTH($A8),2))</f>
        <v/>
      </c>
      <c r="C8" s="13" t="n"/>
      <c r="D8" s="13" t="n"/>
      <c r="E8" s="13" t="n"/>
      <c r="F8" s="13" t="n"/>
      <c r="G8" s="40" t="n"/>
      <c r="H8" s="38" t="n"/>
      <c r="I8" s="38" t="n"/>
      <c r="J8" s="38" t="n"/>
      <c r="K8" s="24">
        <f>IF($H8="","",$H8-N($J8))</f>
        <v/>
      </c>
      <c r="L8" s="25">
        <f>IFERROR($K8/$H8,"")</f>
        <v/>
      </c>
      <c r="M8" s="39">
        <f>IFERROR(INDEX('10_CLIENTI'!$B$5:$B$204,MATCH($D8,'10_CLIENTI'!$A$5:$A$204,0)),"")</f>
        <v/>
      </c>
      <c r="N8" s="39">
        <f>IFERROR(INDEX('11_PRODUSE'!$B$5:$B$104,MATCH($E8,'11_PRODUSE'!$A$5:$A$104,0)),"")</f>
        <v/>
      </c>
      <c r="O8" s="13" t="n"/>
      <c r="P8" s="13" t="n"/>
    </row>
    <row r="9">
      <c r="A9" s="35" t="n"/>
      <c r="B9" s="39">
        <f>IF($A9="","",YEAR($A9)&amp;"-"&amp;RIGHT("0"&amp;MONTH($A9),2))</f>
        <v/>
      </c>
      <c r="C9" s="13" t="n"/>
      <c r="D9" s="13" t="n"/>
      <c r="E9" s="13" t="n"/>
      <c r="F9" s="13" t="n"/>
      <c r="G9" s="40" t="n"/>
      <c r="H9" s="38" t="n"/>
      <c r="I9" s="38" t="n"/>
      <c r="J9" s="38" t="n"/>
      <c r="K9" s="24">
        <f>IF($H9="","",$H9-N($J9))</f>
        <v/>
      </c>
      <c r="L9" s="25">
        <f>IFERROR($K9/$H9,"")</f>
        <v/>
      </c>
      <c r="M9" s="39">
        <f>IFERROR(INDEX('10_CLIENTI'!$B$5:$B$204,MATCH($D9,'10_CLIENTI'!$A$5:$A$204,0)),"")</f>
        <v/>
      </c>
      <c r="N9" s="39">
        <f>IFERROR(INDEX('11_PRODUSE'!$B$5:$B$104,MATCH($E9,'11_PRODUSE'!$A$5:$A$104,0)),"")</f>
        <v/>
      </c>
      <c r="O9" s="13" t="n"/>
      <c r="P9" s="13" t="n"/>
    </row>
    <row r="10">
      <c r="A10" s="35" t="n"/>
      <c r="B10" s="39">
        <f>IF($A10="","",YEAR($A10)&amp;"-"&amp;RIGHT("0"&amp;MONTH($A10),2))</f>
        <v/>
      </c>
      <c r="C10" s="13" t="n"/>
      <c r="D10" s="13" t="n"/>
      <c r="E10" s="13" t="n"/>
      <c r="F10" s="13" t="n"/>
      <c r="G10" s="40" t="n"/>
      <c r="H10" s="38" t="n"/>
      <c r="I10" s="38" t="n"/>
      <c r="J10" s="38" t="n"/>
      <c r="K10" s="24">
        <f>IF($H10="","",$H10-N($J10))</f>
        <v/>
      </c>
      <c r="L10" s="25">
        <f>IFERROR($K10/$H10,"")</f>
        <v/>
      </c>
      <c r="M10" s="39">
        <f>IFERROR(INDEX('10_CLIENTI'!$B$5:$B$204,MATCH($D10,'10_CLIENTI'!$A$5:$A$204,0)),"")</f>
        <v/>
      </c>
      <c r="N10" s="39">
        <f>IFERROR(INDEX('11_PRODUSE'!$B$5:$B$104,MATCH($E10,'11_PRODUSE'!$A$5:$A$104,0)),"")</f>
        <v/>
      </c>
      <c r="O10" s="13" t="n"/>
      <c r="P10" s="13" t="n"/>
    </row>
    <row r="11">
      <c r="A11" s="35" t="n"/>
      <c r="B11" s="39">
        <f>IF($A11="","",YEAR($A11)&amp;"-"&amp;RIGHT("0"&amp;MONTH($A11),2))</f>
        <v/>
      </c>
      <c r="C11" s="13" t="n"/>
      <c r="D11" s="13" t="n"/>
      <c r="E11" s="13" t="n"/>
      <c r="F11" s="13" t="n"/>
      <c r="G11" s="40" t="n"/>
      <c r="H11" s="38" t="n"/>
      <c r="I11" s="38" t="n"/>
      <c r="J11" s="38" t="n"/>
      <c r="K11" s="24">
        <f>IF($H11="","",$H11-N($J11))</f>
        <v/>
      </c>
      <c r="L11" s="25">
        <f>IFERROR($K11/$H11,"")</f>
        <v/>
      </c>
      <c r="M11" s="39">
        <f>IFERROR(INDEX('10_CLIENTI'!$B$5:$B$204,MATCH($D11,'10_CLIENTI'!$A$5:$A$204,0)),"")</f>
        <v/>
      </c>
      <c r="N11" s="39">
        <f>IFERROR(INDEX('11_PRODUSE'!$B$5:$B$104,MATCH($E11,'11_PRODUSE'!$A$5:$A$104,0)),"")</f>
        <v/>
      </c>
      <c r="O11" s="13" t="n"/>
      <c r="P11" s="13" t="n"/>
    </row>
    <row r="12">
      <c r="A12" s="35" t="n"/>
      <c r="B12" s="39">
        <f>IF($A12="","",YEAR($A12)&amp;"-"&amp;RIGHT("0"&amp;MONTH($A12),2))</f>
        <v/>
      </c>
      <c r="C12" s="13" t="n"/>
      <c r="D12" s="13" t="n"/>
      <c r="E12" s="13" t="n"/>
      <c r="F12" s="13" t="n"/>
      <c r="G12" s="40" t="n"/>
      <c r="H12" s="38" t="n"/>
      <c r="I12" s="38" t="n"/>
      <c r="J12" s="38" t="n"/>
      <c r="K12" s="24">
        <f>IF($H12="","",$H12-N($J12))</f>
        <v/>
      </c>
      <c r="L12" s="25">
        <f>IFERROR($K12/$H12,"")</f>
        <v/>
      </c>
      <c r="M12" s="39">
        <f>IFERROR(INDEX('10_CLIENTI'!$B$5:$B$204,MATCH($D12,'10_CLIENTI'!$A$5:$A$204,0)),"")</f>
        <v/>
      </c>
      <c r="N12" s="39">
        <f>IFERROR(INDEX('11_PRODUSE'!$B$5:$B$104,MATCH($E12,'11_PRODUSE'!$A$5:$A$104,0)),"")</f>
        <v/>
      </c>
      <c r="O12" s="13" t="n"/>
      <c r="P12" s="13" t="n"/>
    </row>
    <row r="13">
      <c r="A13" s="35" t="n"/>
      <c r="B13" s="39">
        <f>IF($A13="","",YEAR($A13)&amp;"-"&amp;RIGHT("0"&amp;MONTH($A13),2))</f>
        <v/>
      </c>
      <c r="C13" s="13" t="n"/>
      <c r="D13" s="13" t="n"/>
      <c r="E13" s="13" t="n"/>
      <c r="F13" s="13" t="n"/>
      <c r="G13" s="40" t="n"/>
      <c r="H13" s="38" t="n"/>
      <c r="I13" s="38" t="n"/>
      <c r="J13" s="38" t="n"/>
      <c r="K13" s="24">
        <f>IF($H13="","",$H13-N($J13))</f>
        <v/>
      </c>
      <c r="L13" s="25">
        <f>IFERROR($K13/$H13,"")</f>
        <v/>
      </c>
      <c r="M13" s="39">
        <f>IFERROR(INDEX('10_CLIENTI'!$B$5:$B$204,MATCH($D13,'10_CLIENTI'!$A$5:$A$204,0)),"")</f>
        <v/>
      </c>
      <c r="N13" s="39">
        <f>IFERROR(INDEX('11_PRODUSE'!$B$5:$B$104,MATCH($E13,'11_PRODUSE'!$A$5:$A$104,0)),"")</f>
        <v/>
      </c>
      <c r="O13" s="13" t="n"/>
      <c r="P13" s="13" t="n"/>
    </row>
    <row r="14">
      <c r="A14" s="35" t="n"/>
      <c r="B14" s="39">
        <f>IF($A14="","",YEAR($A14)&amp;"-"&amp;RIGHT("0"&amp;MONTH($A14),2))</f>
        <v/>
      </c>
      <c r="C14" s="13" t="n"/>
      <c r="D14" s="13" t="n"/>
      <c r="E14" s="13" t="n"/>
      <c r="F14" s="13" t="n"/>
      <c r="G14" s="40" t="n"/>
      <c r="H14" s="38" t="n"/>
      <c r="I14" s="38" t="n"/>
      <c r="J14" s="38" t="n"/>
      <c r="K14" s="24">
        <f>IF($H14="","",$H14-N($J14))</f>
        <v/>
      </c>
      <c r="L14" s="25">
        <f>IFERROR($K14/$H14,"")</f>
        <v/>
      </c>
      <c r="M14" s="39">
        <f>IFERROR(INDEX('10_CLIENTI'!$B$5:$B$204,MATCH($D14,'10_CLIENTI'!$A$5:$A$204,0)),"")</f>
        <v/>
      </c>
      <c r="N14" s="39">
        <f>IFERROR(INDEX('11_PRODUSE'!$B$5:$B$104,MATCH($E14,'11_PRODUSE'!$A$5:$A$104,0)),"")</f>
        <v/>
      </c>
      <c r="O14" s="13" t="n"/>
      <c r="P14" s="13" t="n"/>
    </row>
    <row r="15">
      <c r="A15" s="35" t="n"/>
      <c r="B15" s="39">
        <f>IF($A15="","",YEAR($A15)&amp;"-"&amp;RIGHT("0"&amp;MONTH($A15),2))</f>
        <v/>
      </c>
      <c r="C15" s="13" t="n"/>
      <c r="D15" s="13" t="n"/>
      <c r="E15" s="13" t="n"/>
      <c r="F15" s="13" t="n"/>
      <c r="G15" s="40" t="n"/>
      <c r="H15" s="38" t="n"/>
      <c r="I15" s="38" t="n"/>
      <c r="J15" s="38" t="n"/>
      <c r="K15" s="24">
        <f>IF($H15="","",$H15-N($J15))</f>
        <v/>
      </c>
      <c r="L15" s="25">
        <f>IFERROR($K15/$H15,"")</f>
        <v/>
      </c>
      <c r="M15" s="39">
        <f>IFERROR(INDEX('10_CLIENTI'!$B$5:$B$204,MATCH($D15,'10_CLIENTI'!$A$5:$A$204,0)),"")</f>
        <v/>
      </c>
      <c r="N15" s="39">
        <f>IFERROR(INDEX('11_PRODUSE'!$B$5:$B$104,MATCH($E15,'11_PRODUSE'!$A$5:$A$104,0)),"")</f>
        <v/>
      </c>
      <c r="O15" s="13" t="n"/>
      <c r="P15" s="13" t="n"/>
    </row>
    <row r="16">
      <c r="A16" s="35" t="n"/>
      <c r="B16" s="39">
        <f>IF($A16="","",YEAR($A16)&amp;"-"&amp;RIGHT("0"&amp;MONTH($A16),2))</f>
        <v/>
      </c>
      <c r="C16" s="13" t="n"/>
      <c r="D16" s="13" t="n"/>
      <c r="E16" s="13" t="n"/>
      <c r="F16" s="13" t="n"/>
      <c r="G16" s="40" t="n"/>
      <c r="H16" s="38" t="n"/>
      <c r="I16" s="38" t="n"/>
      <c r="J16" s="38" t="n"/>
      <c r="K16" s="24">
        <f>IF($H16="","",$H16-N($J16))</f>
        <v/>
      </c>
      <c r="L16" s="25">
        <f>IFERROR($K16/$H16,"")</f>
        <v/>
      </c>
      <c r="M16" s="39">
        <f>IFERROR(INDEX('10_CLIENTI'!$B$5:$B$204,MATCH($D16,'10_CLIENTI'!$A$5:$A$204,0)),"")</f>
        <v/>
      </c>
      <c r="N16" s="39">
        <f>IFERROR(INDEX('11_PRODUSE'!$B$5:$B$104,MATCH($E16,'11_PRODUSE'!$A$5:$A$104,0)),"")</f>
        <v/>
      </c>
      <c r="O16" s="13" t="n"/>
      <c r="P16" s="13" t="n"/>
    </row>
    <row r="17">
      <c r="A17" s="35" t="n"/>
      <c r="B17" s="39">
        <f>IF($A17="","",YEAR($A17)&amp;"-"&amp;RIGHT("0"&amp;MONTH($A17),2))</f>
        <v/>
      </c>
      <c r="C17" s="13" t="n"/>
      <c r="D17" s="13" t="n"/>
      <c r="E17" s="13" t="n"/>
      <c r="F17" s="13" t="n"/>
      <c r="G17" s="40" t="n"/>
      <c r="H17" s="38" t="n"/>
      <c r="I17" s="38" t="n"/>
      <c r="J17" s="38" t="n"/>
      <c r="K17" s="24">
        <f>IF($H17="","",$H17-N($J17))</f>
        <v/>
      </c>
      <c r="L17" s="25">
        <f>IFERROR($K17/$H17,"")</f>
        <v/>
      </c>
      <c r="M17" s="39">
        <f>IFERROR(INDEX('10_CLIENTI'!$B$5:$B$204,MATCH($D17,'10_CLIENTI'!$A$5:$A$204,0)),"")</f>
        <v/>
      </c>
      <c r="N17" s="39">
        <f>IFERROR(INDEX('11_PRODUSE'!$B$5:$B$104,MATCH($E17,'11_PRODUSE'!$A$5:$A$104,0)),"")</f>
        <v/>
      </c>
      <c r="O17" s="13" t="n"/>
      <c r="P17" s="13" t="n"/>
    </row>
    <row r="18">
      <c r="A18" s="35" t="n"/>
      <c r="B18" s="39">
        <f>IF($A18="","",YEAR($A18)&amp;"-"&amp;RIGHT("0"&amp;MONTH($A18),2))</f>
        <v/>
      </c>
      <c r="C18" s="13" t="n"/>
      <c r="D18" s="13" t="n"/>
      <c r="E18" s="13" t="n"/>
      <c r="F18" s="13" t="n"/>
      <c r="G18" s="40" t="n"/>
      <c r="H18" s="38" t="n"/>
      <c r="I18" s="38" t="n"/>
      <c r="J18" s="38" t="n"/>
      <c r="K18" s="24">
        <f>IF($H18="","",$H18-N($J18))</f>
        <v/>
      </c>
      <c r="L18" s="25">
        <f>IFERROR($K18/$H18,"")</f>
        <v/>
      </c>
      <c r="M18" s="39">
        <f>IFERROR(INDEX('10_CLIENTI'!$B$5:$B$204,MATCH($D18,'10_CLIENTI'!$A$5:$A$204,0)),"")</f>
        <v/>
      </c>
      <c r="N18" s="39">
        <f>IFERROR(INDEX('11_PRODUSE'!$B$5:$B$104,MATCH($E18,'11_PRODUSE'!$A$5:$A$104,0)),"")</f>
        <v/>
      </c>
      <c r="O18" s="13" t="n"/>
      <c r="P18" s="13" t="n"/>
    </row>
    <row r="19">
      <c r="A19" s="35" t="n"/>
      <c r="B19" s="39">
        <f>IF($A19="","",YEAR($A19)&amp;"-"&amp;RIGHT("0"&amp;MONTH($A19),2))</f>
        <v/>
      </c>
      <c r="C19" s="13" t="n"/>
      <c r="D19" s="13" t="n"/>
      <c r="E19" s="13" t="n"/>
      <c r="F19" s="13" t="n"/>
      <c r="G19" s="40" t="n"/>
      <c r="H19" s="38" t="n"/>
      <c r="I19" s="38" t="n"/>
      <c r="J19" s="38" t="n"/>
      <c r="K19" s="24">
        <f>IF($H19="","",$H19-N($J19))</f>
        <v/>
      </c>
      <c r="L19" s="25">
        <f>IFERROR($K19/$H19,"")</f>
        <v/>
      </c>
      <c r="M19" s="39">
        <f>IFERROR(INDEX('10_CLIENTI'!$B$5:$B$204,MATCH($D19,'10_CLIENTI'!$A$5:$A$204,0)),"")</f>
        <v/>
      </c>
      <c r="N19" s="39">
        <f>IFERROR(INDEX('11_PRODUSE'!$B$5:$B$104,MATCH($E19,'11_PRODUSE'!$A$5:$A$104,0)),"")</f>
        <v/>
      </c>
      <c r="O19" s="13" t="n"/>
      <c r="P19" s="13" t="n"/>
    </row>
    <row r="20">
      <c r="A20" s="35" t="n"/>
      <c r="B20" s="39">
        <f>IF($A20="","",YEAR($A20)&amp;"-"&amp;RIGHT("0"&amp;MONTH($A20),2))</f>
        <v/>
      </c>
      <c r="C20" s="13" t="n"/>
      <c r="D20" s="13" t="n"/>
      <c r="E20" s="13" t="n"/>
      <c r="F20" s="13" t="n"/>
      <c r="G20" s="40" t="n"/>
      <c r="H20" s="38" t="n"/>
      <c r="I20" s="38" t="n"/>
      <c r="J20" s="38" t="n"/>
      <c r="K20" s="24">
        <f>IF($H20="","",$H20-N($J20))</f>
        <v/>
      </c>
      <c r="L20" s="25">
        <f>IFERROR($K20/$H20,"")</f>
        <v/>
      </c>
      <c r="M20" s="39">
        <f>IFERROR(INDEX('10_CLIENTI'!$B$5:$B$204,MATCH($D20,'10_CLIENTI'!$A$5:$A$204,0)),"")</f>
        <v/>
      </c>
      <c r="N20" s="39">
        <f>IFERROR(INDEX('11_PRODUSE'!$B$5:$B$104,MATCH($E20,'11_PRODUSE'!$A$5:$A$104,0)),"")</f>
        <v/>
      </c>
      <c r="O20" s="13" t="n"/>
      <c r="P20" s="13" t="n"/>
    </row>
    <row r="21">
      <c r="A21" s="35" t="n"/>
      <c r="B21" s="39">
        <f>IF($A21="","",YEAR($A21)&amp;"-"&amp;RIGHT("0"&amp;MONTH($A21),2))</f>
        <v/>
      </c>
      <c r="C21" s="13" t="n"/>
      <c r="D21" s="13" t="n"/>
      <c r="E21" s="13" t="n"/>
      <c r="F21" s="13" t="n"/>
      <c r="G21" s="40" t="n"/>
      <c r="H21" s="38" t="n"/>
      <c r="I21" s="38" t="n"/>
      <c r="J21" s="38" t="n"/>
      <c r="K21" s="24">
        <f>IF($H21="","",$H21-N($J21))</f>
        <v/>
      </c>
      <c r="L21" s="25">
        <f>IFERROR($K21/$H21,"")</f>
        <v/>
      </c>
      <c r="M21" s="39">
        <f>IFERROR(INDEX('10_CLIENTI'!$B$5:$B$204,MATCH($D21,'10_CLIENTI'!$A$5:$A$204,0)),"")</f>
        <v/>
      </c>
      <c r="N21" s="39">
        <f>IFERROR(INDEX('11_PRODUSE'!$B$5:$B$104,MATCH($E21,'11_PRODUSE'!$A$5:$A$104,0)),"")</f>
        <v/>
      </c>
      <c r="O21" s="13" t="n"/>
      <c r="P21" s="13" t="n"/>
    </row>
    <row r="22">
      <c r="A22" s="35" t="n"/>
      <c r="B22" s="39">
        <f>IF($A22="","",YEAR($A22)&amp;"-"&amp;RIGHT("0"&amp;MONTH($A22),2))</f>
        <v/>
      </c>
      <c r="C22" s="13" t="n"/>
      <c r="D22" s="13" t="n"/>
      <c r="E22" s="13" t="n"/>
      <c r="F22" s="13" t="n"/>
      <c r="G22" s="40" t="n"/>
      <c r="H22" s="38" t="n"/>
      <c r="I22" s="38" t="n"/>
      <c r="J22" s="38" t="n"/>
      <c r="K22" s="24">
        <f>IF($H22="","",$H22-N($J22))</f>
        <v/>
      </c>
      <c r="L22" s="25">
        <f>IFERROR($K22/$H22,"")</f>
        <v/>
      </c>
      <c r="M22" s="39">
        <f>IFERROR(INDEX('10_CLIENTI'!$B$5:$B$204,MATCH($D22,'10_CLIENTI'!$A$5:$A$204,0)),"")</f>
        <v/>
      </c>
      <c r="N22" s="39">
        <f>IFERROR(INDEX('11_PRODUSE'!$B$5:$B$104,MATCH($E22,'11_PRODUSE'!$A$5:$A$104,0)),"")</f>
        <v/>
      </c>
      <c r="O22" s="13" t="n"/>
      <c r="P22" s="13" t="n"/>
    </row>
    <row r="23">
      <c r="A23" s="35" t="n"/>
      <c r="B23" s="39">
        <f>IF($A23="","",YEAR($A23)&amp;"-"&amp;RIGHT("0"&amp;MONTH($A23),2))</f>
        <v/>
      </c>
      <c r="C23" s="13" t="n"/>
      <c r="D23" s="13" t="n"/>
      <c r="E23" s="13" t="n"/>
      <c r="F23" s="13" t="n"/>
      <c r="G23" s="40" t="n"/>
      <c r="H23" s="38" t="n"/>
      <c r="I23" s="38" t="n"/>
      <c r="J23" s="38" t="n"/>
      <c r="K23" s="24">
        <f>IF($H23="","",$H23-N($J23))</f>
        <v/>
      </c>
      <c r="L23" s="25">
        <f>IFERROR($K23/$H23,"")</f>
        <v/>
      </c>
      <c r="M23" s="39">
        <f>IFERROR(INDEX('10_CLIENTI'!$B$5:$B$204,MATCH($D23,'10_CLIENTI'!$A$5:$A$204,0)),"")</f>
        <v/>
      </c>
      <c r="N23" s="39">
        <f>IFERROR(INDEX('11_PRODUSE'!$B$5:$B$104,MATCH($E23,'11_PRODUSE'!$A$5:$A$104,0)),"")</f>
        <v/>
      </c>
      <c r="O23" s="13" t="n"/>
      <c r="P23" s="13" t="n"/>
    </row>
    <row r="24">
      <c r="A24" s="35" t="n"/>
      <c r="B24" s="39">
        <f>IF($A24="","",YEAR($A24)&amp;"-"&amp;RIGHT("0"&amp;MONTH($A24),2))</f>
        <v/>
      </c>
      <c r="C24" s="13" t="n"/>
      <c r="D24" s="13" t="n"/>
      <c r="E24" s="13" t="n"/>
      <c r="F24" s="13" t="n"/>
      <c r="G24" s="40" t="n"/>
      <c r="H24" s="38" t="n"/>
      <c r="I24" s="38" t="n"/>
      <c r="J24" s="38" t="n"/>
      <c r="K24" s="24">
        <f>IF($H24="","",$H24-N($J24))</f>
        <v/>
      </c>
      <c r="L24" s="25">
        <f>IFERROR($K24/$H24,"")</f>
        <v/>
      </c>
      <c r="M24" s="39">
        <f>IFERROR(INDEX('10_CLIENTI'!$B$5:$B$204,MATCH($D24,'10_CLIENTI'!$A$5:$A$204,0)),"")</f>
        <v/>
      </c>
      <c r="N24" s="39">
        <f>IFERROR(INDEX('11_PRODUSE'!$B$5:$B$104,MATCH($E24,'11_PRODUSE'!$A$5:$A$104,0)),"")</f>
        <v/>
      </c>
      <c r="O24" s="13" t="n"/>
      <c r="P24" s="13" t="n"/>
    </row>
    <row r="25">
      <c r="A25" s="35" t="n"/>
      <c r="B25" s="39">
        <f>IF($A25="","",YEAR($A25)&amp;"-"&amp;RIGHT("0"&amp;MONTH($A25),2))</f>
        <v/>
      </c>
      <c r="C25" s="13" t="n"/>
      <c r="D25" s="13" t="n"/>
      <c r="E25" s="13" t="n"/>
      <c r="F25" s="13" t="n"/>
      <c r="G25" s="40" t="n"/>
      <c r="H25" s="38" t="n"/>
      <c r="I25" s="38" t="n"/>
      <c r="J25" s="38" t="n"/>
      <c r="K25" s="24">
        <f>IF($H25="","",$H25-N($J25))</f>
        <v/>
      </c>
      <c r="L25" s="25">
        <f>IFERROR($K25/$H25,"")</f>
        <v/>
      </c>
      <c r="M25" s="39">
        <f>IFERROR(INDEX('10_CLIENTI'!$B$5:$B$204,MATCH($D25,'10_CLIENTI'!$A$5:$A$204,0)),"")</f>
        <v/>
      </c>
      <c r="N25" s="39">
        <f>IFERROR(INDEX('11_PRODUSE'!$B$5:$B$104,MATCH($E25,'11_PRODUSE'!$A$5:$A$104,0)),"")</f>
        <v/>
      </c>
      <c r="O25" s="13" t="n"/>
      <c r="P25" s="13" t="n"/>
    </row>
    <row r="26">
      <c r="A26" s="35" t="n"/>
      <c r="B26" s="39">
        <f>IF($A26="","",YEAR($A26)&amp;"-"&amp;RIGHT("0"&amp;MONTH($A26),2))</f>
        <v/>
      </c>
      <c r="C26" s="13" t="n"/>
      <c r="D26" s="13" t="n"/>
      <c r="E26" s="13" t="n"/>
      <c r="F26" s="13" t="n"/>
      <c r="G26" s="40" t="n"/>
      <c r="H26" s="38" t="n"/>
      <c r="I26" s="38" t="n"/>
      <c r="J26" s="38" t="n"/>
      <c r="K26" s="24">
        <f>IF($H26="","",$H26-N($J26))</f>
        <v/>
      </c>
      <c r="L26" s="25">
        <f>IFERROR($K26/$H26,"")</f>
        <v/>
      </c>
      <c r="M26" s="39">
        <f>IFERROR(INDEX('10_CLIENTI'!$B$5:$B$204,MATCH($D26,'10_CLIENTI'!$A$5:$A$204,0)),"")</f>
        <v/>
      </c>
      <c r="N26" s="39">
        <f>IFERROR(INDEX('11_PRODUSE'!$B$5:$B$104,MATCH($E26,'11_PRODUSE'!$A$5:$A$104,0)),"")</f>
        <v/>
      </c>
      <c r="O26" s="13" t="n"/>
      <c r="P26" s="13" t="n"/>
    </row>
    <row r="27">
      <c r="A27" s="35" t="n"/>
      <c r="B27" s="39">
        <f>IF($A27="","",YEAR($A27)&amp;"-"&amp;RIGHT("0"&amp;MONTH($A27),2))</f>
        <v/>
      </c>
      <c r="C27" s="13" t="n"/>
      <c r="D27" s="13" t="n"/>
      <c r="E27" s="13" t="n"/>
      <c r="F27" s="13" t="n"/>
      <c r="G27" s="40" t="n"/>
      <c r="H27" s="38" t="n"/>
      <c r="I27" s="38" t="n"/>
      <c r="J27" s="38" t="n"/>
      <c r="K27" s="24">
        <f>IF($H27="","",$H27-N($J27))</f>
        <v/>
      </c>
      <c r="L27" s="25">
        <f>IFERROR($K27/$H27,"")</f>
        <v/>
      </c>
      <c r="M27" s="39">
        <f>IFERROR(INDEX('10_CLIENTI'!$B$5:$B$204,MATCH($D27,'10_CLIENTI'!$A$5:$A$204,0)),"")</f>
        <v/>
      </c>
      <c r="N27" s="39">
        <f>IFERROR(INDEX('11_PRODUSE'!$B$5:$B$104,MATCH($E27,'11_PRODUSE'!$A$5:$A$104,0)),"")</f>
        <v/>
      </c>
      <c r="O27" s="13" t="n"/>
      <c r="P27" s="13" t="n"/>
    </row>
    <row r="28">
      <c r="A28" s="35" t="n"/>
      <c r="B28" s="39">
        <f>IF($A28="","",YEAR($A28)&amp;"-"&amp;RIGHT("0"&amp;MONTH($A28),2))</f>
        <v/>
      </c>
      <c r="C28" s="13" t="n"/>
      <c r="D28" s="13" t="n"/>
      <c r="E28" s="13" t="n"/>
      <c r="F28" s="13" t="n"/>
      <c r="G28" s="40" t="n"/>
      <c r="H28" s="38" t="n"/>
      <c r="I28" s="38" t="n"/>
      <c r="J28" s="38" t="n"/>
      <c r="K28" s="24">
        <f>IF($H28="","",$H28-N($J28))</f>
        <v/>
      </c>
      <c r="L28" s="25">
        <f>IFERROR($K28/$H28,"")</f>
        <v/>
      </c>
      <c r="M28" s="39">
        <f>IFERROR(INDEX('10_CLIENTI'!$B$5:$B$204,MATCH($D28,'10_CLIENTI'!$A$5:$A$204,0)),"")</f>
        <v/>
      </c>
      <c r="N28" s="39">
        <f>IFERROR(INDEX('11_PRODUSE'!$B$5:$B$104,MATCH($E28,'11_PRODUSE'!$A$5:$A$104,0)),"")</f>
        <v/>
      </c>
      <c r="O28" s="13" t="n"/>
      <c r="P28" s="13" t="n"/>
    </row>
    <row r="29">
      <c r="A29" s="35" t="n"/>
      <c r="B29" s="39">
        <f>IF($A29="","",YEAR($A29)&amp;"-"&amp;RIGHT("0"&amp;MONTH($A29),2))</f>
        <v/>
      </c>
      <c r="C29" s="13" t="n"/>
      <c r="D29" s="13" t="n"/>
      <c r="E29" s="13" t="n"/>
      <c r="F29" s="13" t="n"/>
      <c r="G29" s="40" t="n"/>
      <c r="H29" s="38" t="n"/>
      <c r="I29" s="38" t="n"/>
      <c r="J29" s="38" t="n"/>
      <c r="K29" s="24">
        <f>IF($H29="","",$H29-N($J29))</f>
        <v/>
      </c>
      <c r="L29" s="25">
        <f>IFERROR($K29/$H29,"")</f>
        <v/>
      </c>
      <c r="M29" s="39">
        <f>IFERROR(INDEX('10_CLIENTI'!$B$5:$B$204,MATCH($D29,'10_CLIENTI'!$A$5:$A$204,0)),"")</f>
        <v/>
      </c>
      <c r="N29" s="39">
        <f>IFERROR(INDEX('11_PRODUSE'!$B$5:$B$104,MATCH($E29,'11_PRODUSE'!$A$5:$A$104,0)),"")</f>
        <v/>
      </c>
      <c r="O29" s="13" t="n"/>
      <c r="P29" s="13" t="n"/>
    </row>
    <row r="30">
      <c r="A30" s="35" t="n"/>
      <c r="B30" s="39">
        <f>IF($A30="","",YEAR($A30)&amp;"-"&amp;RIGHT("0"&amp;MONTH($A30),2))</f>
        <v/>
      </c>
      <c r="C30" s="13" t="n"/>
      <c r="D30" s="13" t="n"/>
      <c r="E30" s="13" t="n"/>
      <c r="F30" s="13" t="n"/>
      <c r="G30" s="40" t="n"/>
      <c r="H30" s="38" t="n"/>
      <c r="I30" s="38" t="n"/>
      <c r="J30" s="38" t="n"/>
      <c r="K30" s="24">
        <f>IF($H30="","",$H30-N($J30))</f>
        <v/>
      </c>
      <c r="L30" s="25">
        <f>IFERROR($K30/$H30,"")</f>
        <v/>
      </c>
      <c r="M30" s="39">
        <f>IFERROR(INDEX('10_CLIENTI'!$B$5:$B$204,MATCH($D30,'10_CLIENTI'!$A$5:$A$204,0)),"")</f>
        <v/>
      </c>
      <c r="N30" s="39">
        <f>IFERROR(INDEX('11_PRODUSE'!$B$5:$B$104,MATCH($E30,'11_PRODUSE'!$A$5:$A$104,0)),"")</f>
        <v/>
      </c>
      <c r="O30" s="13" t="n"/>
      <c r="P30" s="13" t="n"/>
    </row>
    <row r="31">
      <c r="A31" s="35" t="n"/>
      <c r="B31" s="39">
        <f>IF($A31="","",YEAR($A31)&amp;"-"&amp;RIGHT("0"&amp;MONTH($A31),2))</f>
        <v/>
      </c>
      <c r="C31" s="13" t="n"/>
      <c r="D31" s="13" t="n"/>
      <c r="E31" s="13" t="n"/>
      <c r="F31" s="13" t="n"/>
      <c r="G31" s="40" t="n"/>
      <c r="H31" s="38" t="n"/>
      <c r="I31" s="38" t="n"/>
      <c r="J31" s="38" t="n"/>
      <c r="K31" s="24">
        <f>IF($H31="","",$H31-N($J31))</f>
        <v/>
      </c>
      <c r="L31" s="25">
        <f>IFERROR($K31/$H31,"")</f>
        <v/>
      </c>
      <c r="M31" s="39">
        <f>IFERROR(INDEX('10_CLIENTI'!$B$5:$B$204,MATCH($D31,'10_CLIENTI'!$A$5:$A$204,0)),"")</f>
        <v/>
      </c>
      <c r="N31" s="39">
        <f>IFERROR(INDEX('11_PRODUSE'!$B$5:$B$104,MATCH($E31,'11_PRODUSE'!$A$5:$A$104,0)),"")</f>
        <v/>
      </c>
      <c r="O31" s="13" t="n"/>
      <c r="P31" s="13" t="n"/>
    </row>
    <row r="32">
      <c r="A32" s="35" t="n"/>
      <c r="B32" s="39">
        <f>IF($A32="","",YEAR($A32)&amp;"-"&amp;RIGHT("0"&amp;MONTH($A32),2))</f>
        <v/>
      </c>
      <c r="C32" s="13" t="n"/>
      <c r="D32" s="13" t="n"/>
      <c r="E32" s="13" t="n"/>
      <c r="F32" s="13" t="n"/>
      <c r="G32" s="40" t="n"/>
      <c r="H32" s="38" t="n"/>
      <c r="I32" s="38" t="n"/>
      <c r="J32" s="38" t="n"/>
      <c r="K32" s="24">
        <f>IF($H32="","",$H32-N($J32))</f>
        <v/>
      </c>
      <c r="L32" s="25">
        <f>IFERROR($K32/$H32,"")</f>
        <v/>
      </c>
      <c r="M32" s="39">
        <f>IFERROR(INDEX('10_CLIENTI'!$B$5:$B$204,MATCH($D32,'10_CLIENTI'!$A$5:$A$204,0)),"")</f>
        <v/>
      </c>
      <c r="N32" s="39">
        <f>IFERROR(INDEX('11_PRODUSE'!$B$5:$B$104,MATCH($E32,'11_PRODUSE'!$A$5:$A$104,0)),"")</f>
        <v/>
      </c>
      <c r="O32" s="13" t="n"/>
      <c r="P32" s="13" t="n"/>
    </row>
    <row r="33">
      <c r="A33" s="35" t="n"/>
      <c r="B33" s="39">
        <f>IF($A33="","",YEAR($A33)&amp;"-"&amp;RIGHT("0"&amp;MONTH($A33),2))</f>
        <v/>
      </c>
      <c r="C33" s="13" t="n"/>
      <c r="D33" s="13" t="n"/>
      <c r="E33" s="13" t="n"/>
      <c r="F33" s="13" t="n"/>
      <c r="G33" s="40" t="n"/>
      <c r="H33" s="38" t="n"/>
      <c r="I33" s="38" t="n"/>
      <c r="J33" s="38" t="n"/>
      <c r="K33" s="24">
        <f>IF($H33="","",$H33-N($J33))</f>
        <v/>
      </c>
      <c r="L33" s="25">
        <f>IFERROR($K33/$H33,"")</f>
        <v/>
      </c>
      <c r="M33" s="39">
        <f>IFERROR(INDEX('10_CLIENTI'!$B$5:$B$204,MATCH($D33,'10_CLIENTI'!$A$5:$A$204,0)),"")</f>
        <v/>
      </c>
      <c r="N33" s="39">
        <f>IFERROR(INDEX('11_PRODUSE'!$B$5:$B$104,MATCH($E33,'11_PRODUSE'!$A$5:$A$104,0)),"")</f>
        <v/>
      </c>
      <c r="O33" s="13" t="n"/>
      <c r="P33" s="13" t="n"/>
    </row>
    <row r="34">
      <c r="A34" s="35" t="n"/>
      <c r="B34" s="39">
        <f>IF($A34="","",YEAR($A34)&amp;"-"&amp;RIGHT("0"&amp;MONTH($A34),2))</f>
        <v/>
      </c>
      <c r="C34" s="13" t="n"/>
      <c r="D34" s="13" t="n"/>
      <c r="E34" s="13" t="n"/>
      <c r="F34" s="13" t="n"/>
      <c r="G34" s="40" t="n"/>
      <c r="H34" s="38" t="n"/>
      <c r="I34" s="38" t="n"/>
      <c r="J34" s="38" t="n"/>
      <c r="K34" s="24">
        <f>IF($H34="","",$H34-N($J34))</f>
        <v/>
      </c>
      <c r="L34" s="25">
        <f>IFERROR($K34/$H34,"")</f>
        <v/>
      </c>
      <c r="M34" s="39">
        <f>IFERROR(INDEX('10_CLIENTI'!$B$5:$B$204,MATCH($D34,'10_CLIENTI'!$A$5:$A$204,0)),"")</f>
        <v/>
      </c>
      <c r="N34" s="39">
        <f>IFERROR(INDEX('11_PRODUSE'!$B$5:$B$104,MATCH($E34,'11_PRODUSE'!$A$5:$A$104,0)),"")</f>
        <v/>
      </c>
      <c r="O34" s="13" t="n"/>
      <c r="P34" s="13" t="n"/>
    </row>
    <row r="35">
      <c r="A35" s="35" t="n"/>
      <c r="B35" s="39">
        <f>IF($A35="","",YEAR($A35)&amp;"-"&amp;RIGHT("0"&amp;MONTH($A35),2))</f>
        <v/>
      </c>
      <c r="C35" s="13" t="n"/>
      <c r="D35" s="13" t="n"/>
      <c r="E35" s="13" t="n"/>
      <c r="F35" s="13" t="n"/>
      <c r="G35" s="40" t="n"/>
      <c r="H35" s="38" t="n"/>
      <c r="I35" s="38" t="n"/>
      <c r="J35" s="38" t="n"/>
      <c r="K35" s="24">
        <f>IF($H35="","",$H35-N($J35))</f>
        <v/>
      </c>
      <c r="L35" s="25">
        <f>IFERROR($K35/$H35,"")</f>
        <v/>
      </c>
      <c r="M35" s="39">
        <f>IFERROR(INDEX('10_CLIENTI'!$B$5:$B$204,MATCH($D35,'10_CLIENTI'!$A$5:$A$204,0)),"")</f>
        <v/>
      </c>
      <c r="N35" s="39">
        <f>IFERROR(INDEX('11_PRODUSE'!$B$5:$B$104,MATCH($E35,'11_PRODUSE'!$A$5:$A$104,0)),"")</f>
        <v/>
      </c>
      <c r="O35" s="13" t="n"/>
      <c r="P35" s="13" t="n"/>
    </row>
    <row r="36">
      <c r="A36" s="35" t="n"/>
      <c r="B36" s="39">
        <f>IF($A36="","",YEAR($A36)&amp;"-"&amp;RIGHT("0"&amp;MONTH($A36),2))</f>
        <v/>
      </c>
      <c r="C36" s="13" t="n"/>
      <c r="D36" s="13" t="n"/>
      <c r="E36" s="13" t="n"/>
      <c r="F36" s="13" t="n"/>
      <c r="G36" s="40" t="n"/>
      <c r="H36" s="38" t="n"/>
      <c r="I36" s="38" t="n"/>
      <c r="J36" s="38" t="n"/>
      <c r="K36" s="24">
        <f>IF($H36="","",$H36-N($J36))</f>
        <v/>
      </c>
      <c r="L36" s="25">
        <f>IFERROR($K36/$H36,"")</f>
        <v/>
      </c>
      <c r="M36" s="39">
        <f>IFERROR(INDEX('10_CLIENTI'!$B$5:$B$204,MATCH($D36,'10_CLIENTI'!$A$5:$A$204,0)),"")</f>
        <v/>
      </c>
      <c r="N36" s="39">
        <f>IFERROR(INDEX('11_PRODUSE'!$B$5:$B$104,MATCH($E36,'11_PRODUSE'!$A$5:$A$104,0)),"")</f>
        <v/>
      </c>
      <c r="O36" s="13" t="n"/>
      <c r="P36" s="13" t="n"/>
    </row>
    <row r="37">
      <c r="A37" s="35" t="n"/>
      <c r="B37" s="39">
        <f>IF($A37="","",YEAR($A37)&amp;"-"&amp;RIGHT("0"&amp;MONTH($A37),2))</f>
        <v/>
      </c>
      <c r="C37" s="13" t="n"/>
      <c r="D37" s="13" t="n"/>
      <c r="E37" s="13" t="n"/>
      <c r="F37" s="13" t="n"/>
      <c r="G37" s="40" t="n"/>
      <c r="H37" s="38" t="n"/>
      <c r="I37" s="38" t="n"/>
      <c r="J37" s="38" t="n"/>
      <c r="K37" s="24">
        <f>IF($H37="","",$H37-N($J37))</f>
        <v/>
      </c>
      <c r="L37" s="25">
        <f>IFERROR($K37/$H37,"")</f>
        <v/>
      </c>
      <c r="M37" s="39">
        <f>IFERROR(INDEX('10_CLIENTI'!$B$5:$B$204,MATCH($D37,'10_CLIENTI'!$A$5:$A$204,0)),"")</f>
        <v/>
      </c>
      <c r="N37" s="39">
        <f>IFERROR(INDEX('11_PRODUSE'!$B$5:$B$104,MATCH($E37,'11_PRODUSE'!$A$5:$A$104,0)),"")</f>
        <v/>
      </c>
      <c r="O37" s="13" t="n"/>
      <c r="P37" s="13" t="n"/>
    </row>
    <row r="38">
      <c r="A38" s="35" t="n"/>
      <c r="B38" s="39">
        <f>IF($A38="","",YEAR($A38)&amp;"-"&amp;RIGHT("0"&amp;MONTH($A38),2))</f>
        <v/>
      </c>
      <c r="C38" s="13" t="n"/>
      <c r="D38" s="13" t="n"/>
      <c r="E38" s="13" t="n"/>
      <c r="F38" s="13" t="n"/>
      <c r="G38" s="40" t="n"/>
      <c r="H38" s="38" t="n"/>
      <c r="I38" s="38" t="n"/>
      <c r="J38" s="38" t="n"/>
      <c r="K38" s="24">
        <f>IF($H38="","",$H38-N($J38))</f>
        <v/>
      </c>
      <c r="L38" s="25">
        <f>IFERROR($K38/$H38,"")</f>
        <v/>
      </c>
      <c r="M38" s="39">
        <f>IFERROR(INDEX('10_CLIENTI'!$B$5:$B$204,MATCH($D38,'10_CLIENTI'!$A$5:$A$204,0)),"")</f>
        <v/>
      </c>
      <c r="N38" s="39">
        <f>IFERROR(INDEX('11_PRODUSE'!$B$5:$B$104,MATCH($E38,'11_PRODUSE'!$A$5:$A$104,0)),"")</f>
        <v/>
      </c>
      <c r="O38" s="13" t="n"/>
      <c r="P38" s="13" t="n"/>
    </row>
    <row r="39">
      <c r="A39" s="35" t="n"/>
      <c r="B39" s="39">
        <f>IF($A39="","",YEAR($A39)&amp;"-"&amp;RIGHT("0"&amp;MONTH($A39),2))</f>
        <v/>
      </c>
      <c r="C39" s="13" t="n"/>
      <c r="D39" s="13" t="n"/>
      <c r="E39" s="13" t="n"/>
      <c r="F39" s="13" t="n"/>
      <c r="G39" s="40" t="n"/>
      <c r="H39" s="38" t="n"/>
      <c r="I39" s="38" t="n"/>
      <c r="J39" s="38" t="n"/>
      <c r="K39" s="24">
        <f>IF($H39="","",$H39-N($J39))</f>
        <v/>
      </c>
      <c r="L39" s="25">
        <f>IFERROR($K39/$H39,"")</f>
        <v/>
      </c>
      <c r="M39" s="39">
        <f>IFERROR(INDEX('10_CLIENTI'!$B$5:$B$204,MATCH($D39,'10_CLIENTI'!$A$5:$A$204,0)),"")</f>
        <v/>
      </c>
      <c r="N39" s="39">
        <f>IFERROR(INDEX('11_PRODUSE'!$B$5:$B$104,MATCH($E39,'11_PRODUSE'!$A$5:$A$104,0)),"")</f>
        <v/>
      </c>
      <c r="O39" s="13" t="n"/>
      <c r="P39" s="13" t="n"/>
    </row>
    <row r="40">
      <c r="A40" s="35" t="n"/>
      <c r="B40" s="39">
        <f>IF($A40="","",YEAR($A40)&amp;"-"&amp;RIGHT("0"&amp;MONTH($A40),2))</f>
        <v/>
      </c>
      <c r="C40" s="13" t="n"/>
      <c r="D40" s="13" t="n"/>
      <c r="E40" s="13" t="n"/>
      <c r="F40" s="13" t="n"/>
      <c r="G40" s="40" t="n"/>
      <c r="H40" s="38" t="n"/>
      <c r="I40" s="38" t="n"/>
      <c r="J40" s="38" t="n"/>
      <c r="K40" s="24">
        <f>IF($H40="","",$H40-N($J40))</f>
        <v/>
      </c>
      <c r="L40" s="25">
        <f>IFERROR($K40/$H40,"")</f>
        <v/>
      </c>
      <c r="M40" s="39">
        <f>IFERROR(INDEX('10_CLIENTI'!$B$5:$B$204,MATCH($D40,'10_CLIENTI'!$A$5:$A$204,0)),"")</f>
        <v/>
      </c>
      <c r="N40" s="39">
        <f>IFERROR(INDEX('11_PRODUSE'!$B$5:$B$104,MATCH($E40,'11_PRODUSE'!$A$5:$A$104,0)),"")</f>
        <v/>
      </c>
      <c r="O40" s="13" t="n"/>
      <c r="P40" s="13" t="n"/>
    </row>
    <row r="41">
      <c r="A41" s="35" t="n"/>
      <c r="B41" s="39">
        <f>IF($A41="","",YEAR($A41)&amp;"-"&amp;RIGHT("0"&amp;MONTH($A41),2))</f>
        <v/>
      </c>
      <c r="C41" s="13" t="n"/>
      <c r="D41" s="13" t="n"/>
      <c r="E41" s="13" t="n"/>
      <c r="F41" s="13" t="n"/>
      <c r="G41" s="40" t="n"/>
      <c r="H41" s="38" t="n"/>
      <c r="I41" s="38" t="n"/>
      <c r="J41" s="38" t="n"/>
      <c r="K41" s="24">
        <f>IF($H41="","",$H41-N($J41))</f>
        <v/>
      </c>
      <c r="L41" s="25">
        <f>IFERROR($K41/$H41,"")</f>
        <v/>
      </c>
      <c r="M41" s="39">
        <f>IFERROR(INDEX('10_CLIENTI'!$B$5:$B$204,MATCH($D41,'10_CLIENTI'!$A$5:$A$204,0)),"")</f>
        <v/>
      </c>
      <c r="N41" s="39">
        <f>IFERROR(INDEX('11_PRODUSE'!$B$5:$B$104,MATCH($E41,'11_PRODUSE'!$A$5:$A$104,0)),"")</f>
        <v/>
      </c>
      <c r="O41" s="13" t="n"/>
      <c r="P41" s="13" t="n"/>
    </row>
    <row r="42">
      <c r="A42" s="35" t="n"/>
      <c r="B42" s="39">
        <f>IF($A42="","",YEAR($A42)&amp;"-"&amp;RIGHT("0"&amp;MONTH($A42),2))</f>
        <v/>
      </c>
      <c r="C42" s="13" t="n"/>
      <c r="D42" s="13" t="n"/>
      <c r="E42" s="13" t="n"/>
      <c r="F42" s="13" t="n"/>
      <c r="G42" s="40" t="n"/>
      <c r="H42" s="38" t="n"/>
      <c r="I42" s="38" t="n"/>
      <c r="J42" s="38" t="n"/>
      <c r="K42" s="24">
        <f>IF($H42="","",$H42-N($J42))</f>
        <v/>
      </c>
      <c r="L42" s="25">
        <f>IFERROR($K42/$H42,"")</f>
        <v/>
      </c>
      <c r="M42" s="39">
        <f>IFERROR(INDEX('10_CLIENTI'!$B$5:$B$204,MATCH($D42,'10_CLIENTI'!$A$5:$A$204,0)),"")</f>
        <v/>
      </c>
      <c r="N42" s="39">
        <f>IFERROR(INDEX('11_PRODUSE'!$B$5:$B$104,MATCH($E42,'11_PRODUSE'!$A$5:$A$104,0)),"")</f>
        <v/>
      </c>
      <c r="O42" s="13" t="n"/>
      <c r="P42" s="13" t="n"/>
    </row>
    <row r="43">
      <c r="A43" s="35" t="n"/>
      <c r="B43" s="39">
        <f>IF($A43="","",YEAR($A43)&amp;"-"&amp;RIGHT("0"&amp;MONTH($A43),2))</f>
        <v/>
      </c>
      <c r="C43" s="13" t="n"/>
      <c r="D43" s="13" t="n"/>
      <c r="E43" s="13" t="n"/>
      <c r="F43" s="13" t="n"/>
      <c r="G43" s="40" t="n"/>
      <c r="H43" s="38" t="n"/>
      <c r="I43" s="38" t="n"/>
      <c r="J43" s="38" t="n"/>
      <c r="K43" s="24">
        <f>IF($H43="","",$H43-N($J43))</f>
        <v/>
      </c>
      <c r="L43" s="25">
        <f>IFERROR($K43/$H43,"")</f>
        <v/>
      </c>
      <c r="M43" s="39">
        <f>IFERROR(INDEX('10_CLIENTI'!$B$5:$B$204,MATCH($D43,'10_CLIENTI'!$A$5:$A$204,0)),"")</f>
        <v/>
      </c>
      <c r="N43" s="39">
        <f>IFERROR(INDEX('11_PRODUSE'!$B$5:$B$104,MATCH($E43,'11_PRODUSE'!$A$5:$A$104,0)),"")</f>
        <v/>
      </c>
      <c r="O43" s="13" t="n"/>
      <c r="P43" s="13" t="n"/>
    </row>
    <row r="44">
      <c r="A44" s="35" t="n"/>
      <c r="B44" s="39">
        <f>IF($A44="","",YEAR($A44)&amp;"-"&amp;RIGHT("0"&amp;MONTH($A44),2))</f>
        <v/>
      </c>
      <c r="C44" s="13" t="n"/>
      <c r="D44" s="13" t="n"/>
      <c r="E44" s="13" t="n"/>
      <c r="F44" s="13" t="n"/>
      <c r="G44" s="40" t="n"/>
      <c r="H44" s="38" t="n"/>
      <c r="I44" s="38" t="n"/>
      <c r="J44" s="38" t="n"/>
      <c r="K44" s="24">
        <f>IF($H44="","",$H44-N($J44))</f>
        <v/>
      </c>
      <c r="L44" s="25">
        <f>IFERROR($K44/$H44,"")</f>
        <v/>
      </c>
      <c r="M44" s="39">
        <f>IFERROR(INDEX('10_CLIENTI'!$B$5:$B$204,MATCH($D44,'10_CLIENTI'!$A$5:$A$204,0)),"")</f>
        <v/>
      </c>
      <c r="N44" s="39">
        <f>IFERROR(INDEX('11_PRODUSE'!$B$5:$B$104,MATCH($E44,'11_PRODUSE'!$A$5:$A$104,0)),"")</f>
        <v/>
      </c>
      <c r="O44" s="13" t="n"/>
      <c r="P44" s="13" t="n"/>
    </row>
    <row r="45">
      <c r="A45" s="35" t="n"/>
      <c r="B45" s="39">
        <f>IF($A45="","",YEAR($A45)&amp;"-"&amp;RIGHT("0"&amp;MONTH($A45),2))</f>
        <v/>
      </c>
      <c r="C45" s="13" t="n"/>
      <c r="D45" s="13" t="n"/>
      <c r="E45" s="13" t="n"/>
      <c r="F45" s="13" t="n"/>
      <c r="G45" s="40" t="n"/>
      <c r="H45" s="38" t="n"/>
      <c r="I45" s="38" t="n"/>
      <c r="J45" s="38" t="n"/>
      <c r="K45" s="24">
        <f>IF($H45="","",$H45-N($J45))</f>
        <v/>
      </c>
      <c r="L45" s="25">
        <f>IFERROR($K45/$H45,"")</f>
        <v/>
      </c>
      <c r="M45" s="39">
        <f>IFERROR(INDEX('10_CLIENTI'!$B$5:$B$204,MATCH($D45,'10_CLIENTI'!$A$5:$A$204,0)),"")</f>
        <v/>
      </c>
      <c r="N45" s="39">
        <f>IFERROR(INDEX('11_PRODUSE'!$B$5:$B$104,MATCH($E45,'11_PRODUSE'!$A$5:$A$104,0)),"")</f>
        <v/>
      </c>
      <c r="O45" s="13" t="n"/>
      <c r="P45" s="13" t="n"/>
    </row>
    <row r="46">
      <c r="A46" s="35" t="n"/>
      <c r="B46" s="39">
        <f>IF($A46="","",YEAR($A46)&amp;"-"&amp;RIGHT("0"&amp;MONTH($A46),2))</f>
        <v/>
      </c>
      <c r="C46" s="13" t="n"/>
      <c r="D46" s="13" t="n"/>
      <c r="E46" s="13" t="n"/>
      <c r="F46" s="13" t="n"/>
      <c r="G46" s="40" t="n"/>
      <c r="H46" s="38" t="n"/>
      <c r="I46" s="38" t="n"/>
      <c r="J46" s="38" t="n"/>
      <c r="K46" s="24">
        <f>IF($H46="","",$H46-N($J46))</f>
        <v/>
      </c>
      <c r="L46" s="25">
        <f>IFERROR($K46/$H46,"")</f>
        <v/>
      </c>
      <c r="M46" s="39">
        <f>IFERROR(INDEX('10_CLIENTI'!$B$5:$B$204,MATCH($D46,'10_CLIENTI'!$A$5:$A$204,0)),"")</f>
        <v/>
      </c>
      <c r="N46" s="39">
        <f>IFERROR(INDEX('11_PRODUSE'!$B$5:$B$104,MATCH($E46,'11_PRODUSE'!$A$5:$A$104,0)),"")</f>
        <v/>
      </c>
      <c r="O46" s="13" t="n"/>
      <c r="P46" s="13" t="n"/>
    </row>
    <row r="47">
      <c r="A47" s="35" t="n"/>
      <c r="B47" s="39">
        <f>IF($A47="","",YEAR($A47)&amp;"-"&amp;RIGHT("0"&amp;MONTH($A47),2))</f>
        <v/>
      </c>
      <c r="C47" s="13" t="n"/>
      <c r="D47" s="13" t="n"/>
      <c r="E47" s="13" t="n"/>
      <c r="F47" s="13" t="n"/>
      <c r="G47" s="40" t="n"/>
      <c r="H47" s="38" t="n"/>
      <c r="I47" s="38" t="n"/>
      <c r="J47" s="38" t="n"/>
      <c r="K47" s="24">
        <f>IF($H47="","",$H47-N($J47))</f>
        <v/>
      </c>
      <c r="L47" s="25">
        <f>IFERROR($K47/$H47,"")</f>
        <v/>
      </c>
      <c r="M47" s="39">
        <f>IFERROR(INDEX('10_CLIENTI'!$B$5:$B$204,MATCH($D47,'10_CLIENTI'!$A$5:$A$204,0)),"")</f>
        <v/>
      </c>
      <c r="N47" s="39">
        <f>IFERROR(INDEX('11_PRODUSE'!$B$5:$B$104,MATCH($E47,'11_PRODUSE'!$A$5:$A$104,0)),"")</f>
        <v/>
      </c>
      <c r="O47" s="13" t="n"/>
      <c r="P47" s="13" t="n"/>
    </row>
    <row r="48">
      <c r="A48" s="35" t="n"/>
      <c r="B48" s="39">
        <f>IF($A48="","",YEAR($A48)&amp;"-"&amp;RIGHT("0"&amp;MONTH($A48),2))</f>
        <v/>
      </c>
      <c r="C48" s="13" t="n"/>
      <c r="D48" s="13" t="n"/>
      <c r="E48" s="13" t="n"/>
      <c r="F48" s="13" t="n"/>
      <c r="G48" s="40" t="n"/>
      <c r="H48" s="38" t="n"/>
      <c r="I48" s="38" t="n"/>
      <c r="J48" s="38" t="n"/>
      <c r="K48" s="24">
        <f>IF($H48="","",$H48-N($J48))</f>
        <v/>
      </c>
      <c r="L48" s="25">
        <f>IFERROR($K48/$H48,"")</f>
        <v/>
      </c>
      <c r="M48" s="39">
        <f>IFERROR(INDEX('10_CLIENTI'!$B$5:$B$204,MATCH($D48,'10_CLIENTI'!$A$5:$A$204,0)),"")</f>
        <v/>
      </c>
      <c r="N48" s="39">
        <f>IFERROR(INDEX('11_PRODUSE'!$B$5:$B$104,MATCH($E48,'11_PRODUSE'!$A$5:$A$104,0)),"")</f>
        <v/>
      </c>
      <c r="O48" s="13" t="n"/>
      <c r="P48" s="13" t="n"/>
    </row>
    <row r="49">
      <c r="A49" s="35" t="n"/>
      <c r="B49" s="39">
        <f>IF($A49="","",YEAR($A49)&amp;"-"&amp;RIGHT("0"&amp;MONTH($A49),2))</f>
        <v/>
      </c>
      <c r="C49" s="13" t="n"/>
      <c r="D49" s="13" t="n"/>
      <c r="E49" s="13" t="n"/>
      <c r="F49" s="13" t="n"/>
      <c r="G49" s="40" t="n"/>
      <c r="H49" s="38" t="n"/>
      <c r="I49" s="38" t="n"/>
      <c r="J49" s="38" t="n"/>
      <c r="K49" s="24">
        <f>IF($H49="","",$H49-N($J49))</f>
        <v/>
      </c>
      <c r="L49" s="25">
        <f>IFERROR($K49/$H49,"")</f>
        <v/>
      </c>
      <c r="M49" s="39">
        <f>IFERROR(INDEX('10_CLIENTI'!$B$5:$B$204,MATCH($D49,'10_CLIENTI'!$A$5:$A$204,0)),"")</f>
        <v/>
      </c>
      <c r="N49" s="39">
        <f>IFERROR(INDEX('11_PRODUSE'!$B$5:$B$104,MATCH($E49,'11_PRODUSE'!$A$5:$A$104,0)),"")</f>
        <v/>
      </c>
      <c r="O49" s="13" t="n"/>
      <c r="P49" s="13" t="n"/>
    </row>
    <row r="50">
      <c r="A50" s="35" t="n"/>
      <c r="B50" s="39">
        <f>IF($A50="","",YEAR($A50)&amp;"-"&amp;RIGHT("0"&amp;MONTH($A50),2))</f>
        <v/>
      </c>
      <c r="C50" s="13" t="n"/>
      <c r="D50" s="13" t="n"/>
      <c r="E50" s="13" t="n"/>
      <c r="F50" s="13" t="n"/>
      <c r="G50" s="40" t="n"/>
      <c r="H50" s="38" t="n"/>
      <c r="I50" s="38" t="n"/>
      <c r="J50" s="38" t="n"/>
      <c r="K50" s="24">
        <f>IF($H50="","",$H50-N($J50))</f>
        <v/>
      </c>
      <c r="L50" s="25">
        <f>IFERROR($K50/$H50,"")</f>
        <v/>
      </c>
      <c r="M50" s="39">
        <f>IFERROR(INDEX('10_CLIENTI'!$B$5:$B$204,MATCH($D50,'10_CLIENTI'!$A$5:$A$204,0)),"")</f>
        <v/>
      </c>
      <c r="N50" s="39">
        <f>IFERROR(INDEX('11_PRODUSE'!$B$5:$B$104,MATCH($E50,'11_PRODUSE'!$A$5:$A$104,0)),"")</f>
        <v/>
      </c>
      <c r="O50" s="13" t="n"/>
      <c r="P50" s="13" t="n"/>
    </row>
    <row r="51">
      <c r="A51" s="35" t="n"/>
      <c r="B51" s="39">
        <f>IF($A51="","",YEAR($A51)&amp;"-"&amp;RIGHT("0"&amp;MONTH($A51),2))</f>
        <v/>
      </c>
      <c r="C51" s="13" t="n"/>
      <c r="D51" s="13" t="n"/>
      <c r="E51" s="13" t="n"/>
      <c r="F51" s="13" t="n"/>
      <c r="G51" s="40" t="n"/>
      <c r="H51" s="38" t="n"/>
      <c r="I51" s="38" t="n"/>
      <c r="J51" s="38" t="n"/>
      <c r="K51" s="24">
        <f>IF($H51="","",$H51-N($J51))</f>
        <v/>
      </c>
      <c r="L51" s="25">
        <f>IFERROR($K51/$H51,"")</f>
        <v/>
      </c>
      <c r="M51" s="39">
        <f>IFERROR(INDEX('10_CLIENTI'!$B$5:$B$204,MATCH($D51,'10_CLIENTI'!$A$5:$A$204,0)),"")</f>
        <v/>
      </c>
      <c r="N51" s="39">
        <f>IFERROR(INDEX('11_PRODUSE'!$B$5:$B$104,MATCH($E51,'11_PRODUSE'!$A$5:$A$104,0)),"")</f>
        <v/>
      </c>
      <c r="O51" s="13" t="n"/>
      <c r="P51" s="13" t="n"/>
    </row>
    <row r="52">
      <c r="A52" s="35" t="n"/>
      <c r="B52" s="39">
        <f>IF($A52="","",YEAR($A52)&amp;"-"&amp;RIGHT("0"&amp;MONTH($A52),2))</f>
        <v/>
      </c>
      <c r="C52" s="13" t="n"/>
      <c r="D52" s="13" t="n"/>
      <c r="E52" s="13" t="n"/>
      <c r="F52" s="13" t="n"/>
      <c r="G52" s="40" t="n"/>
      <c r="H52" s="38" t="n"/>
      <c r="I52" s="38" t="n"/>
      <c r="J52" s="38" t="n"/>
      <c r="K52" s="24">
        <f>IF($H52="","",$H52-N($J52))</f>
        <v/>
      </c>
      <c r="L52" s="25">
        <f>IFERROR($K52/$H52,"")</f>
        <v/>
      </c>
      <c r="M52" s="39">
        <f>IFERROR(INDEX('10_CLIENTI'!$B$5:$B$204,MATCH($D52,'10_CLIENTI'!$A$5:$A$204,0)),"")</f>
        <v/>
      </c>
      <c r="N52" s="39">
        <f>IFERROR(INDEX('11_PRODUSE'!$B$5:$B$104,MATCH($E52,'11_PRODUSE'!$A$5:$A$104,0)),"")</f>
        <v/>
      </c>
      <c r="O52" s="13" t="n"/>
      <c r="P52" s="13" t="n"/>
    </row>
    <row r="53">
      <c r="A53" s="35" t="n"/>
      <c r="B53" s="39">
        <f>IF($A53="","",YEAR($A53)&amp;"-"&amp;RIGHT("0"&amp;MONTH($A53),2))</f>
        <v/>
      </c>
      <c r="C53" s="13" t="n"/>
      <c r="D53" s="13" t="n"/>
      <c r="E53" s="13" t="n"/>
      <c r="F53" s="13" t="n"/>
      <c r="G53" s="40" t="n"/>
      <c r="H53" s="38" t="n"/>
      <c r="I53" s="38" t="n"/>
      <c r="J53" s="38" t="n"/>
      <c r="K53" s="24">
        <f>IF($H53="","",$H53-N($J53))</f>
        <v/>
      </c>
      <c r="L53" s="25">
        <f>IFERROR($K53/$H53,"")</f>
        <v/>
      </c>
      <c r="M53" s="39">
        <f>IFERROR(INDEX('10_CLIENTI'!$B$5:$B$204,MATCH($D53,'10_CLIENTI'!$A$5:$A$204,0)),"")</f>
        <v/>
      </c>
      <c r="N53" s="39">
        <f>IFERROR(INDEX('11_PRODUSE'!$B$5:$B$104,MATCH($E53,'11_PRODUSE'!$A$5:$A$104,0)),"")</f>
        <v/>
      </c>
      <c r="O53" s="13" t="n"/>
      <c r="P53" s="13" t="n"/>
    </row>
    <row r="54">
      <c r="A54" s="35" t="n"/>
      <c r="B54" s="39">
        <f>IF($A54="","",YEAR($A54)&amp;"-"&amp;RIGHT("0"&amp;MONTH($A54),2))</f>
        <v/>
      </c>
      <c r="C54" s="13" t="n"/>
      <c r="D54" s="13" t="n"/>
      <c r="E54" s="13" t="n"/>
      <c r="F54" s="13" t="n"/>
      <c r="G54" s="40" t="n"/>
      <c r="H54" s="38" t="n"/>
      <c r="I54" s="38" t="n"/>
      <c r="J54" s="38" t="n"/>
      <c r="K54" s="24">
        <f>IF($H54="","",$H54-N($J54))</f>
        <v/>
      </c>
      <c r="L54" s="25">
        <f>IFERROR($K54/$H54,"")</f>
        <v/>
      </c>
      <c r="M54" s="39">
        <f>IFERROR(INDEX('10_CLIENTI'!$B$5:$B$204,MATCH($D54,'10_CLIENTI'!$A$5:$A$204,0)),"")</f>
        <v/>
      </c>
      <c r="N54" s="39">
        <f>IFERROR(INDEX('11_PRODUSE'!$B$5:$B$104,MATCH($E54,'11_PRODUSE'!$A$5:$A$104,0)),"")</f>
        <v/>
      </c>
      <c r="O54" s="13" t="n"/>
      <c r="P54" s="13" t="n"/>
    </row>
    <row r="55">
      <c r="A55" s="35" t="n"/>
      <c r="B55" s="39">
        <f>IF($A55="","",YEAR($A55)&amp;"-"&amp;RIGHT("0"&amp;MONTH($A55),2))</f>
        <v/>
      </c>
      <c r="C55" s="13" t="n"/>
      <c r="D55" s="13" t="n"/>
      <c r="E55" s="13" t="n"/>
      <c r="F55" s="13" t="n"/>
      <c r="G55" s="40" t="n"/>
      <c r="H55" s="38" t="n"/>
      <c r="I55" s="38" t="n"/>
      <c r="J55" s="38" t="n"/>
      <c r="K55" s="24">
        <f>IF($H55="","",$H55-N($J55))</f>
        <v/>
      </c>
      <c r="L55" s="25">
        <f>IFERROR($K55/$H55,"")</f>
        <v/>
      </c>
      <c r="M55" s="39">
        <f>IFERROR(INDEX('10_CLIENTI'!$B$5:$B$204,MATCH($D55,'10_CLIENTI'!$A$5:$A$204,0)),"")</f>
        <v/>
      </c>
      <c r="N55" s="39">
        <f>IFERROR(INDEX('11_PRODUSE'!$B$5:$B$104,MATCH($E55,'11_PRODUSE'!$A$5:$A$104,0)),"")</f>
        <v/>
      </c>
      <c r="O55" s="13" t="n"/>
      <c r="P55" s="13" t="n"/>
    </row>
    <row r="56">
      <c r="A56" s="35" t="n"/>
      <c r="B56" s="39">
        <f>IF($A56="","",YEAR($A56)&amp;"-"&amp;RIGHT("0"&amp;MONTH($A56),2))</f>
        <v/>
      </c>
      <c r="C56" s="13" t="n"/>
      <c r="D56" s="13" t="n"/>
      <c r="E56" s="13" t="n"/>
      <c r="F56" s="13" t="n"/>
      <c r="G56" s="40" t="n"/>
      <c r="H56" s="38" t="n"/>
      <c r="I56" s="38" t="n"/>
      <c r="J56" s="38" t="n"/>
      <c r="K56" s="24">
        <f>IF($H56="","",$H56-N($J56))</f>
        <v/>
      </c>
      <c r="L56" s="25">
        <f>IFERROR($K56/$H56,"")</f>
        <v/>
      </c>
      <c r="M56" s="39">
        <f>IFERROR(INDEX('10_CLIENTI'!$B$5:$B$204,MATCH($D56,'10_CLIENTI'!$A$5:$A$204,0)),"")</f>
        <v/>
      </c>
      <c r="N56" s="39">
        <f>IFERROR(INDEX('11_PRODUSE'!$B$5:$B$104,MATCH($E56,'11_PRODUSE'!$A$5:$A$104,0)),"")</f>
        <v/>
      </c>
      <c r="O56" s="13" t="n"/>
      <c r="P56" s="13" t="n"/>
    </row>
    <row r="57">
      <c r="A57" s="35" t="n"/>
      <c r="B57" s="39">
        <f>IF($A57="","",YEAR($A57)&amp;"-"&amp;RIGHT("0"&amp;MONTH($A57),2))</f>
        <v/>
      </c>
      <c r="C57" s="13" t="n"/>
      <c r="D57" s="13" t="n"/>
      <c r="E57" s="13" t="n"/>
      <c r="F57" s="13" t="n"/>
      <c r="G57" s="40" t="n"/>
      <c r="H57" s="38" t="n"/>
      <c r="I57" s="38" t="n"/>
      <c r="J57" s="38" t="n"/>
      <c r="K57" s="24">
        <f>IF($H57="","",$H57-N($J57))</f>
        <v/>
      </c>
      <c r="L57" s="25">
        <f>IFERROR($K57/$H57,"")</f>
        <v/>
      </c>
      <c r="M57" s="39">
        <f>IFERROR(INDEX('10_CLIENTI'!$B$5:$B$204,MATCH($D57,'10_CLIENTI'!$A$5:$A$204,0)),"")</f>
        <v/>
      </c>
      <c r="N57" s="39">
        <f>IFERROR(INDEX('11_PRODUSE'!$B$5:$B$104,MATCH($E57,'11_PRODUSE'!$A$5:$A$104,0)),"")</f>
        <v/>
      </c>
      <c r="O57" s="13" t="n"/>
      <c r="P57" s="13" t="n"/>
    </row>
    <row r="58">
      <c r="A58" s="35" t="n"/>
      <c r="B58" s="39">
        <f>IF($A58="","",YEAR($A58)&amp;"-"&amp;RIGHT("0"&amp;MONTH($A58),2))</f>
        <v/>
      </c>
      <c r="C58" s="13" t="n"/>
      <c r="D58" s="13" t="n"/>
      <c r="E58" s="13" t="n"/>
      <c r="F58" s="13" t="n"/>
      <c r="G58" s="40" t="n"/>
      <c r="H58" s="38" t="n"/>
      <c r="I58" s="38" t="n"/>
      <c r="J58" s="38" t="n"/>
      <c r="K58" s="24">
        <f>IF($H58="","",$H58-N($J58))</f>
        <v/>
      </c>
      <c r="L58" s="25">
        <f>IFERROR($K58/$H58,"")</f>
        <v/>
      </c>
      <c r="M58" s="39">
        <f>IFERROR(INDEX('10_CLIENTI'!$B$5:$B$204,MATCH($D58,'10_CLIENTI'!$A$5:$A$204,0)),"")</f>
        <v/>
      </c>
      <c r="N58" s="39">
        <f>IFERROR(INDEX('11_PRODUSE'!$B$5:$B$104,MATCH($E58,'11_PRODUSE'!$A$5:$A$104,0)),"")</f>
        <v/>
      </c>
      <c r="O58" s="13" t="n"/>
      <c r="P58" s="13" t="n"/>
    </row>
    <row r="59">
      <c r="A59" s="35" t="n"/>
      <c r="B59" s="39">
        <f>IF($A59="","",YEAR($A59)&amp;"-"&amp;RIGHT("0"&amp;MONTH($A59),2))</f>
        <v/>
      </c>
      <c r="C59" s="13" t="n"/>
      <c r="D59" s="13" t="n"/>
      <c r="E59" s="13" t="n"/>
      <c r="F59" s="13" t="n"/>
      <c r="G59" s="40" t="n"/>
      <c r="H59" s="38" t="n"/>
      <c r="I59" s="38" t="n"/>
      <c r="J59" s="38" t="n"/>
      <c r="K59" s="24">
        <f>IF($H59="","",$H59-N($J59))</f>
        <v/>
      </c>
      <c r="L59" s="25">
        <f>IFERROR($K59/$H59,"")</f>
        <v/>
      </c>
      <c r="M59" s="39">
        <f>IFERROR(INDEX('10_CLIENTI'!$B$5:$B$204,MATCH($D59,'10_CLIENTI'!$A$5:$A$204,0)),"")</f>
        <v/>
      </c>
      <c r="N59" s="39">
        <f>IFERROR(INDEX('11_PRODUSE'!$B$5:$B$104,MATCH($E59,'11_PRODUSE'!$A$5:$A$104,0)),"")</f>
        <v/>
      </c>
      <c r="O59" s="13" t="n"/>
      <c r="P59" s="13" t="n"/>
    </row>
    <row r="60">
      <c r="A60" s="35" t="n"/>
      <c r="B60" s="39">
        <f>IF($A60="","",YEAR($A60)&amp;"-"&amp;RIGHT("0"&amp;MONTH($A60),2))</f>
        <v/>
      </c>
      <c r="C60" s="13" t="n"/>
      <c r="D60" s="13" t="n"/>
      <c r="E60" s="13" t="n"/>
      <c r="F60" s="13" t="n"/>
      <c r="G60" s="40" t="n"/>
      <c r="H60" s="38" t="n"/>
      <c r="I60" s="38" t="n"/>
      <c r="J60" s="38" t="n"/>
      <c r="K60" s="24">
        <f>IF($H60="","",$H60-N($J60))</f>
        <v/>
      </c>
      <c r="L60" s="25">
        <f>IFERROR($K60/$H60,"")</f>
        <v/>
      </c>
      <c r="M60" s="39">
        <f>IFERROR(INDEX('10_CLIENTI'!$B$5:$B$204,MATCH($D60,'10_CLIENTI'!$A$5:$A$204,0)),"")</f>
        <v/>
      </c>
      <c r="N60" s="39">
        <f>IFERROR(INDEX('11_PRODUSE'!$B$5:$B$104,MATCH($E60,'11_PRODUSE'!$A$5:$A$104,0)),"")</f>
        <v/>
      </c>
      <c r="O60" s="13" t="n"/>
      <c r="P60" s="13" t="n"/>
    </row>
    <row r="61">
      <c r="A61" s="35" t="n"/>
      <c r="B61" s="39">
        <f>IF($A61="","",YEAR($A61)&amp;"-"&amp;RIGHT("0"&amp;MONTH($A61),2))</f>
        <v/>
      </c>
      <c r="C61" s="13" t="n"/>
      <c r="D61" s="13" t="n"/>
      <c r="E61" s="13" t="n"/>
      <c r="F61" s="13" t="n"/>
      <c r="G61" s="40" t="n"/>
      <c r="H61" s="38" t="n"/>
      <c r="I61" s="38" t="n"/>
      <c r="J61" s="38" t="n"/>
      <c r="K61" s="24">
        <f>IF($H61="","",$H61-N($J61))</f>
        <v/>
      </c>
      <c r="L61" s="25">
        <f>IFERROR($K61/$H61,"")</f>
        <v/>
      </c>
      <c r="M61" s="39">
        <f>IFERROR(INDEX('10_CLIENTI'!$B$5:$B$204,MATCH($D61,'10_CLIENTI'!$A$5:$A$204,0)),"")</f>
        <v/>
      </c>
      <c r="N61" s="39">
        <f>IFERROR(INDEX('11_PRODUSE'!$B$5:$B$104,MATCH($E61,'11_PRODUSE'!$A$5:$A$104,0)),"")</f>
        <v/>
      </c>
      <c r="O61" s="13" t="n"/>
      <c r="P61" s="13" t="n"/>
    </row>
    <row r="62">
      <c r="A62" s="35" t="n"/>
      <c r="B62" s="39">
        <f>IF($A62="","",YEAR($A62)&amp;"-"&amp;RIGHT("0"&amp;MONTH($A62),2))</f>
        <v/>
      </c>
      <c r="C62" s="13" t="n"/>
      <c r="D62" s="13" t="n"/>
      <c r="E62" s="13" t="n"/>
      <c r="F62" s="13" t="n"/>
      <c r="G62" s="40" t="n"/>
      <c r="H62" s="38" t="n"/>
      <c r="I62" s="38" t="n"/>
      <c r="J62" s="38" t="n"/>
      <c r="K62" s="24">
        <f>IF($H62="","",$H62-N($J62))</f>
        <v/>
      </c>
      <c r="L62" s="25">
        <f>IFERROR($K62/$H62,"")</f>
        <v/>
      </c>
      <c r="M62" s="39">
        <f>IFERROR(INDEX('10_CLIENTI'!$B$5:$B$204,MATCH($D62,'10_CLIENTI'!$A$5:$A$204,0)),"")</f>
        <v/>
      </c>
      <c r="N62" s="39">
        <f>IFERROR(INDEX('11_PRODUSE'!$B$5:$B$104,MATCH($E62,'11_PRODUSE'!$A$5:$A$104,0)),"")</f>
        <v/>
      </c>
      <c r="O62" s="13" t="n"/>
      <c r="P62" s="13" t="n"/>
    </row>
    <row r="63">
      <c r="A63" s="35" t="n"/>
      <c r="B63" s="39">
        <f>IF($A63="","",YEAR($A63)&amp;"-"&amp;RIGHT("0"&amp;MONTH($A63),2))</f>
        <v/>
      </c>
      <c r="C63" s="13" t="n"/>
      <c r="D63" s="13" t="n"/>
      <c r="E63" s="13" t="n"/>
      <c r="F63" s="13" t="n"/>
      <c r="G63" s="40" t="n"/>
      <c r="H63" s="38" t="n"/>
      <c r="I63" s="38" t="n"/>
      <c r="J63" s="38" t="n"/>
      <c r="K63" s="24">
        <f>IF($H63="","",$H63-N($J63))</f>
        <v/>
      </c>
      <c r="L63" s="25">
        <f>IFERROR($K63/$H63,"")</f>
        <v/>
      </c>
      <c r="M63" s="39">
        <f>IFERROR(INDEX('10_CLIENTI'!$B$5:$B$204,MATCH($D63,'10_CLIENTI'!$A$5:$A$204,0)),"")</f>
        <v/>
      </c>
      <c r="N63" s="39">
        <f>IFERROR(INDEX('11_PRODUSE'!$B$5:$B$104,MATCH($E63,'11_PRODUSE'!$A$5:$A$104,0)),"")</f>
        <v/>
      </c>
      <c r="O63" s="13" t="n"/>
      <c r="P63" s="13" t="n"/>
    </row>
    <row r="64">
      <c r="A64" s="35" t="n"/>
      <c r="B64" s="39">
        <f>IF($A64="","",YEAR($A64)&amp;"-"&amp;RIGHT("0"&amp;MONTH($A64),2))</f>
        <v/>
      </c>
      <c r="C64" s="13" t="n"/>
      <c r="D64" s="13" t="n"/>
      <c r="E64" s="13" t="n"/>
      <c r="F64" s="13" t="n"/>
      <c r="G64" s="40" t="n"/>
      <c r="H64" s="38" t="n"/>
      <c r="I64" s="38" t="n"/>
      <c r="J64" s="38" t="n"/>
      <c r="K64" s="24">
        <f>IF($H64="","",$H64-N($J64))</f>
        <v/>
      </c>
      <c r="L64" s="25">
        <f>IFERROR($K64/$H64,"")</f>
        <v/>
      </c>
      <c r="M64" s="39">
        <f>IFERROR(INDEX('10_CLIENTI'!$B$5:$B$204,MATCH($D64,'10_CLIENTI'!$A$5:$A$204,0)),"")</f>
        <v/>
      </c>
      <c r="N64" s="39">
        <f>IFERROR(INDEX('11_PRODUSE'!$B$5:$B$104,MATCH($E64,'11_PRODUSE'!$A$5:$A$104,0)),"")</f>
        <v/>
      </c>
      <c r="O64" s="13" t="n"/>
      <c r="P64" s="13" t="n"/>
    </row>
    <row r="65">
      <c r="A65" s="35" t="n"/>
      <c r="B65" s="39">
        <f>IF($A65="","",YEAR($A65)&amp;"-"&amp;RIGHT("0"&amp;MONTH($A65),2))</f>
        <v/>
      </c>
      <c r="C65" s="13" t="n"/>
      <c r="D65" s="13" t="n"/>
      <c r="E65" s="13" t="n"/>
      <c r="F65" s="13" t="n"/>
      <c r="G65" s="40" t="n"/>
      <c r="H65" s="38" t="n"/>
      <c r="I65" s="38" t="n"/>
      <c r="J65" s="38" t="n"/>
      <c r="K65" s="24">
        <f>IF($H65="","",$H65-N($J65))</f>
        <v/>
      </c>
      <c r="L65" s="25">
        <f>IFERROR($K65/$H65,"")</f>
        <v/>
      </c>
      <c r="M65" s="39">
        <f>IFERROR(INDEX('10_CLIENTI'!$B$5:$B$204,MATCH($D65,'10_CLIENTI'!$A$5:$A$204,0)),"")</f>
        <v/>
      </c>
      <c r="N65" s="39">
        <f>IFERROR(INDEX('11_PRODUSE'!$B$5:$B$104,MATCH($E65,'11_PRODUSE'!$A$5:$A$104,0)),"")</f>
        <v/>
      </c>
      <c r="O65" s="13" t="n"/>
      <c r="P65" s="13" t="n"/>
    </row>
    <row r="66">
      <c r="A66" s="35" t="n"/>
      <c r="B66" s="39">
        <f>IF($A66="","",YEAR($A66)&amp;"-"&amp;RIGHT("0"&amp;MONTH($A66),2))</f>
        <v/>
      </c>
      <c r="C66" s="13" t="n"/>
      <c r="D66" s="13" t="n"/>
      <c r="E66" s="13" t="n"/>
      <c r="F66" s="13" t="n"/>
      <c r="G66" s="40" t="n"/>
      <c r="H66" s="38" t="n"/>
      <c r="I66" s="38" t="n"/>
      <c r="J66" s="38" t="n"/>
      <c r="K66" s="24">
        <f>IF($H66="","",$H66-N($J66))</f>
        <v/>
      </c>
      <c r="L66" s="25">
        <f>IFERROR($K66/$H66,"")</f>
        <v/>
      </c>
      <c r="M66" s="39">
        <f>IFERROR(INDEX('10_CLIENTI'!$B$5:$B$204,MATCH($D66,'10_CLIENTI'!$A$5:$A$204,0)),"")</f>
        <v/>
      </c>
      <c r="N66" s="39">
        <f>IFERROR(INDEX('11_PRODUSE'!$B$5:$B$104,MATCH($E66,'11_PRODUSE'!$A$5:$A$104,0)),"")</f>
        <v/>
      </c>
      <c r="O66" s="13" t="n"/>
      <c r="P66" s="13" t="n"/>
    </row>
    <row r="67">
      <c r="A67" s="35" t="n"/>
      <c r="B67" s="39">
        <f>IF($A67="","",YEAR($A67)&amp;"-"&amp;RIGHT("0"&amp;MONTH($A67),2))</f>
        <v/>
      </c>
      <c r="C67" s="13" t="n"/>
      <c r="D67" s="13" t="n"/>
      <c r="E67" s="13" t="n"/>
      <c r="F67" s="13" t="n"/>
      <c r="G67" s="40" t="n"/>
      <c r="H67" s="38" t="n"/>
      <c r="I67" s="38" t="n"/>
      <c r="J67" s="38" t="n"/>
      <c r="K67" s="24">
        <f>IF($H67="","",$H67-N($J67))</f>
        <v/>
      </c>
      <c r="L67" s="25">
        <f>IFERROR($K67/$H67,"")</f>
        <v/>
      </c>
      <c r="M67" s="39">
        <f>IFERROR(INDEX('10_CLIENTI'!$B$5:$B$204,MATCH($D67,'10_CLIENTI'!$A$5:$A$204,0)),"")</f>
        <v/>
      </c>
      <c r="N67" s="39">
        <f>IFERROR(INDEX('11_PRODUSE'!$B$5:$B$104,MATCH($E67,'11_PRODUSE'!$A$5:$A$104,0)),"")</f>
        <v/>
      </c>
      <c r="O67" s="13" t="n"/>
      <c r="P67" s="13" t="n"/>
    </row>
    <row r="68">
      <c r="A68" s="35" t="n"/>
      <c r="B68" s="39">
        <f>IF($A68="","",YEAR($A68)&amp;"-"&amp;RIGHT("0"&amp;MONTH($A68),2))</f>
        <v/>
      </c>
      <c r="C68" s="13" t="n"/>
      <c r="D68" s="13" t="n"/>
      <c r="E68" s="13" t="n"/>
      <c r="F68" s="13" t="n"/>
      <c r="G68" s="40" t="n"/>
      <c r="H68" s="38" t="n"/>
      <c r="I68" s="38" t="n"/>
      <c r="J68" s="38" t="n"/>
      <c r="K68" s="24">
        <f>IF($H68="","",$H68-N($J68))</f>
        <v/>
      </c>
      <c r="L68" s="25">
        <f>IFERROR($K68/$H68,"")</f>
        <v/>
      </c>
      <c r="M68" s="39">
        <f>IFERROR(INDEX('10_CLIENTI'!$B$5:$B$204,MATCH($D68,'10_CLIENTI'!$A$5:$A$204,0)),"")</f>
        <v/>
      </c>
      <c r="N68" s="39">
        <f>IFERROR(INDEX('11_PRODUSE'!$B$5:$B$104,MATCH($E68,'11_PRODUSE'!$A$5:$A$104,0)),"")</f>
        <v/>
      </c>
      <c r="O68" s="13" t="n"/>
      <c r="P68" s="13" t="n"/>
    </row>
    <row r="69">
      <c r="A69" s="35" t="n"/>
      <c r="B69" s="39">
        <f>IF($A69="","",YEAR($A69)&amp;"-"&amp;RIGHT("0"&amp;MONTH($A69),2))</f>
        <v/>
      </c>
      <c r="C69" s="13" t="n"/>
      <c r="D69" s="13" t="n"/>
      <c r="E69" s="13" t="n"/>
      <c r="F69" s="13" t="n"/>
      <c r="G69" s="40" t="n"/>
      <c r="H69" s="38" t="n"/>
      <c r="I69" s="38" t="n"/>
      <c r="J69" s="38" t="n"/>
      <c r="K69" s="24">
        <f>IF($H69="","",$H69-N($J69))</f>
        <v/>
      </c>
      <c r="L69" s="25">
        <f>IFERROR($K69/$H69,"")</f>
        <v/>
      </c>
      <c r="M69" s="39">
        <f>IFERROR(INDEX('10_CLIENTI'!$B$5:$B$204,MATCH($D69,'10_CLIENTI'!$A$5:$A$204,0)),"")</f>
        <v/>
      </c>
      <c r="N69" s="39">
        <f>IFERROR(INDEX('11_PRODUSE'!$B$5:$B$104,MATCH($E69,'11_PRODUSE'!$A$5:$A$104,0)),"")</f>
        <v/>
      </c>
      <c r="O69" s="13" t="n"/>
      <c r="P69" s="13" t="n"/>
    </row>
    <row r="70">
      <c r="A70" s="35" t="n"/>
      <c r="B70" s="39">
        <f>IF($A70="","",YEAR($A70)&amp;"-"&amp;RIGHT("0"&amp;MONTH($A70),2))</f>
        <v/>
      </c>
      <c r="C70" s="13" t="n"/>
      <c r="D70" s="13" t="n"/>
      <c r="E70" s="13" t="n"/>
      <c r="F70" s="13" t="n"/>
      <c r="G70" s="40" t="n"/>
      <c r="H70" s="38" t="n"/>
      <c r="I70" s="38" t="n"/>
      <c r="J70" s="38" t="n"/>
      <c r="K70" s="24">
        <f>IF($H70="","",$H70-N($J70))</f>
        <v/>
      </c>
      <c r="L70" s="25">
        <f>IFERROR($K70/$H70,"")</f>
        <v/>
      </c>
      <c r="M70" s="39">
        <f>IFERROR(INDEX('10_CLIENTI'!$B$5:$B$204,MATCH($D70,'10_CLIENTI'!$A$5:$A$204,0)),"")</f>
        <v/>
      </c>
      <c r="N70" s="39">
        <f>IFERROR(INDEX('11_PRODUSE'!$B$5:$B$104,MATCH($E70,'11_PRODUSE'!$A$5:$A$104,0)),"")</f>
        <v/>
      </c>
      <c r="O70" s="13" t="n"/>
      <c r="P70" s="13" t="n"/>
    </row>
    <row r="71">
      <c r="A71" s="35" t="n"/>
      <c r="B71" s="39">
        <f>IF($A71="","",YEAR($A71)&amp;"-"&amp;RIGHT("0"&amp;MONTH($A71),2))</f>
        <v/>
      </c>
      <c r="C71" s="13" t="n"/>
      <c r="D71" s="13" t="n"/>
      <c r="E71" s="13" t="n"/>
      <c r="F71" s="13" t="n"/>
      <c r="G71" s="40" t="n"/>
      <c r="H71" s="38" t="n"/>
      <c r="I71" s="38" t="n"/>
      <c r="J71" s="38" t="n"/>
      <c r="K71" s="24">
        <f>IF($H71="","",$H71-N($J71))</f>
        <v/>
      </c>
      <c r="L71" s="25">
        <f>IFERROR($K71/$H71,"")</f>
        <v/>
      </c>
      <c r="M71" s="39">
        <f>IFERROR(INDEX('10_CLIENTI'!$B$5:$B$204,MATCH($D71,'10_CLIENTI'!$A$5:$A$204,0)),"")</f>
        <v/>
      </c>
      <c r="N71" s="39">
        <f>IFERROR(INDEX('11_PRODUSE'!$B$5:$B$104,MATCH($E71,'11_PRODUSE'!$A$5:$A$104,0)),"")</f>
        <v/>
      </c>
      <c r="O71" s="13" t="n"/>
      <c r="P71" s="13" t="n"/>
    </row>
    <row r="72">
      <c r="A72" s="35" t="n"/>
      <c r="B72" s="39">
        <f>IF($A72="","",YEAR($A72)&amp;"-"&amp;RIGHT("0"&amp;MONTH($A72),2))</f>
        <v/>
      </c>
      <c r="C72" s="13" t="n"/>
      <c r="D72" s="13" t="n"/>
      <c r="E72" s="13" t="n"/>
      <c r="F72" s="13" t="n"/>
      <c r="G72" s="40" t="n"/>
      <c r="H72" s="38" t="n"/>
      <c r="I72" s="38" t="n"/>
      <c r="J72" s="38" t="n"/>
      <c r="K72" s="24">
        <f>IF($H72="","",$H72-N($J72))</f>
        <v/>
      </c>
      <c r="L72" s="25">
        <f>IFERROR($K72/$H72,"")</f>
        <v/>
      </c>
      <c r="M72" s="39">
        <f>IFERROR(INDEX('10_CLIENTI'!$B$5:$B$204,MATCH($D72,'10_CLIENTI'!$A$5:$A$204,0)),"")</f>
        <v/>
      </c>
      <c r="N72" s="39">
        <f>IFERROR(INDEX('11_PRODUSE'!$B$5:$B$104,MATCH($E72,'11_PRODUSE'!$A$5:$A$104,0)),"")</f>
        <v/>
      </c>
      <c r="O72" s="13" t="n"/>
      <c r="P72" s="13" t="n"/>
    </row>
    <row r="73">
      <c r="A73" s="35" t="n"/>
      <c r="B73" s="39">
        <f>IF($A73="","",YEAR($A73)&amp;"-"&amp;RIGHT("0"&amp;MONTH($A73),2))</f>
        <v/>
      </c>
      <c r="C73" s="13" t="n"/>
      <c r="D73" s="13" t="n"/>
      <c r="E73" s="13" t="n"/>
      <c r="F73" s="13" t="n"/>
      <c r="G73" s="40" t="n"/>
      <c r="H73" s="38" t="n"/>
      <c r="I73" s="38" t="n"/>
      <c r="J73" s="38" t="n"/>
      <c r="K73" s="24">
        <f>IF($H73="","",$H73-N($J73))</f>
        <v/>
      </c>
      <c r="L73" s="25">
        <f>IFERROR($K73/$H73,"")</f>
        <v/>
      </c>
      <c r="M73" s="39">
        <f>IFERROR(INDEX('10_CLIENTI'!$B$5:$B$204,MATCH($D73,'10_CLIENTI'!$A$5:$A$204,0)),"")</f>
        <v/>
      </c>
      <c r="N73" s="39">
        <f>IFERROR(INDEX('11_PRODUSE'!$B$5:$B$104,MATCH($E73,'11_PRODUSE'!$A$5:$A$104,0)),"")</f>
        <v/>
      </c>
      <c r="O73" s="13" t="n"/>
      <c r="P73" s="13" t="n"/>
    </row>
    <row r="74">
      <c r="A74" s="35" t="n"/>
      <c r="B74" s="39">
        <f>IF($A74="","",YEAR($A74)&amp;"-"&amp;RIGHT("0"&amp;MONTH($A74),2))</f>
        <v/>
      </c>
      <c r="C74" s="13" t="n"/>
      <c r="D74" s="13" t="n"/>
      <c r="E74" s="13" t="n"/>
      <c r="F74" s="13" t="n"/>
      <c r="G74" s="40" t="n"/>
      <c r="H74" s="38" t="n"/>
      <c r="I74" s="38" t="n"/>
      <c r="J74" s="38" t="n"/>
      <c r="K74" s="24">
        <f>IF($H74="","",$H74-N($J74))</f>
        <v/>
      </c>
      <c r="L74" s="25">
        <f>IFERROR($K74/$H74,"")</f>
        <v/>
      </c>
      <c r="M74" s="39">
        <f>IFERROR(INDEX('10_CLIENTI'!$B$5:$B$204,MATCH($D74,'10_CLIENTI'!$A$5:$A$204,0)),"")</f>
        <v/>
      </c>
      <c r="N74" s="39">
        <f>IFERROR(INDEX('11_PRODUSE'!$B$5:$B$104,MATCH($E74,'11_PRODUSE'!$A$5:$A$104,0)),"")</f>
        <v/>
      </c>
      <c r="O74" s="13" t="n"/>
      <c r="P74" s="13" t="n"/>
    </row>
    <row r="75">
      <c r="A75" s="35" t="n"/>
      <c r="B75" s="39">
        <f>IF($A75="","",YEAR($A75)&amp;"-"&amp;RIGHT("0"&amp;MONTH($A75),2))</f>
        <v/>
      </c>
      <c r="C75" s="13" t="n"/>
      <c r="D75" s="13" t="n"/>
      <c r="E75" s="13" t="n"/>
      <c r="F75" s="13" t="n"/>
      <c r="G75" s="40" t="n"/>
      <c r="H75" s="38" t="n"/>
      <c r="I75" s="38" t="n"/>
      <c r="J75" s="38" t="n"/>
      <c r="K75" s="24">
        <f>IF($H75="","",$H75-N($J75))</f>
        <v/>
      </c>
      <c r="L75" s="25">
        <f>IFERROR($K75/$H75,"")</f>
        <v/>
      </c>
      <c r="M75" s="39">
        <f>IFERROR(INDEX('10_CLIENTI'!$B$5:$B$204,MATCH($D75,'10_CLIENTI'!$A$5:$A$204,0)),"")</f>
        <v/>
      </c>
      <c r="N75" s="39">
        <f>IFERROR(INDEX('11_PRODUSE'!$B$5:$B$104,MATCH($E75,'11_PRODUSE'!$A$5:$A$104,0)),"")</f>
        <v/>
      </c>
      <c r="O75" s="13" t="n"/>
      <c r="P75" s="13" t="n"/>
    </row>
    <row r="76">
      <c r="A76" s="35" t="n"/>
      <c r="B76" s="39">
        <f>IF($A76="","",YEAR($A76)&amp;"-"&amp;RIGHT("0"&amp;MONTH($A76),2))</f>
        <v/>
      </c>
      <c r="C76" s="13" t="n"/>
      <c r="D76" s="13" t="n"/>
      <c r="E76" s="13" t="n"/>
      <c r="F76" s="13" t="n"/>
      <c r="G76" s="40" t="n"/>
      <c r="H76" s="38" t="n"/>
      <c r="I76" s="38" t="n"/>
      <c r="J76" s="38" t="n"/>
      <c r="K76" s="24">
        <f>IF($H76="","",$H76-N($J76))</f>
        <v/>
      </c>
      <c r="L76" s="25">
        <f>IFERROR($K76/$H76,"")</f>
        <v/>
      </c>
      <c r="M76" s="39">
        <f>IFERROR(INDEX('10_CLIENTI'!$B$5:$B$204,MATCH($D76,'10_CLIENTI'!$A$5:$A$204,0)),"")</f>
        <v/>
      </c>
      <c r="N76" s="39">
        <f>IFERROR(INDEX('11_PRODUSE'!$B$5:$B$104,MATCH($E76,'11_PRODUSE'!$A$5:$A$104,0)),"")</f>
        <v/>
      </c>
      <c r="O76" s="13" t="n"/>
      <c r="P76" s="13" t="n"/>
    </row>
    <row r="77">
      <c r="A77" s="35" t="n"/>
      <c r="B77" s="39">
        <f>IF($A77="","",YEAR($A77)&amp;"-"&amp;RIGHT("0"&amp;MONTH($A77),2))</f>
        <v/>
      </c>
      <c r="C77" s="13" t="n"/>
      <c r="D77" s="13" t="n"/>
      <c r="E77" s="13" t="n"/>
      <c r="F77" s="13" t="n"/>
      <c r="G77" s="40" t="n"/>
      <c r="H77" s="38" t="n"/>
      <c r="I77" s="38" t="n"/>
      <c r="J77" s="38" t="n"/>
      <c r="K77" s="24">
        <f>IF($H77="","",$H77-N($J77))</f>
        <v/>
      </c>
      <c r="L77" s="25">
        <f>IFERROR($K77/$H77,"")</f>
        <v/>
      </c>
      <c r="M77" s="39">
        <f>IFERROR(INDEX('10_CLIENTI'!$B$5:$B$204,MATCH($D77,'10_CLIENTI'!$A$5:$A$204,0)),"")</f>
        <v/>
      </c>
      <c r="N77" s="39">
        <f>IFERROR(INDEX('11_PRODUSE'!$B$5:$B$104,MATCH($E77,'11_PRODUSE'!$A$5:$A$104,0)),"")</f>
        <v/>
      </c>
      <c r="O77" s="13" t="n"/>
      <c r="P77" s="13" t="n"/>
    </row>
    <row r="78">
      <c r="A78" s="35" t="n"/>
      <c r="B78" s="39">
        <f>IF($A78="","",YEAR($A78)&amp;"-"&amp;RIGHT("0"&amp;MONTH($A78),2))</f>
        <v/>
      </c>
      <c r="C78" s="13" t="n"/>
      <c r="D78" s="13" t="n"/>
      <c r="E78" s="13" t="n"/>
      <c r="F78" s="13" t="n"/>
      <c r="G78" s="40" t="n"/>
      <c r="H78" s="38" t="n"/>
      <c r="I78" s="38" t="n"/>
      <c r="J78" s="38" t="n"/>
      <c r="K78" s="24">
        <f>IF($H78="","",$H78-N($J78))</f>
        <v/>
      </c>
      <c r="L78" s="25">
        <f>IFERROR($K78/$H78,"")</f>
        <v/>
      </c>
      <c r="M78" s="39">
        <f>IFERROR(INDEX('10_CLIENTI'!$B$5:$B$204,MATCH($D78,'10_CLIENTI'!$A$5:$A$204,0)),"")</f>
        <v/>
      </c>
      <c r="N78" s="39">
        <f>IFERROR(INDEX('11_PRODUSE'!$B$5:$B$104,MATCH($E78,'11_PRODUSE'!$A$5:$A$104,0)),"")</f>
        <v/>
      </c>
      <c r="O78" s="13" t="n"/>
      <c r="P78" s="13" t="n"/>
    </row>
    <row r="79">
      <c r="A79" s="35" t="n"/>
      <c r="B79" s="39">
        <f>IF($A79="","",YEAR($A79)&amp;"-"&amp;RIGHT("0"&amp;MONTH($A79),2))</f>
        <v/>
      </c>
      <c r="C79" s="13" t="n"/>
      <c r="D79" s="13" t="n"/>
      <c r="E79" s="13" t="n"/>
      <c r="F79" s="13" t="n"/>
      <c r="G79" s="40" t="n"/>
      <c r="H79" s="38" t="n"/>
      <c r="I79" s="38" t="n"/>
      <c r="J79" s="38" t="n"/>
      <c r="K79" s="24">
        <f>IF($H79="","",$H79-N($J79))</f>
        <v/>
      </c>
      <c r="L79" s="25">
        <f>IFERROR($K79/$H79,"")</f>
        <v/>
      </c>
      <c r="M79" s="39">
        <f>IFERROR(INDEX('10_CLIENTI'!$B$5:$B$204,MATCH($D79,'10_CLIENTI'!$A$5:$A$204,0)),"")</f>
        <v/>
      </c>
      <c r="N79" s="39">
        <f>IFERROR(INDEX('11_PRODUSE'!$B$5:$B$104,MATCH($E79,'11_PRODUSE'!$A$5:$A$104,0)),"")</f>
        <v/>
      </c>
      <c r="O79" s="13" t="n"/>
      <c r="P79" s="13" t="n"/>
    </row>
    <row r="80">
      <c r="A80" s="35" t="n"/>
      <c r="B80" s="39">
        <f>IF($A80="","",YEAR($A80)&amp;"-"&amp;RIGHT("0"&amp;MONTH($A80),2))</f>
        <v/>
      </c>
      <c r="C80" s="13" t="n"/>
      <c r="D80" s="13" t="n"/>
      <c r="E80" s="13" t="n"/>
      <c r="F80" s="13" t="n"/>
      <c r="G80" s="40" t="n"/>
      <c r="H80" s="38" t="n"/>
      <c r="I80" s="38" t="n"/>
      <c r="J80" s="38" t="n"/>
      <c r="K80" s="24">
        <f>IF($H80="","",$H80-N($J80))</f>
        <v/>
      </c>
      <c r="L80" s="25">
        <f>IFERROR($K80/$H80,"")</f>
        <v/>
      </c>
      <c r="M80" s="39">
        <f>IFERROR(INDEX('10_CLIENTI'!$B$5:$B$204,MATCH($D80,'10_CLIENTI'!$A$5:$A$204,0)),"")</f>
        <v/>
      </c>
      <c r="N80" s="39">
        <f>IFERROR(INDEX('11_PRODUSE'!$B$5:$B$104,MATCH($E80,'11_PRODUSE'!$A$5:$A$104,0)),"")</f>
        <v/>
      </c>
      <c r="O80" s="13" t="n"/>
      <c r="P80" s="13" t="n"/>
    </row>
    <row r="81">
      <c r="A81" s="35" t="n"/>
      <c r="B81" s="39">
        <f>IF($A81="","",YEAR($A81)&amp;"-"&amp;RIGHT("0"&amp;MONTH($A81),2))</f>
        <v/>
      </c>
      <c r="C81" s="13" t="n"/>
      <c r="D81" s="13" t="n"/>
      <c r="E81" s="13" t="n"/>
      <c r="F81" s="13" t="n"/>
      <c r="G81" s="40" t="n"/>
      <c r="H81" s="38" t="n"/>
      <c r="I81" s="38" t="n"/>
      <c r="J81" s="38" t="n"/>
      <c r="K81" s="24">
        <f>IF($H81="","",$H81-N($J81))</f>
        <v/>
      </c>
      <c r="L81" s="25">
        <f>IFERROR($K81/$H81,"")</f>
        <v/>
      </c>
      <c r="M81" s="39">
        <f>IFERROR(INDEX('10_CLIENTI'!$B$5:$B$204,MATCH($D81,'10_CLIENTI'!$A$5:$A$204,0)),"")</f>
        <v/>
      </c>
      <c r="N81" s="39">
        <f>IFERROR(INDEX('11_PRODUSE'!$B$5:$B$104,MATCH($E81,'11_PRODUSE'!$A$5:$A$104,0)),"")</f>
        <v/>
      </c>
      <c r="O81" s="13" t="n"/>
      <c r="P81" s="13" t="n"/>
    </row>
    <row r="82">
      <c r="A82" s="35" t="n"/>
      <c r="B82" s="39">
        <f>IF($A82="","",YEAR($A82)&amp;"-"&amp;RIGHT("0"&amp;MONTH($A82),2))</f>
        <v/>
      </c>
      <c r="C82" s="13" t="n"/>
      <c r="D82" s="13" t="n"/>
      <c r="E82" s="13" t="n"/>
      <c r="F82" s="13" t="n"/>
      <c r="G82" s="40" t="n"/>
      <c r="H82" s="38" t="n"/>
      <c r="I82" s="38" t="n"/>
      <c r="J82" s="38" t="n"/>
      <c r="K82" s="24">
        <f>IF($H82="","",$H82-N($J82))</f>
        <v/>
      </c>
      <c r="L82" s="25">
        <f>IFERROR($K82/$H82,"")</f>
        <v/>
      </c>
      <c r="M82" s="39">
        <f>IFERROR(INDEX('10_CLIENTI'!$B$5:$B$204,MATCH($D82,'10_CLIENTI'!$A$5:$A$204,0)),"")</f>
        <v/>
      </c>
      <c r="N82" s="39">
        <f>IFERROR(INDEX('11_PRODUSE'!$B$5:$B$104,MATCH($E82,'11_PRODUSE'!$A$5:$A$104,0)),"")</f>
        <v/>
      </c>
      <c r="O82" s="13" t="n"/>
      <c r="P82" s="13" t="n"/>
    </row>
    <row r="83">
      <c r="A83" s="35" t="n"/>
      <c r="B83" s="39">
        <f>IF($A83="","",YEAR($A83)&amp;"-"&amp;RIGHT("0"&amp;MONTH($A83),2))</f>
        <v/>
      </c>
      <c r="C83" s="13" t="n"/>
      <c r="D83" s="13" t="n"/>
      <c r="E83" s="13" t="n"/>
      <c r="F83" s="13" t="n"/>
      <c r="G83" s="40" t="n"/>
      <c r="H83" s="38" t="n"/>
      <c r="I83" s="38" t="n"/>
      <c r="J83" s="38" t="n"/>
      <c r="K83" s="24">
        <f>IF($H83="","",$H83-N($J83))</f>
        <v/>
      </c>
      <c r="L83" s="25">
        <f>IFERROR($K83/$H83,"")</f>
        <v/>
      </c>
      <c r="M83" s="39">
        <f>IFERROR(INDEX('10_CLIENTI'!$B$5:$B$204,MATCH($D83,'10_CLIENTI'!$A$5:$A$204,0)),"")</f>
        <v/>
      </c>
      <c r="N83" s="39">
        <f>IFERROR(INDEX('11_PRODUSE'!$B$5:$B$104,MATCH($E83,'11_PRODUSE'!$A$5:$A$104,0)),"")</f>
        <v/>
      </c>
      <c r="O83" s="13" t="n"/>
      <c r="P83" s="13" t="n"/>
    </row>
    <row r="84">
      <c r="A84" s="35" t="n"/>
      <c r="B84" s="39">
        <f>IF($A84="","",YEAR($A84)&amp;"-"&amp;RIGHT("0"&amp;MONTH($A84),2))</f>
        <v/>
      </c>
      <c r="C84" s="13" t="n"/>
      <c r="D84" s="13" t="n"/>
      <c r="E84" s="13" t="n"/>
      <c r="F84" s="13" t="n"/>
      <c r="G84" s="40" t="n"/>
      <c r="H84" s="38" t="n"/>
      <c r="I84" s="38" t="n"/>
      <c r="J84" s="38" t="n"/>
      <c r="K84" s="24">
        <f>IF($H84="","",$H84-N($J84))</f>
        <v/>
      </c>
      <c r="L84" s="25">
        <f>IFERROR($K84/$H84,"")</f>
        <v/>
      </c>
      <c r="M84" s="39">
        <f>IFERROR(INDEX('10_CLIENTI'!$B$5:$B$204,MATCH($D84,'10_CLIENTI'!$A$5:$A$204,0)),"")</f>
        <v/>
      </c>
      <c r="N84" s="39">
        <f>IFERROR(INDEX('11_PRODUSE'!$B$5:$B$104,MATCH($E84,'11_PRODUSE'!$A$5:$A$104,0)),"")</f>
        <v/>
      </c>
      <c r="O84" s="13" t="n"/>
      <c r="P84" s="13" t="n"/>
    </row>
    <row r="85">
      <c r="A85" s="35" t="n"/>
      <c r="B85" s="39">
        <f>IF($A85="","",YEAR($A85)&amp;"-"&amp;RIGHT("0"&amp;MONTH($A85),2))</f>
        <v/>
      </c>
      <c r="C85" s="13" t="n"/>
      <c r="D85" s="13" t="n"/>
      <c r="E85" s="13" t="n"/>
      <c r="F85" s="13" t="n"/>
      <c r="G85" s="40" t="n"/>
      <c r="H85" s="38" t="n"/>
      <c r="I85" s="38" t="n"/>
      <c r="J85" s="38" t="n"/>
      <c r="K85" s="24">
        <f>IF($H85="","",$H85-N($J85))</f>
        <v/>
      </c>
      <c r="L85" s="25">
        <f>IFERROR($K85/$H85,"")</f>
        <v/>
      </c>
      <c r="M85" s="39">
        <f>IFERROR(INDEX('10_CLIENTI'!$B$5:$B$204,MATCH($D85,'10_CLIENTI'!$A$5:$A$204,0)),"")</f>
        <v/>
      </c>
      <c r="N85" s="39">
        <f>IFERROR(INDEX('11_PRODUSE'!$B$5:$B$104,MATCH($E85,'11_PRODUSE'!$A$5:$A$104,0)),"")</f>
        <v/>
      </c>
      <c r="O85" s="13" t="n"/>
      <c r="P85" s="13" t="n"/>
    </row>
    <row r="86">
      <c r="A86" s="35" t="n"/>
      <c r="B86" s="39">
        <f>IF($A86="","",YEAR($A86)&amp;"-"&amp;RIGHT("0"&amp;MONTH($A86),2))</f>
        <v/>
      </c>
      <c r="C86" s="13" t="n"/>
      <c r="D86" s="13" t="n"/>
      <c r="E86" s="13" t="n"/>
      <c r="F86" s="13" t="n"/>
      <c r="G86" s="40" t="n"/>
      <c r="H86" s="38" t="n"/>
      <c r="I86" s="38" t="n"/>
      <c r="J86" s="38" t="n"/>
      <c r="K86" s="24">
        <f>IF($H86="","",$H86-N($J86))</f>
        <v/>
      </c>
      <c r="L86" s="25">
        <f>IFERROR($K86/$H86,"")</f>
        <v/>
      </c>
      <c r="M86" s="39">
        <f>IFERROR(INDEX('10_CLIENTI'!$B$5:$B$204,MATCH($D86,'10_CLIENTI'!$A$5:$A$204,0)),"")</f>
        <v/>
      </c>
      <c r="N86" s="39">
        <f>IFERROR(INDEX('11_PRODUSE'!$B$5:$B$104,MATCH($E86,'11_PRODUSE'!$A$5:$A$104,0)),"")</f>
        <v/>
      </c>
      <c r="O86" s="13" t="n"/>
      <c r="P86" s="13" t="n"/>
    </row>
    <row r="87">
      <c r="A87" s="35" t="n"/>
      <c r="B87" s="39">
        <f>IF($A87="","",YEAR($A87)&amp;"-"&amp;RIGHT("0"&amp;MONTH($A87),2))</f>
        <v/>
      </c>
      <c r="C87" s="13" t="n"/>
      <c r="D87" s="13" t="n"/>
      <c r="E87" s="13" t="n"/>
      <c r="F87" s="13" t="n"/>
      <c r="G87" s="40" t="n"/>
      <c r="H87" s="38" t="n"/>
      <c r="I87" s="38" t="n"/>
      <c r="J87" s="38" t="n"/>
      <c r="K87" s="24">
        <f>IF($H87="","",$H87-N($J87))</f>
        <v/>
      </c>
      <c r="L87" s="25">
        <f>IFERROR($K87/$H87,"")</f>
        <v/>
      </c>
      <c r="M87" s="39">
        <f>IFERROR(INDEX('10_CLIENTI'!$B$5:$B$204,MATCH($D87,'10_CLIENTI'!$A$5:$A$204,0)),"")</f>
        <v/>
      </c>
      <c r="N87" s="39">
        <f>IFERROR(INDEX('11_PRODUSE'!$B$5:$B$104,MATCH($E87,'11_PRODUSE'!$A$5:$A$104,0)),"")</f>
        <v/>
      </c>
      <c r="O87" s="13" t="n"/>
      <c r="P87" s="13" t="n"/>
    </row>
    <row r="88">
      <c r="A88" s="35" t="n"/>
      <c r="B88" s="39">
        <f>IF($A88="","",YEAR($A88)&amp;"-"&amp;RIGHT("0"&amp;MONTH($A88),2))</f>
        <v/>
      </c>
      <c r="C88" s="13" t="n"/>
      <c r="D88" s="13" t="n"/>
      <c r="E88" s="13" t="n"/>
      <c r="F88" s="13" t="n"/>
      <c r="G88" s="40" t="n"/>
      <c r="H88" s="38" t="n"/>
      <c r="I88" s="38" t="n"/>
      <c r="J88" s="38" t="n"/>
      <c r="K88" s="24">
        <f>IF($H88="","",$H88-N($J88))</f>
        <v/>
      </c>
      <c r="L88" s="25">
        <f>IFERROR($K88/$H88,"")</f>
        <v/>
      </c>
      <c r="M88" s="39">
        <f>IFERROR(INDEX('10_CLIENTI'!$B$5:$B$204,MATCH($D88,'10_CLIENTI'!$A$5:$A$204,0)),"")</f>
        <v/>
      </c>
      <c r="N88" s="39">
        <f>IFERROR(INDEX('11_PRODUSE'!$B$5:$B$104,MATCH($E88,'11_PRODUSE'!$A$5:$A$104,0)),"")</f>
        <v/>
      </c>
      <c r="O88" s="13" t="n"/>
      <c r="P88" s="13" t="n"/>
    </row>
    <row r="89">
      <c r="A89" s="35" t="n"/>
      <c r="B89" s="39">
        <f>IF($A89="","",YEAR($A89)&amp;"-"&amp;RIGHT("0"&amp;MONTH($A89),2))</f>
        <v/>
      </c>
      <c r="C89" s="13" t="n"/>
      <c r="D89" s="13" t="n"/>
      <c r="E89" s="13" t="n"/>
      <c r="F89" s="13" t="n"/>
      <c r="G89" s="40" t="n"/>
      <c r="H89" s="38" t="n"/>
      <c r="I89" s="38" t="n"/>
      <c r="J89" s="38" t="n"/>
      <c r="K89" s="24">
        <f>IF($H89="","",$H89-N($J89))</f>
        <v/>
      </c>
      <c r="L89" s="25">
        <f>IFERROR($K89/$H89,"")</f>
        <v/>
      </c>
      <c r="M89" s="39">
        <f>IFERROR(INDEX('10_CLIENTI'!$B$5:$B$204,MATCH($D89,'10_CLIENTI'!$A$5:$A$204,0)),"")</f>
        <v/>
      </c>
      <c r="N89" s="39">
        <f>IFERROR(INDEX('11_PRODUSE'!$B$5:$B$104,MATCH($E89,'11_PRODUSE'!$A$5:$A$104,0)),"")</f>
        <v/>
      </c>
      <c r="O89" s="13" t="n"/>
      <c r="P89" s="13" t="n"/>
    </row>
    <row r="90">
      <c r="A90" s="35" t="n"/>
      <c r="B90" s="39">
        <f>IF($A90="","",YEAR($A90)&amp;"-"&amp;RIGHT("0"&amp;MONTH($A90),2))</f>
        <v/>
      </c>
      <c r="C90" s="13" t="n"/>
      <c r="D90" s="13" t="n"/>
      <c r="E90" s="13" t="n"/>
      <c r="F90" s="13" t="n"/>
      <c r="G90" s="40" t="n"/>
      <c r="H90" s="38" t="n"/>
      <c r="I90" s="38" t="n"/>
      <c r="J90" s="38" t="n"/>
      <c r="K90" s="24">
        <f>IF($H90="","",$H90-N($J90))</f>
        <v/>
      </c>
      <c r="L90" s="25">
        <f>IFERROR($K90/$H90,"")</f>
        <v/>
      </c>
      <c r="M90" s="39">
        <f>IFERROR(INDEX('10_CLIENTI'!$B$5:$B$204,MATCH($D90,'10_CLIENTI'!$A$5:$A$204,0)),"")</f>
        <v/>
      </c>
      <c r="N90" s="39">
        <f>IFERROR(INDEX('11_PRODUSE'!$B$5:$B$104,MATCH($E90,'11_PRODUSE'!$A$5:$A$104,0)),"")</f>
        <v/>
      </c>
      <c r="O90" s="13" t="n"/>
      <c r="P90" s="13" t="n"/>
    </row>
    <row r="91">
      <c r="A91" s="35" t="n"/>
      <c r="B91" s="39">
        <f>IF($A91="","",YEAR($A91)&amp;"-"&amp;RIGHT("0"&amp;MONTH($A91),2))</f>
        <v/>
      </c>
      <c r="C91" s="13" t="n"/>
      <c r="D91" s="13" t="n"/>
      <c r="E91" s="13" t="n"/>
      <c r="F91" s="13" t="n"/>
      <c r="G91" s="40" t="n"/>
      <c r="H91" s="38" t="n"/>
      <c r="I91" s="38" t="n"/>
      <c r="J91" s="38" t="n"/>
      <c r="K91" s="24">
        <f>IF($H91="","",$H91-N($J91))</f>
        <v/>
      </c>
      <c r="L91" s="25">
        <f>IFERROR($K91/$H91,"")</f>
        <v/>
      </c>
      <c r="M91" s="39">
        <f>IFERROR(INDEX('10_CLIENTI'!$B$5:$B$204,MATCH($D91,'10_CLIENTI'!$A$5:$A$204,0)),"")</f>
        <v/>
      </c>
      <c r="N91" s="39">
        <f>IFERROR(INDEX('11_PRODUSE'!$B$5:$B$104,MATCH($E91,'11_PRODUSE'!$A$5:$A$104,0)),"")</f>
        <v/>
      </c>
      <c r="O91" s="13" t="n"/>
      <c r="P91" s="13" t="n"/>
    </row>
    <row r="92">
      <c r="A92" s="35" t="n"/>
      <c r="B92" s="39">
        <f>IF($A92="","",YEAR($A92)&amp;"-"&amp;RIGHT("0"&amp;MONTH($A92),2))</f>
        <v/>
      </c>
      <c r="C92" s="13" t="n"/>
      <c r="D92" s="13" t="n"/>
      <c r="E92" s="13" t="n"/>
      <c r="F92" s="13" t="n"/>
      <c r="G92" s="40" t="n"/>
      <c r="H92" s="38" t="n"/>
      <c r="I92" s="38" t="n"/>
      <c r="J92" s="38" t="n"/>
      <c r="K92" s="24">
        <f>IF($H92="","",$H92-N($J92))</f>
        <v/>
      </c>
      <c r="L92" s="25">
        <f>IFERROR($K92/$H92,"")</f>
        <v/>
      </c>
      <c r="M92" s="39">
        <f>IFERROR(INDEX('10_CLIENTI'!$B$5:$B$204,MATCH($D92,'10_CLIENTI'!$A$5:$A$204,0)),"")</f>
        <v/>
      </c>
      <c r="N92" s="39">
        <f>IFERROR(INDEX('11_PRODUSE'!$B$5:$B$104,MATCH($E92,'11_PRODUSE'!$A$5:$A$104,0)),"")</f>
        <v/>
      </c>
      <c r="O92" s="13" t="n"/>
      <c r="P92" s="13" t="n"/>
    </row>
    <row r="93">
      <c r="A93" s="35" t="n"/>
      <c r="B93" s="39">
        <f>IF($A93="","",YEAR($A93)&amp;"-"&amp;RIGHT("0"&amp;MONTH($A93),2))</f>
        <v/>
      </c>
      <c r="C93" s="13" t="n"/>
      <c r="D93" s="13" t="n"/>
      <c r="E93" s="13" t="n"/>
      <c r="F93" s="13" t="n"/>
      <c r="G93" s="40" t="n"/>
      <c r="H93" s="38" t="n"/>
      <c r="I93" s="38" t="n"/>
      <c r="J93" s="38" t="n"/>
      <c r="K93" s="24">
        <f>IF($H93="","",$H93-N($J93))</f>
        <v/>
      </c>
      <c r="L93" s="25">
        <f>IFERROR($K93/$H93,"")</f>
        <v/>
      </c>
      <c r="M93" s="39">
        <f>IFERROR(INDEX('10_CLIENTI'!$B$5:$B$204,MATCH($D93,'10_CLIENTI'!$A$5:$A$204,0)),"")</f>
        <v/>
      </c>
      <c r="N93" s="39">
        <f>IFERROR(INDEX('11_PRODUSE'!$B$5:$B$104,MATCH($E93,'11_PRODUSE'!$A$5:$A$104,0)),"")</f>
        <v/>
      </c>
      <c r="O93" s="13" t="n"/>
      <c r="P93" s="13" t="n"/>
    </row>
    <row r="94">
      <c r="A94" s="35" t="n"/>
      <c r="B94" s="39">
        <f>IF($A94="","",YEAR($A94)&amp;"-"&amp;RIGHT("0"&amp;MONTH($A94),2))</f>
        <v/>
      </c>
      <c r="C94" s="13" t="n"/>
      <c r="D94" s="13" t="n"/>
      <c r="E94" s="13" t="n"/>
      <c r="F94" s="13" t="n"/>
      <c r="G94" s="40" t="n"/>
      <c r="H94" s="38" t="n"/>
      <c r="I94" s="38" t="n"/>
      <c r="J94" s="38" t="n"/>
      <c r="K94" s="24">
        <f>IF($H94="","",$H94-N($J94))</f>
        <v/>
      </c>
      <c r="L94" s="25">
        <f>IFERROR($K94/$H94,"")</f>
        <v/>
      </c>
      <c r="M94" s="39">
        <f>IFERROR(INDEX('10_CLIENTI'!$B$5:$B$204,MATCH($D94,'10_CLIENTI'!$A$5:$A$204,0)),"")</f>
        <v/>
      </c>
      <c r="N94" s="39">
        <f>IFERROR(INDEX('11_PRODUSE'!$B$5:$B$104,MATCH($E94,'11_PRODUSE'!$A$5:$A$104,0)),"")</f>
        <v/>
      </c>
      <c r="O94" s="13" t="n"/>
      <c r="P94" s="13" t="n"/>
    </row>
    <row r="95">
      <c r="A95" s="35" t="n"/>
      <c r="B95" s="39">
        <f>IF($A95="","",YEAR($A95)&amp;"-"&amp;RIGHT("0"&amp;MONTH($A95),2))</f>
        <v/>
      </c>
      <c r="C95" s="13" t="n"/>
      <c r="D95" s="13" t="n"/>
      <c r="E95" s="13" t="n"/>
      <c r="F95" s="13" t="n"/>
      <c r="G95" s="40" t="n"/>
      <c r="H95" s="38" t="n"/>
      <c r="I95" s="38" t="n"/>
      <c r="J95" s="38" t="n"/>
      <c r="K95" s="24">
        <f>IF($H95="","",$H95-N($J95))</f>
        <v/>
      </c>
      <c r="L95" s="25">
        <f>IFERROR($K95/$H95,"")</f>
        <v/>
      </c>
      <c r="M95" s="39">
        <f>IFERROR(INDEX('10_CLIENTI'!$B$5:$B$204,MATCH($D95,'10_CLIENTI'!$A$5:$A$204,0)),"")</f>
        <v/>
      </c>
      <c r="N95" s="39">
        <f>IFERROR(INDEX('11_PRODUSE'!$B$5:$B$104,MATCH($E95,'11_PRODUSE'!$A$5:$A$104,0)),"")</f>
        <v/>
      </c>
      <c r="O95" s="13" t="n"/>
      <c r="P95" s="13" t="n"/>
    </row>
    <row r="96">
      <c r="A96" s="35" t="n"/>
      <c r="B96" s="39">
        <f>IF($A96="","",YEAR($A96)&amp;"-"&amp;RIGHT("0"&amp;MONTH($A96),2))</f>
        <v/>
      </c>
      <c r="C96" s="13" t="n"/>
      <c r="D96" s="13" t="n"/>
      <c r="E96" s="13" t="n"/>
      <c r="F96" s="13" t="n"/>
      <c r="G96" s="40" t="n"/>
      <c r="H96" s="38" t="n"/>
      <c r="I96" s="38" t="n"/>
      <c r="J96" s="38" t="n"/>
      <c r="K96" s="24">
        <f>IF($H96="","",$H96-N($J96))</f>
        <v/>
      </c>
      <c r="L96" s="25">
        <f>IFERROR($K96/$H96,"")</f>
        <v/>
      </c>
      <c r="M96" s="39">
        <f>IFERROR(INDEX('10_CLIENTI'!$B$5:$B$204,MATCH($D96,'10_CLIENTI'!$A$5:$A$204,0)),"")</f>
        <v/>
      </c>
      <c r="N96" s="39">
        <f>IFERROR(INDEX('11_PRODUSE'!$B$5:$B$104,MATCH($E96,'11_PRODUSE'!$A$5:$A$104,0)),"")</f>
        <v/>
      </c>
      <c r="O96" s="13" t="n"/>
      <c r="P96" s="13" t="n"/>
    </row>
    <row r="97">
      <c r="A97" s="35" t="n"/>
      <c r="B97" s="39">
        <f>IF($A97="","",YEAR($A97)&amp;"-"&amp;RIGHT("0"&amp;MONTH($A97),2))</f>
        <v/>
      </c>
      <c r="C97" s="13" t="n"/>
      <c r="D97" s="13" t="n"/>
      <c r="E97" s="13" t="n"/>
      <c r="F97" s="13" t="n"/>
      <c r="G97" s="40" t="n"/>
      <c r="H97" s="38" t="n"/>
      <c r="I97" s="38" t="n"/>
      <c r="J97" s="38" t="n"/>
      <c r="K97" s="24">
        <f>IF($H97="","",$H97-N($J97))</f>
        <v/>
      </c>
      <c r="L97" s="25">
        <f>IFERROR($K97/$H97,"")</f>
        <v/>
      </c>
      <c r="M97" s="39">
        <f>IFERROR(INDEX('10_CLIENTI'!$B$5:$B$204,MATCH($D97,'10_CLIENTI'!$A$5:$A$204,0)),"")</f>
        <v/>
      </c>
      <c r="N97" s="39">
        <f>IFERROR(INDEX('11_PRODUSE'!$B$5:$B$104,MATCH($E97,'11_PRODUSE'!$A$5:$A$104,0)),"")</f>
        <v/>
      </c>
      <c r="O97" s="13" t="n"/>
      <c r="P97" s="13" t="n"/>
    </row>
    <row r="98">
      <c r="A98" s="35" t="n"/>
      <c r="B98" s="39">
        <f>IF($A98="","",YEAR($A98)&amp;"-"&amp;RIGHT("0"&amp;MONTH($A98),2))</f>
        <v/>
      </c>
      <c r="C98" s="13" t="n"/>
      <c r="D98" s="13" t="n"/>
      <c r="E98" s="13" t="n"/>
      <c r="F98" s="13" t="n"/>
      <c r="G98" s="40" t="n"/>
      <c r="H98" s="38" t="n"/>
      <c r="I98" s="38" t="n"/>
      <c r="J98" s="38" t="n"/>
      <c r="K98" s="24">
        <f>IF($H98="","",$H98-N($J98))</f>
        <v/>
      </c>
      <c r="L98" s="25">
        <f>IFERROR($K98/$H98,"")</f>
        <v/>
      </c>
      <c r="M98" s="39">
        <f>IFERROR(INDEX('10_CLIENTI'!$B$5:$B$204,MATCH($D98,'10_CLIENTI'!$A$5:$A$204,0)),"")</f>
        <v/>
      </c>
      <c r="N98" s="39">
        <f>IFERROR(INDEX('11_PRODUSE'!$B$5:$B$104,MATCH($E98,'11_PRODUSE'!$A$5:$A$104,0)),"")</f>
        <v/>
      </c>
      <c r="O98" s="13" t="n"/>
      <c r="P98" s="13" t="n"/>
    </row>
    <row r="99">
      <c r="A99" s="35" t="n"/>
      <c r="B99" s="39">
        <f>IF($A99="","",YEAR($A99)&amp;"-"&amp;RIGHT("0"&amp;MONTH($A99),2))</f>
        <v/>
      </c>
      <c r="C99" s="13" t="n"/>
      <c r="D99" s="13" t="n"/>
      <c r="E99" s="13" t="n"/>
      <c r="F99" s="13" t="n"/>
      <c r="G99" s="40" t="n"/>
      <c r="H99" s="38" t="n"/>
      <c r="I99" s="38" t="n"/>
      <c r="J99" s="38" t="n"/>
      <c r="K99" s="24">
        <f>IF($H99="","",$H99-N($J99))</f>
        <v/>
      </c>
      <c r="L99" s="25">
        <f>IFERROR($K99/$H99,"")</f>
        <v/>
      </c>
      <c r="M99" s="39">
        <f>IFERROR(INDEX('10_CLIENTI'!$B$5:$B$204,MATCH($D99,'10_CLIENTI'!$A$5:$A$204,0)),"")</f>
        <v/>
      </c>
      <c r="N99" s="39">
        <f>IFERROR(INDEX('11_PRODUSE'!$B$5:$B$104,MATCH($E99,'11_PRODUSE'!$A$5:$A$104,0)),"")</f>
        <v/>
      </c>
      <c r="O99" s="13" t="n"/>
      <c r="P99" s="13" t="n"/>
    </row>
    <row r="100">
      <c r="A100" s="35" t="n"/>
      <c r="B100" s="39">
        <f>IF($A100="","",YEAR($A100)&amp;"-"&amp;RIGHT("0"&amp;MONTH($A100),2))</f>
        <v/>
      </c>
      <c r="C100" s="13" t="n"/>
      <c r="D100" s="13" t="n"/>
      <c r="E100" s="13" t="n"/>
      <c r="F100" s="13" t="n"/>
      <c r="G100" s="40" t="n"/>
      <c r="H100" s="38" t="n"/>
      <c r="I100" s="38" t="n"/>
      <c r="J100" s="38" t="n"/>
      <c r="K100" s="24">
        <f>IF($H100="","",$H100-N($J100))</f>
        <v/>
      </c>
      <c r="L100" s="25">
        <f>IFERROR($K100/$H100,"")</f>
        <v/>
      </c>
      <c r="M100" s="39">
        <f>IFERROR(INDEX('10_CLIENTI'!$B$5:$B$204,MATCH($D100,'10_CLIENTI'!$A$5:$A$204,0)),"")</f>
        <v/>
      </c>
      <c r="N100" s="39">
        <f>IFERROR(INDEX('11_PRODUSE'!$B$5:$B$104,MATCH($E100,'11_PRODUSE'!$A$5:$A$104,0)),"")</f>
        <v/>
      </c>
      <c r="O100" s="13" t="n"/>
      <c r="P100" s="13" t="n"/>
    </row>
    <row r="101">
      <c r="A101" s="35" t="n"/>
      <c r="B101" s="39">
        <f>IF($A101="","",YEAR($A101)&amp;"-"&amp;RIGHT("0"&amp;MONTH($A101),2))</f>
        <v/>
      </c>
      <c r="C101" s="13" t="n"/>
      <c r="D101" s="13" t="n"/>
      <c r="E101" s="13" t="n"/>
      <c r="F101" s="13" t="n"/>
      <c r="G101" s="40" t="n"/>
      <c r="H101" s="38" t="n"/>
      <c r="I101" s="38" t="n"/>
      <c r="J101" s="38" t="n"/>
      <c r="K101" s="24">
        <f>IF($H101="","",$H101-N($J101))</f>
        <v/>
      </c>
      <c r="L101" s="25">
        <f>IFERROR($K101/$H101,"")</f>
        <v/>
      </c>
      <c r="M101" s="39">
        <f>IFERROR(INDEX('10_CLIENTI'!$B$5:$B$204,MATCH($D101,'10_CLIENTI'!$A$5:$A$204,0)),"")</f>
        <v/>
      </c>
      <c r="N101" s="39">
        <f>IFERROR(INDEX('11_PRODUSE'!$B$5:$B$104,MATCH($E101,'11_PRODUSE'!$A$5:$A$104,0)),"")</f>
        <v/>
      </c>
      <c r="O101" s="13" t="n"/>
      <c r="P101" s="13" t="n"/>
    </row>
    <row r="102">
      <c r="A102" s="35" t="n"/>
      <c r="B102" s="39">
        <f>IF($A102="","",YEAR($A102)&amp;"-"&amp;RIGHT("0"&amp;MONTH($A102),2))</f>
        <v/>
      </c>
      <c r="C102" s="13" t="n"/>
      <c r="D102" s="13" t="n"/>
      <c r="E102" s="13" t="n"/>
      <c r="F102" s="13" t="n"/>
      <c r="G102" s="40" t="n"/>
      <c r="H102" s="38" t="n"/>
      <c r="I102" s="38" t="n"/>
      <c r="J102" s="38" t="n"/>
      <c r="K102" s="24">
        <f>IF($H102="","",$H102-N($J102))</f>
        <v/>
      </c>
      <c r="L102" s="25">
        <f>IFERROR($K102/$H102,"")</f>
        <v/>
      </c>
      <c r="M102" s="39">
        <f>IFERROR(INDEX('10_CLIENTI'!$B$5:$B$204,MATCH($D102,'10_CLIENTI'!$A$5:$A$204,0)),"")</f>
        <v/>
      </c>
      <c r="N102" s="39">
        <f>IFERROR(INDEX('11_PRODUSE'!$B$5:$B$104,MATCH($E102,'11_PRODUSE'!$A$5:$A$104,0)),"")</f>
        <v/>
      </c>
      <c r="O102" s="13" t="n"/>
      <c r="P102" s="13" t="n"/>
    </row>
    <row r="103">
      <c r="A103" s="35" t="n"/>
      <c r="B103" s="39">
        <f>IF($A103="","",YEAR($A103)&amp;"-"&amp;RIGHT("0"&amp;MONTH($A103),2))</f>
        <v/>
      </c>
      <c r="C103" s="13" t="n"/>
      <c r="D103" s="13" t="n"/>
      <c r="E103" s="13" t="n"/>
      <c r="F103" s="13" t="n"/>
      <c r="G103" s="40" t="n"/>
      <c r="H103" s="38" t="n"/>
      <c r="I103" s="38" t="n"/>
      <c r="J103" s="38" t="n"/>
      <c r="K103" s="24">
        <f>IF($H103="","",$H103-N($J103))</f>
        <v/>
      </c>
      <c r="L103" s="25">
        <f>IFERROR($K103/$H103,"")</f>
        <v/>
      </c>
      <c r="M103" s="39">
        <f>IFERROR(INDEX('10_CLIENTI'!$B$5:$B$204,MATCH($D103,'10_CLIENTI'!$A$5:$A$204,0)),"")</f>
        <v/>
      </c>
      <c r="N103" s="39">
        <f>IFERROR(INDEX('11_PRODUSE'!$B$5:$B$104,MATCH($E103,'11_PRODUSE'!$A$5:$A$104,0)),"")</f>
        <v/>
      </c>
      <c r="O103" s="13" t="n"/>
      <c r="P103" s="13" t="n"/>
    </row>
    <row r="104">
      <c r="A104" s="35" t="n"/>
      <c r="B104" s="39">
        <f>IF($A104="","",YEAR($A104)&amp;"-"&amp;RIGHT("0"&amp;MONTH($A104),2))</f>
        <v/>
      </c>
      <c r="C104" s="13" t="n"/>
      <c r="D104" s="13" t="n"/>
      <c r="E104" s="13" t="n"/>
      <c r="F104" s="13" t="n"/>
      <c r="G104" s="40" t="n"/>
      <c r="H104" s="38" t="n"/>
      <c r="I104" s="38" t="n"/>
      <c r="J104" s="38" t="n"/>
      <c r="K104" s="24">
        <f>IF($H104="","",$H104-N($J104))</f>
        <v/>
      </c>
      <c r="L104" s="25">
        <f>IFERROR($K104/$H104,"")</f>
        <v/>
      </c>
      <c r="M104" s="39">
        <f>IFERROR(INDEX('10_CLIENTI'!$B$5:$B$204,MATCH($D104,'10_CLIENTI'!$A$5:$A$204,0)),"")</f>
        <v/>
      </c>
      <c r="N104" s="39">
        <f>IFERROR(INDEX('11_PRODUSE'!$B$5:$B$104,MATCH($E104,'11_PRODUSE'!$A$5:$A$104,0)),"")</f>
        <v/>
      </c>
      <c r="O104" s="13" t="n"/>
      <c r="P104" s="13" t="n"/>
    </row>
    <row r="105">
      <c r="A105" s="35" t="n"/>
      <c r="B105" s="39">
        <f>IF($A105="","",YEAR($A105)&amp;"-"&amp;RIGHT("0"&amp;MONTH($A105),2))</f>
        <v/>
      </c>
      <c r="C105" s="13" t="n"/>
      <c r="D105" s="13" t="n"/>
      <c r="E105" s="13" t="n"/>
      <c r="F105" s="13" t="n"/>
      <c r="G105" s="40" t="n"/>
      <c r="H105" s="38" t="n"/>
      <c r="I105" s="38" t="n"/>
      <c r="J105" s="38" t="n"/>
      <c r="K105" s="24">
        <f>IF($H105="","",$H105-N($J105))</f>
        <v/>
      </c>
      <c r="L105" s="25">
        <f>IFERROR($K105/$H105,"")</f>
        <v/>
      </c>
      <c r="M105" s="39">
        <f>IFERROR(INDEX('10_CLIENTI'!$B$5:$B$204,MATCH($D105,'10_CLIENTI'!$A$5:$A$204,0)),"")</f>
        <v/>
      </c>
      <c r="N105" s="39">
        <f>IFERROR(INDEX('11_PRODUSE'!$B$5:$B$104,MATCH($E105,'11_PRODUSE'!$A$5:$A$104,0)),"")</f>
        <v/>
      </c>
      <c r="O105" s="13" t="n"/>
      <c r="P105" s="13" t="n"/>
    </row>
    <row r="106">
      <c r="A106" s="35" t="n"/>
      <c r="B106" s="39">
        <f>IF($A106="","",YEAR($A106)&amp;"-"&amp;RIGHT("0"&amp;MONTH($A106),2))</f>
        <v/>
      </c>
      <c r="C106" s="13" t="n"/>
      <c r="D106" s="13" t="n"/>
      <c r="E106" s="13" t="n"/>
      <c r="F106" s="13" t="n"/>
      <c r="G106" s="40" t="n"/>
      <c r="H106" s="38" t="n"/>
      <c r="I106" s="38" t="n"/>
      <c r="J106" s="38" t="n"/>
      <c r="K106" s="24">
        <f>IF($H106="","",$H106-N($J106))</f>
        <v/>
      </c>
      <c r="L106" s="25">
        <f>IFERROR($K106/$H106,"")</f>
        <v/>
      </c>
      <c r="M106" s="39">
        <f>IFERROR(INDEX('10_CLIENTI'!$B$5:$B$204,MATCH($D106,'10_CLIENTI'!$A$5:$A$204,0)),"")</f>
        <v/>
      </c>
      <c r="N106" s="39">
        <f>IFERROR(INDEX('11_PRODUSE'!$B$5:$B$104,MATCH($E106,'11_PRODUSE'!$A$5:$A$104,0)),"")</f>
        <v/>
      </c>
      <c r="O106" s="13" t="n"/>
      <c r="P106" s="13" t="n"/>
    </row>
    <row r="107">
      <c r="A107" s="35" t="n"/>
      <c r="B107" s="39">
        <f>IF($A107="","",YEAR($A107)&amp;"-"&amp;RIGHT("0"&amp;MONTH($A107),2))</f>
        <v/>
      </c>
      <c r="C107" s="13" t="n"/>
      <c r="D107" s="13" t="n"/>
      <c r="E107" s="13" t="n"/>
      <c r="F107" s="13" t="n"/>
      <c r="G107" s="40" t="n"/>
      <c r="H107" s="38" t="n"/>
      <c r="I107" s="38" t="n"/>
      <c r="J107" s="38" t="n"/>
      <c r="K107" s="24">
        <f>IF($H107="","",$H107-N($J107))</f>
        <v/>
      </c>
      <c r="L107" s="25">
        <f>IFERROR($K107/$H107,"")</f>
        <v/>
      </c>
      <c r="M107" s="39">
        <f>IFERROR(INDEX('10_CLIENTI'!$B$5:$B$204,MATCH($D107,'10_CLIENTI'!$A$5:$A$204,0)),"")</f>
        <v/>
      </c>
      <c r="N107" s="39">
        <f>IFERROR(INDEX('11_PRODUSE'!$B$5:$B$104,MATCH($E107,'11_PRODUSE'!$A$5:$A$104,0)),"")</f>
        <v/>
      </c>
      <c r="O107" s="13" t="n"/>
      <c r="P107" s="13" t="n"/>
    </row>
    <row r="108">
      <c r="A108" s="35" t="n"/>
      <c r="B108" s="39">
        <f>IF($A108="","",YEAR($A108)&amp;"-"&amp;RIGHT("0"&amp;MONTH($A108),2))</f>
        <v/>
      </c>
      <c r="C108" s="13" t="n"/>
      <c r="D108" s="13" t="n"/>
      <c r="E108" s="13" t="n"/>
      <c r="F108" s="13" t="n"/>
      <c r="G108" s="40" t="n"/>
      <c r="H108" s="38" t="n"/>
      <c r="I108" s="38" t="n"/>
      <c r="J108" s="38" t="n"/>
      <c r="K108" s="24">
        <f>IF($H108="","",$H108-N($J108))</f>
        <v/>
      </c>
      <c r="L108" s="25">
        <f>IFERROR($K108/$H108,"")</f>
        <v/>
      </c>
      <c r="M108" s="39">
        <f>IFERROR(INDEX('10_CLIENTI'!$B$5:$B$204,MATCH($D108,'10_CLIENTI'!$A$5:$A$204,0)),"")</f>
        <v/>
      </c>
      <c r="N108" s="39">
        <f>IFERROR(INDEX('11_PRODUSE'!$B$5:$B$104,MATCH($E108,'11_PRODUSE'!$A$5:$A$104,0)),"")</f>
        <v/>
      </c>
      <c r="O108" s="13" t="n"/>
      <c r="P108" s="13" t="n"/>
    </row>
    <row r="109">
      <c r="A109" s="35" t="n"/>
      <c r="B109" s="39">
        <f>IF($A109="","",YEAR($A109)&amp;"-"&amp;RIGHT("0"&amp;MONTH($A109),2))</f>
        <v/>
      </c>
      <c r="C109" s="13" t="n"/>
      <c r="D109" s="13" t="n"/>
      <c r="E109" s="13" t="n"/>
      <c r="F109" s="13" t="n"/>
      <c r="G109" s="40" t="n"/>
      <c r="H109" s="38" t="n"/>
      <c r="I109" s="38" t="n"/>
      <c r="J109" s="38" t="n"/>
      <c r="K109" s="24">
        <f>IF($H109="","",$H109-N($J109))</f>
        <v/>
      </c>
      <c r="L109" s="25">
        <f>IFERROR($K109/$H109,"")</f>
        <v/>
      </c>
      <c r="M109" s="39">
        <f>IFERROR(INDEX('10_CLIENTI'!$B$5:$B$204,MATCH($D109,'10_CLIENTI'!$A$5:$A$204,0)),"")</f>
        <v/>
      </c>
      <c r="N109" s="39">
        <f>IFERROR(INDEX('11_PRODUSE'!$B$5:$B$104,MATCH($E109,'11_PRODUSE'!$A$5:$A$104,0)),"")</f>
        <v/>
      </c>
      <c r="O109" s="13" t="n"/>
      <c r="P109" s="13" t="n"/>
    </row>
    <row r="110">
      <c r="A110" s="35" t="n"/>
      <c r="B110" s="39">
        <f>IF($A110="","",YEAR($A110)&amp;"-"&amp;RIGHT("0"&amp;MONTH($A110),2))</f>
        <v/>
      </c>
      <c r="C110" s="13" t="n"/>
      <c r="D110" s="13" t="n"/>
      <c r="E110" s="13" t="n"/>
      <c r="F110" s="13" t="n"/>
      <c r="G110" s="40" t="n"/>
      <c r="H110" s="38" t="n"/>
      <c r="I110" s="38" t="n"/>
      <c r="J110" s="38" t="n"/>
      <c r="K110" s="24">
        <f>IF($H110="","",$H110-N($J110))</f>
        <v/>
      </c>
      <c r="L110" s="25">
        <f>IFERROR($K110/$H110,"")</f>
        <v/>
      </c>
      <c r="M110" s="39">
        <f>IFERROR(INDEX('10_CLIENTI'!$B$5:$B$204,MATCH($D110,'10_CLIENTI'!$A$5:$A$204,0)),"")</f>
        <v/>
      </c>
      <c r="N110" s="39">
        <f>IFERROR(INDEX('11_PRODUSE'!$B$5:$B$104,MATCH($E110,'11_PRODUSE'!$A$5:$A$104,0)),"")</f>
        <v/>
      </c>
      <c r="O110" s="13" t="n"/>
      <c r="P110" s="13" t="n"/>
    </row>
    <row r="111">
      <c r="A111" s="35" t="n"/>
      <c r="B111" s="39">
        <f>IF($A111="","",YEAR($A111)&amp;"-"&amp;RIGHT("0"&amp;MONTH($A111),2))</f>
        <v/>
      </c>
      <c r="C111" s="13" t="n"/>
      <c r="D111" s="13" t="n"/>
      <c r="E111" s="13" t="n"/>
      <c r="F111" s="13" t="n"/>
      <c r="G111" s="40" t="n"/>
      <c r="H111" s="38" t="n"/>
      <c r="I111" s="38" t="n"/>
      <c r="J111" s="38" t="n"/>
      <c r="K111" s="24">
        <f>IF($H111="","",$H111-N($J111))</f>
        <v/>
      </c>
      <c r="L111" s="25">
        <f>IFERROR($K111/$H111,"")</f>
        <v/>
      </c>
      <c r="M111" s="39">
        <f>IFERROR(INDEX('10_CLIENTI'!$B$5:$B$204,MATCH($D111,'10_CLIENTI'!$A$5:$A$204,0)),"")</f>
        <v/>
      </c>
      <c r="N111" s="39">
        <f>IFERROR(INDEX('11_PRODUSE'!$B$5:$B$104,MATCH($E111,'11_PRODUSE'!$A$5:$A$104,0)),"")</f>
        <v/>
      </c>
      <c r="O111" s="13" t="n"/>
      <c r="P111" s="13" t="n"/>
    </row>
    <row r="112">
      <c r="A112" s="35" t="n"/>
      <c r="B112" s="39">
        <f>IF($A112="","",YEAR($A112)&amp;"-"&amp;RIGHT("0"&amp;MONTH($A112),2))</f>
        <v/>
      </c>
      <c r="C112" s="13" t="n"/>
      <c r="D112" s="13" t="n"/>
      <c r="E112" s="13" t="n"/>
      <c r="F112" s="13" t="n"/>
      <c r="G112" s="40" t="n"/>
      <c r="H112" s="38" t="n"/>
      <c r="I112" s="38" t="n"/>
      <c r="J112" s="38" t="n"/>
      <c r="K112" s="24">
        <f>IF($H112="","",$H112-N($J112))</f>
        <v/>
      </c>
      <c r="L112" s="25">
        <f>IFERROR($K112/$H112,"")</f>
        <v/>
      </c>
      <c r="M112" s="39">
        <f>IFERROR(INDEX('10_CLIENTI'!$B$5:$B$204,MATCH($D112,'10_CLIENTI'!$A$5:$A$204,0)),"")</f>
        <v/>
      </c>
      <c r="N112" s="39">
        <f>IFERROR(INDEX('11_PRODUSE'!$B$5:$B$104,MATCH($E112,'11_PRODUSE'!$A$5:$A$104,0)),"")</f>
        <v/>
      </c>
      <c r="O112" s="13" t="n"/>
      <c r="P112" s="13" t="n"/>
    </row>
    <row r="113">
      <c r="A113" s="35" t="n"/>
      <c r="B113" s="39">
        <f>IF($A113="","",YEAR($A113)&amp;"-"&amp;RIGHT("0"&amp;MONTH($A113),2))</f>
        <v/>
      </c>
      <c r="C113" s="13" t="n"/>
      <c r="D113" s="13" t="n"/>
      <c r="E113" s="13" t="n"/>
      <c r="F113" s="13" t="n"/>
      <c r="G113" s="40" t="n"/>
      <c r="H113" s="38" t="n"/>
      <c r="I113" s="38" t="n"/>
      <c r="J113" s="38" t="n"/>
      <c r="K113" s="24">
        <f>IF($H113="","",$H113-N($J113))</f>
        <v/>
      </c>
      <c r="L113" s="25">
        <f>IFERROR($K113/$H113,"")</f>
        <v/>
      </c>
      <c r="M113" s="39">
        <f>IFERROR(INDEX('10_CLIENTI'!$B$5:$B$204,MATCH($D113,'10_CLIENTI'!$A$5:$A$204,0)),"")</f>
        <v/>
      </c>
      <c r="N113" s="39">
        <f>IFERROR(INDEX('11_PRODUSE'!$B$5:$B$104,MATCH($E113,'11_PRODUSE'!$A$5:$A$104,0)),"")</f>
        <v/>
      </c>
      <c r="O113" s="13" t="n"/>
      <c r="P113" s="13" t="n"/>
    </row>
    <row r="114">
      <c r="A114" s="35" t="n"/>
      <c r="B114" s="39">
        <f>IF($A114="","",YEAR($A114)&amp;"-"&amp;RIGHT("0"&amp;MONTH($A114),2))</f>
        <v/>
      </c>
      <c r="C114" s="13" t="n"/>
      <c r="D114" s="13" t="n"/>
      <c r="E114" s="13" t="n"/>
      <c r="F114" s="13" t="n"/>
      <c r="G114" s="40" t="n"/>
      <c r="H114" s="38" t="n"/>
      <c r="I114" s="38" t="n"/>
      <c r="J114" s="38" t="n"/>
      <c r="K114" s="24">
        <f>IF($H114="","",$H114-N($J114))</f>
        <v/>
      </c>
      <c r="L114" s="25">
        <f>IFERROR($K114/$H114,"")</f>
        <v/>
      </c>
      <c r="M114" s="39">
        <f>IFERROR(INDEX('10_CLIENTI'!$B$5:$B$204,MATCH($D114,'10_CLIENTI'!$A$5:$A$204,0)),"")</f>
        <v/>
      </c>
      <c r="N114" s="39">
        <f>IFERROR(INDEX('11_PRODUSE'!$B$5:$B$104,MATCH($E114,'11_PRODUSE'!$A$5:$A$104,0)),"")</f>
        <v/>
      </c>
      <c r="O114" s="13" t="n"/>
      <c r="P114" s="13" t="n"/>
    </row>
    <row r="115">
      <c r="A115" s="35" t="n"/>
      <c r="B115" s="39">
        <f>IF($A115="","",YEAR($A115)&amp;"-"&amp;RIGHT("0"&amp;MONTH($A115),2))</f>
        <v/>
      </c>
      <c r="C115" s="13" t="n"/>
      <c r="D115" s="13" t="n"/>
      <c r="E115" s="13" t="n"/>
      <c r="F115" s="13" t="n"/>
      <c r="G115" s="40" t="n"/>
      <c r="H115" s="38" t="n"/>
      <c r="I115" s="38" t="n"/>
      <c r="J115" s="38" t="n"/>
      <c r="K115" s="24">
        <f>IF($H115="","",$H115-N($J115))</f>
        <v/>
      </c>
      <c r="L115" s="25">
        <f>IFERROR($K115/$H115,"")</f>
        <v/>
      </c>
      <c r="M115" s="39">
        <f>IFERROR(INDEX('10_CLIENTI'!$B$5:$B$204,MATCH($D115,'10_CLIENTI'!$A$5:$A$204,0)),"")</f>
        <v/>
      </c>
      <c r="N115" s="39">
        <f>IFERROR(INDEX('11_PRODUSE'!$B$5:$B$104,MATCH($E115,'11_PRODUSE'!$A$5:$A$104,0)),"")</f>
        <v/>
      </c>
      <c r="O115" s="13" t="n"/>
      <c r="P115" s="13" t="n"/>
    </row>
    <row r="116">
      <c r="A116" s="35" t="n"/>
      <c r="B116" s="39">
        <f>IF($A116="","",YEAR($A116)&amp;"-"&amp;RIGHT("0"&amp;MONTH($A116),2))</f>
        <v/>
      </c>
      <c r="C116" s="13" t="n"/>
      <c r="D116" s="13" t="n"/>
      <c r="E116" s="13" t="n"/>
      <c r="F116" s="13" t="n"/>
      <c r="G116" s="40" t="n"/>
      <c r="H116" s="38" t="n"/>
      <c r="I116" s="38" t="n"/>
      <c r="J116" s="38" t="n"/>
      <c r="K116" s="24">
        <f>IF($H116="","",$H116-N($J116))</f>
        <v/>
      </c>
      <c r="L116" s="25">
        <f>IFERROR($K116/$H116,"")</f>
        <v/>
      </c>
      <c r="M116" s="39">
        <f>IFERROR(INDEX('10_CLIENTI'!$B$5:$B$204,MATCH($D116,'10_CLIENTI'!$A$5:$A$204,0)),"")</f>
        <v/>
      </c>
      <c r="N116" s="39">
        <f>IFERROR(INDEX('11_PRODUSE'!$B$5:$B$104,MATCH($E116,'11_PRODUSE'!$A$5:$A$104,0)),"")</f>
        <v/>
      </c>
      <c r="O116" s="13" t="n"/>
      <c r="P116" s="13" t="n"/>
    </row>
    <row r="117">
      <c r="A117" s="35" t="n"/>
      <c r="B117" s="39">
        <f>IF($A117="","",YEAR($A117)&amp;"-"&amp;RIGHT("0"&amp;MONTH($A117),2))</f>
        <v/>
      </c>
      <c r="C117" s="13" t="n"/>
      <c r="D117" s="13" t="n"/>
      <c r="E117" s="13" t="n"/>
      <c r="F117" s="13" t="n"/>
      <c r="G117" s="40" t="n"/>
      <c r="H117" s="38" t="n"/>
      <c r="I117" s="38" t="n"/>
      <c r="J117" s="38" t="n"/>
      <c r="K117" s="24">
        <f>IF($H117="","",$H117-N($J117))</f>
        <v/>
      </c>
      <c r="L117" s="25">
        <f>IFERROR($K117/$H117,"")</f>
        <v/>
      </c>
      <c r="M117" s="39">
        <f>IFERROR(INDEX('10_CLIENTI'!$B$5:$B$204,MATCH($D117,'10_CLIENTI'!$A$5:$A$204,0)),"")</f>
        <v/>
      </c>
      <c r="N117" s="39">
        <f>IFERROR(INDEX('11_PRODUSE'!$B$5:$B$104,MATCH($E117,'11_PRODUSE'!$A$5:$A$104,0)),"")</f>
        <v/>
      </c>
      <c r="O117" s="13" t="n"/>
      <c r="P117" s="13" t="n"/>
    </row>
    <row r="118">
      <c r="A118" s="35" t="n"/>
      <c r="B118" s="39">
        <f>IF($A118="","",YEAR($A118)&amp;"-"&amp;RIGHT("0"&amp;MONTH($A118),2))</f>
        <v/>
      </c>
      <c r="C118" s="13" t="n"/>
      <c r="D118" s="13" t="n"/>
      <c r="E118" s="13" t="n"/>
      <c r="F118" s="13" t="n"/>
      <c r="G118" s="40" t="n"/>
      <c r="H118" s="38" t="n"/>
      <c r="I118" s="38" t="n"/>
      <c r="J118" s="38" t="n"/>
      <c r="K118" s="24">
        <f>IF($H118="","",$H118-N($J118))</f>
        <v/>
      </c>
      <c r="L118" s="25">
        <f>IFERROR($K118/$H118,"")</f>
        <v/>
      </c>
      <c r="M118" s="39">
        <f>IFERROR(INDEX('10_CLIENTI'!$B$5:$B$204,MATCH($D118,'10_CLIENTI'!$A$5:$A$204,0)),"")</f>
        <v/>
      </c>
      <c r="N118" s="39">
        <f>IFERROR(INDEX('11_PRODUSE'!$B$5:$B$104,MATCH($E118,'11_PRODUSE'!$A$5:$A$104,0)),"")</f>
        <v/>
      </c>
      <c r="O118" s="13" t="n"/>
      <c r="P118" s="13" t="n"/>
    </row>
    <row r="119">
      <c r="A119" s="35" t="n"/>
      <c r="B119" s="39">
        <f>IF($A119="","",YEAR($A119)&amp;"-"&amp;RIGHT("0"&amp;MONTH($A119),2))</f>
        <v/>
      </c>
      <c r="C119" s="13" t="n"/>
      <c r="D119" s="13" t="n"/>
      <c r="E119" s="13" t="n"/>
      <c r="F119" s="13" t="n"/>
      <c r="G119" s="40" t="n"/>
      <c r="H119" s="38" t="n"/>
      <c r="I119" s="38" t="n"/>
      <c r="J119" s="38" t="n"/>
      <c r="K119" s="24">
        <f>IF($H119="","",$H119-N($J119))</f>
        <v/>
      </c>
      <c r="L119" s="25">
        <f>IFERROR($K119/$H119,"")</f>
        <v/>
      </c>
      <c r="M119" s="39">
        <f>IFERROR(INDEX('10_CLIENTI'!$B$5:$B$204,MATCH($D119,'10_CLIENTI'!$A$5:$A$204,0)),"")</f>
        <v/>
      </c>
      <c r="N119" s="39">
        <f>IFERROR(INDEX('11_PRODUSE'!$B$5:$B$104,MATCH($E119,'11_PRODUSE'!$A$5:$A$104,0)),"")</f>
        <v/>
      </c>
      <c r="O119" s="13" t="n"/>
      <c r="P119" s="13" t="n"/>
    </row>
    <row r="120">
      <c r="A120" s="35" t="n"/>
      <c r="B120" s="39">
        <f>IF($A120="","",YEAR($A120)&amp;"-"&amp;RIGHT("0"&amp;MONTH($A120),2))</f>
        <v/>
      </c>
      <c r="C120" s="13" t="n"/>
      <c r="D120" s="13" t="n"/>
      <c r="E120" s="13" t="n"/>
      <c r="F120" s="13" t="n"/>
      <c r="G120" s="40" t="n"/>
      <c r="H120" s="38" t="n"/>
      <c r="I120" s="38" t="n"/>
      <c r="J120" s="38" t="n"/>
      <c r="K120" s="24">
        <f>IF($H120="","",$H120-N($J120))</f>
        <v/>
      </c>
      <c r="L120" s="25">
        <f>IFERROR($K120/$H120,"")</f>
        <v/>
      </c>
      <c r="M120" s="39">
        <f>IFERROR(INDEX('10_CLIENTI'!$B$5:$B$204,MATCH($D120,'10_CLIENTI'!$A$5:$A$204,0)),"")</f>
        <v/>
      </c>
      <c r="N120" s="39">
        <f>IFERROR(INDEX('11_PRODUSE'!$B$5:$B$104,MATCH($E120,'11_PRODUSE'!$A$5:$A$104,0)),"")</f>
        <v/>
      </c>
      <c r="O120" s="13" t="n"/>
      <c r="P120" s="13" t="n"/>
    </row>
    <row r="121">
      <c r="A121" s="35" t="n"/>
      <c r="B121" s="39">
        <f>IF($A121="","",YEAR($A121)&amp;"-"&amp;RIGHT("0"&amp;MONTH($A121),2))</f>
        <v/>
      </c>
      <c r="C121" s="13" t="n"/>
      <c r="D121" s="13" t="n"/>
      <c r="E121" s="13" t="n"/>
      <c r="F121" s="13" t="n"/>
      <c r="G121" s="40" t="n"/>
      <c r="H121" s="38" t="n"/>
      <c r="I121" s="38" t="n"/>
      <c r="J121" s="38" t="n"/>
      <c r="K121" s="24">
        <f>IF($H121="","",$H121-N($J121))</f>
        <v/>
      </c>
      <c r="L121" s="25">
        <f>IFERROR($K121/$H121,"")</f>
        <v/>
      </c>
      <c r="M121" s="39">
        <f>IFERROR(INDEX('10_CLIENTI'!$B$5:$B$204,MATCH($D121,'10_CLIENTI'!$A$5:$A$204,0)),"")</f>
        <v/>
      </c>
      <c r="N121" s="39">
        <f>IFERROR(INDEX('11_PRODUSE'!$B$5:$B$104,MATCH($E121,'11_PRODUSE'!$A$5:$A$104,0)),"")</f>
        <v/>
      </c>
      <c r="O121" s="13" t="n"/>
      <c r="P121" s="13" t="n"/>
    </row>
    <row r="122">
      <c r="A122" s="35" t="n"/>
      <c r="B122" s="39">
        <f>IF($A122="","",YEAR($A122)&amp;"-"&amp;RIGHT("0"&amp;MONTH($A122),2))</f>
        <v/>
      </c>
      <c r="C122" s="13" t="n"/>
      <c r="D122" s="13" t="n"/>
      <c r="E122" s="13" t="n"/>
      <c r="F122" s="13" t="n"/>
      <c r="G122" s="40" t="n"/>
      <c r="H122" s="38" t="n"/>
      <c r="I122" s="38" t="n"/>
      <c r="J122" s="38" t="n"/>
      <c r="K122" s="24">
        <f>IF($H122="","",$H122-N($J122))</f>
        <v/>
      </c>
      <c r="L122" s="25">
        <f>IFERROR($K122/$H122,"")</f>
        <v/>
      </c>
      <c r="M122" s="39">
        <f>IFERROR(INDEX('10_CLIENTI'!$B$5:$B$204,MATCH($D122,'10_CLIENTI'!$A$5:$A$204,0)),"")</f>
        <v/>
      </c>
      <c r="N122" s="39">
        <f>IFERROR(INDEX('11_PRODUSE'!$B$5:$B$104,MATCH($E122,'11_PRODUSE'!$A$5:$A$104,0)),"")</f>
        <v/>
      </c>
      <c r="O122" s="13" t="n"/>
      <c r="P122" s="13" t="n"/>
    </row>
    <row r="123">
      <c r="A123" s="35" t="n"/>
      <c r="B123" s="39">
        <f>IF($A123="","",YEAR($A123)&amp;"-"&amp;RIGHT("0"&amp;MONTH($A123),2))</f>
        <v/>
      </c>
      <c r="C123" s="13" t="n"/>
      <c r="D123" s="13" t="n"/>
      <c r="E123" s="13" t="n"/>
      <c r="F123" s="13" t="n"/>
      <c r="G123" s="40" t="n"/>
      <c r="H123" s="38" t="n"/>
      <c r="I123" s="38" t="n"/>
      <c r="J123" s="38" t="n"/>
      <c r="K123" s="24">
        <f>IF($H123="","",$H123-N($J123))</f>
        <v/>
      </c>
      <c r="L123" s="25">
        <f>IFERROR($K123/$H123,"")</f>
        <v/>
      </c>
      <c r="M123" s="39">
        <f>IFERROR(INDEX('10_CLIENTI'!$B$5:$B$204,MATCH($D123,'10_CLIENTI'!$A$5:$A$204,0)),"")</f>
        <v/>
      </c>
      <c r="N123" s="39">
        <f>IFERROR(INDEX('11_PRODUSE'!$B$5:$B$104,MATCH($E123,'11_PRODUSE'!$A$5:$A$104,0)),"")</f>
        <v/>
      </c>
      <c r="O123" s="13" t="n"/>
      <c r="P123" s="13" t="n"/>
    </row>
    <row r="124">
      <c r="A124" s="35" t="n"/>
      <c r="B124" s="39">
        <f>IF($A124="","",YEAR($A124)&amp;"-"&amp;RIGHT("0"&amp;MONTH($A124),2))</f>
        <v/>
      </c>
      <c r="C124" s="13" t="n"/>
      <c r="D124" s="13" t="n"/>
      <c r="E124" s="13" t="n"/>
      <c r="F124" s="13" t="n"/>
      <c r="G124" s="40" t="n"/>
      <c r="H124" s="38" t="n"/>
      <c r="I124" s="38" t="n"/>
      <c r="J124" s="38" t="n"/>
      <c r="K124" s="24">
        <f>IF($H124="","",$H124-N($J124))</f>
        <v/>
      </c>
      <c r="L124" s="25">
        <f>IFERROR($K124/$H124,"")</f>
        <v/>
      </c>
      <c r="M124" s="39">
        <f>IFERROR(INDEX('10_CLIENTI'!$B$5:$B$204,MATCH($D124,'10_CLIENTI'!$A$5:$A$204,0)),"")</f>
        <v/>
      </c>
      <c r="N124" s="39">
        <f>IFERROR(INDEX('11_PRODUSE'!$B$5:$B$104,MATCH($E124,'11_PRODUSE'!$A$5:$A$104,0)),"")</f>
        <v/>
      </c>
      <c r="O124" s="13" t="n"/>
      <c r="P124" s="13" t="n"/>
    </row>
    <row r="125">
      <c r="A125" s="35" t="n"/>
      <c r="B125" s="39">
        <f>IF($A125="","",YEAR($A125)&amp;"-"&amp;RIGHT("0"&amp;MONTH($A125),2))</f>
        <v/>
      </c>
      <c r="C125" s="13" t="n"/>
      <c r="D125" s="13" t="n"/>
      <c r="E125" s="13" t="n"/>
      <c r="F125" s="13" t="n"/>
      <c r="G125" s="40" t="n"/>
      <c r="H125" s="38" t="n"/>
      <c r="I125" s="38" t="n"/>
      <c r="J125" s="38" t="n"/>
      <c r="K125" s="24">
        <f>IF($H125="","",$H125-N($J125))</f>
        <v/>
      </c>
      <c r="L125" s="25">
        <f>IFERROR($K125/$H125,"")</f>
        <v/>
      </c>
      <c r="M125" s="39">
        <f>IFERROR(INDEX('10_CLIENTI'!$B$5:$B$204,MATCH($D125,'10_CLIENTI'!$A$5:$A$204,0)),"")</f>
        <v/>
      </c>
      <c r="N125" s="39">
        <f>IFERROR(INDEX('11_PRODUSE'!$B$5:$B$104,MATCH($E125,'11_PRODUSE'!$A$5:$A$104,0)),"")</f>
        <v/>
      </c>
      <c r="O125" s="13" t="n"/>
      <c r="P125" s="13" t="n"/>
    </row>
    <row r="126">
      <c r="A126" s="35" t="n"/>
      <c r="B126" s="39">
        <f>IF($A126="","",YEAR($A126)&amp;"-"&amp;RIGHT("0"&amp;MONTH($A126),2))</f>
        <v/>
      </c>
      <c r="C126" s="13" t="n"/>
      <c r="D126" s="13" t="n"/>
      <c r="E126" s="13" t="n"/>
      <c r="F126" s="13" t="n"/>
      <c r="G126" s="40" t="n"/>
      <c r="H126" s="38" t="n"/>
      <c r="I126" s="38" t="n"/>
      <c r="J126" s="38" t="n"/>
      <c r="K126" s="24">
        <f>IF($H126="","",$H126-N($J126))</f>
        <v/>
      </c>
      <c r="L126" s="25">
        <f>IFERROR($K126/$H126,"")</f>
        <v/>
      </c>
      <c r="M126" s="39">
        <f>IFERROR(INDEX('10_CLIENTI'!$B$5:$B$204,MATCH($D126,'10_CLIENTI'!$A$5:$A$204,0)),"")</f>
        <v/>
      </c>
      <c r="N126" s="39">
        <f>IFERROR(INDEX('11_PRODUSE'!$B$5:$B$104,MATCH($E126,'11_PRODUSE'!$A$5:$A$104,0)),"")</f>
        <v/>
      </c>
      <c r="O126" s="13" t="n"/>
      <c r="P126" s="13" t="n"/>
    </row>
    <row r="127">
      <c r="A127" s="35" t="n"/>
      <c r="B127" s="39">
        <f>IF($A127="","",YEAR($A127)&amp;"-"&amp;RIGHT("0"&amp;MONTH($A127),2))</f>
        <v/>
      </c>
      <c r="C127" s="13" t="n"/>
      <c r="D127" s="13" t="n"/>
      <c r="E127" s="13" t="n"/>
      <c r="F127" s="13" t="n"/>
      <c r="G127" s="40" t="n"/>
      <c r="H127" s="38" t="n"/>
      <c r="I127" s="38" t="n"/>
      <c r="J127" s="38" t="n"/>
      <c r="K127" s="24">
        <f>IF($H127="","",$H127-N($J127))</f>
        <v/>
      </c>
      <c r="L127" s="25">
        <f>IFERROR($K127/$H127,"")</f>
        <v/>
      </c>
      <c r="M127" s="39">
        <f>IFERROR(INDEX('10_CLIENTI'!$B$5:$B$204,MATCH($D127,'10_CLIENTI'!$A$5:$A$204,0)),"")</f>
        <v/>
      </c>
      <c r="N127" s="39">
        <f>IFERROR(INDEX('11_PRODUSE'!$B$5:$B$104,MATCH($E127,'11_PRODUSE'!$A$5:$A$104,0)),"")</f>
        <v/>
      </c>
      <c r="O127" s="13" t="n"/>
      <c r="P127" s="13" t="n"/>
    </row>
    <row r="128">
      <c r="A128" s="35" t="n"/>
      <c r="B128" s="39">
        <f>IF($A128="","",YEAR($A128)&amp;"-"&amp;RIGHT("0"&amp;MONTH($A128),2))</f>
        <v/>
      </c>
      <c r="C128" s="13" t="n"/>
      <c r="D128" s="13" t="n"/>
      <c r="E128" s="13" t="n"/>
      <c r="F128" s="13" t="n"/>
      <c r="G128" s="40" t="n"/>
      <c r="H128" s="38" t="n"/>
      <c r="I128" s="38" t="n"/>
      <c r="J128" s="38" t="n"/>
      <c r="K128" s="24">
        <f>IF($H128="","",$H128-N($J128))</f>
        <v/>
      </c>
      <c r="L128" s="25">
        <f>IFERROR($K128/$H128,"")</f>
        <v/>
      </c>
      <c r="M128" s="39">
        <f>IFERROR(INDEX('10_CLIENTI'!$B$5:$B$204,MATCH($D128,'10_CLIENTI'!$A$5:$A$204,0)),"")</f>
        <v/>
      </c>
      <c r="N128" s="39">
        <f>IFERROR(INDEX('11_PRODUSE'!$B$5:$B$104,MATCH($E128,'11_PRODUSE'!$A$5:$A$104,0)),"")</f>
        <v/>
      </c>
      <c r="O128" s="13" t="n"/>
      <c r="P128" s="13" t="n"/>
    </row>
    <row r="129">
      <c r="A129" s="35" t="n"/>
      <c r="B129" s="39">
        <f>IF($A129="","",YEAR($A129)&amp;"-"&amp;RIGHT("0"&amp;MONTH($A129),2))</f>
        <v/>
      </c>
      <c r="C129" s="13" t="n"/>
      <c r="D129" s="13" t="n"/>
      <c r="E129" s="13" t="n"/>
      <c r="F129" s="13" t="n"/>
      <c r="G129" s="40" t="n"/>
      <c r="H129" s="38" t="n"/>
      <c r="I129" s="38" t="n"/>
      <c r="J129" s="38" t="n"/>
      <c r="K129" s="24">
        <f>IF($H129="","",$H129-N($J129))</f>
        <v/>
      </c>
      <c r="L129" s="25">
        <f>IFERROR($K129/$H129,"")</f>
        <v/>
      </c>
      <c r="M129" s="39">
        <f>IFERROR(INDEX('10_CLIENTI'!$B$5:$B$204,MATCH($D129,'10_CLIENTI'!$A$5:$A$204,0)),"")</f>
        <v/>
      </c>
      <c r="N129" s="39">
        <f>IFERROR(INDEX('11_PRODUSE'!$B$5:$B$104,MATCH($E129,'11_PRODUSE'!$A$5:$A$104,0)),"")</f>
        <v/>
      </c>
      <c r="O129" s="13" t="n"/>
      <c r="P129" s="13" t="n"/>
    </row>
    <row r="130">
      <c r="A130" s="35" t="n"/>
      <c r="B130" s="39">
        <f>IF($A130="","",YEAR($A130)&amp;"-"&amp;RIGHT("0"&amp;MONTH($A130),2))</f>
        <v/>
      </c>
      <c r="C130" s="13" t="n"/>
      <c r="D130" s="13" t="n"/>
      <c r="E130" s="13" t="n"/>
      <c r="F130" s="13" t="n"/>
      <c r="G130" s="40" t="n"/>
      <c r="H130" s="38" t="n"/>
      <c r="I130" s="38" t="n"/>
      <c r="J130" s="38" t="n"/>
      <c r="K130" s="24">
        <f>IF($H130="","",$H130-N($J130))</f>
        <v/>
      </c>
      <c r="L130" s="25">
        <f>IFERROR($K130/$H130,"")</f>
        <v/>
      </c>
      <c r="M130" s="39">
        <f>IFERROR(INDEX('10_CLIENTI'!$B$5:$B$204,MATCH($D130,'10_CLIENTI'!$A$5:$A$204,0)),"")</f>
        <v/>
      </c>
      <c r="N130" s="39">
        <f>IFERROR(INDEX('11_PRODUSE'!$B$5:$B$104,MATCH($E130,'11_PRODUSE'!$A$5:$A$104,0)),"")</f>
        <v/>
      </c>
      <c r="O130" s="13" t="n"/>
      <c r="P130" s="13" t="n"/>
    </row>
    <row r="131">
      <c r="A131" s="35" t="n"/>
      <c r="B131" s="39">
        <f>IF($A131="","",YEAR($A131)&amp;"-"&amp;RIGHT("0"&amp;MONTH($A131),2))</f>
        <v/>
      </c>
      <c r="C131" s="13" t="n"/>
      <c r="D131" s="13" t="n"/>
      <c r="E131" s="13" t="n"/>
      <c r="F131" s="13" t="n"/>
      <c r="G131" s="40" t="n"/>
      <c r="H131" s="38" t="n"/>
      <c r="I131" s="38" t="n"/>
      <c r="J131" s="38" t="n"/>
      <c r="K131" s="24">
        <f>IF($H131="","",$H131-N($J131))</f>
        <v/>
      </c>
      <c r="L131" s="25">
        <f>IFERROR($K131/$H131,"")</f>
        <v/>
      </c>
      <c r="M131" s="39">
        <f>IFERROR(INDEX('10_CLIENTI'!$B$5:$B$204,MATCH($D131,'10_CLIENTI'!$A$5:$A$204,0)),"")</f>
        <v/>
      </c>
      <c r="N131" s="39">
        <f>IFERROR(INDEX('11_PRODUSE'!$B$5:$B$104,MATCH($E131,'11_PRODUSE'!$A$5:$A$104,0)),"")</f>
        <v/>
      </c>
      <c r="O131" s="13" t="n"/>
      <c r="P131" s="13" t="n"/>
    </row>
    <row r="132">
      <c r="A132" s="35" t="n"/>
      <c r="B132" s="39">
        <f>IF($A132="","",YEAR($A132)&amp;"-"&amp;RIGHT("0"&amp;MONTH($A132),2))</f>
        <v/>
      </c>
      <c r="C132" s="13" t="n"/>
      <c r="D132" s="13" t="n"/>
      <c r="E132" s="13" t="n"/>
      <c r="F132" s="13" t="n"/>
      <c r="G132" s="40" t="n"/>
      <c r="H132" s="38" t="n"/>
      <c r="I132" s="38" t="n"/>
      <c r="J132" s="38" t="n"/>
      <c r="K132" s="24">
        <f>IF($H132="","",$H132-N($J132))</f>
        <v/>
      </c>
      <c r="L132" s="25">
        <f>IFERROR($K132/$H132,"")</f>
        <v/>
      </c>
      <c r="M132" s="39">
        <f>IFERROR(INDEX('10_CLIENTI'!$B$5:$B$204,MATCH($D132,'10_CLIENTI'!$A$5:$A$204,0)),"")</f>
        <v/>
      </c>
      <c r="N132" s="39">
        <f>IFERROR(INDEX('11_PRODUSE'!$B$5:$B$104,MATCH($E132,'11_PRODUSE'!$A$5:$A$104,0)),"")</f>
        <v/>
      </c>
      <c r="O132" s="13" t="n"/>
      <c r="P132" s="13" t="n"/>
    </row>
    <row r="133">
      <c r="A133" s="35" t="n"/>
      <c r="B133" s="39">
        <f>IF($A133="","",YEAR($A133)&amp;"-"&amp;RIGHT("0"&amp;MONTH($A133),2))</f>
        <v/>
      </c>
      <c r="C133" s="13" t="n"/>
      <c r="D133" s="13" t="n"/>
      <c r="E133" s="13" t="n"/>
      <c r="F133" s="13" t="n"/>
      <c r="G133" s="40" t="n"/>
      <c r="H133" s="38" t="n"/>
      <c r="I133" s="38" t="n"/>
      <c r="J133" s="38" t="n"/>
      <c r="K133" s="24">
        <f>IF($H133="","",$H133-N($J133))</f>
        <v/>
      </c>
      <c r="L133" s="25">
        <f>IFERROR($K133/$H133,"")</f>
        <v/>
      </c>
      <c r="M133" s="39">
        <f>IFERROR(INDEX('10_CLIENTI'!$B$5:$B$204,MATCH($D133,'10_CLIENTI'!$A$5:$A$204,0)),"")</f>
        <v/>
      </c>
      <c r="N133" s="39">
        <f>IFERROR(INDEX('11_PRODUSE'!$B$5:$B$104,MATCH($E133,'11_PRODUSE'!$A$5:$A$104,0)),"")</f>
        <v/>
      </c>
      <c r="O133" s="13" t="n"/>
      <c r="P133" s="13" t="n"/>
    </row>
    <row r="134">
      <c r="A134" s="35" t="n"/>
      <c r="B134" s="39">
        <f>IF($A134="","",YEAR($A134)&amp;"-"&amp;RIGHT("0"&amp;MONTH($A134),2))</f>
        <v/>
      </c>
      <c r="C134" s="13" t="n"/>
      <c r="D134" s="13" t="n"/>
      <c r="E134" s="13" t="n"/>
      <c r="F134" s="13" t="n"/>
      <c r="G134" s="40" t="n"/>
      <c r="H134" s="38" t="n"/>
      <c r="I134" s="38" t="n"/>
      <c r="J134" s="38" t="n"/>
      <c r="K134" s="24">
        <f>IF($H134="","",$H134-N($J134))</f>
        <v/>
      </c>
      <c r="L134" s="25">
        <f>IFERROR($K134/$H134,"")</f>
        <v/>
      </c>
      <c r="M134" s="39">
        <f>IFERROR(INDEX('10_CLIENTI'!$B$5:$B$204,MATCH($D134,'10_CLIENTI'!$A$5:$A$204,0)),"")</f>
        <v/>
      </c>
      <c r="N134" s="39">
        <f>IFERROR(INDEX('11_PRODUSE'!$B$5:$B$104,MATCH($E134,'11_PRODUSE'!$A$5:$A$104,0)),"")</f>
        <v/>
      </c>
      <c r="O134" s="13" t="n"/>
      <c r="P134" s="13" t="n"/>
    </row>
    <row r="135">
      <c r="A135" s="35" t="n"/>
      <c r="B135" s="39">
        <f>IF($A135="","",YEAR($A135)&amp;"-"&amp;RIGHT("0"&amp;MONTH($A135),2))</f>
        <v/>
      </c>
      <c r="C135" s="13" t="n"/>
      <c r="D135" s="13" t="n"/>
      <c r="E135" s="13" t="n"/>
      <c r="F135" s="13" t="n"/>
      <c r="G135" s="40" t="n"/>
      <c r="H135" s="38" t="n"/>
      <c r="I135" s="38" t="n"/>
      <c r="J135" s="38" t="n"/>
      <c r="K135" s="24">
        <f>IF($H135="","",$H135-N($J135))</f>
        <v/>
      </c>
      <c r="L135" s="25">
        <f>IFERROR($K135/$H135,"")</f>
        <v/>
      </c>
      <c r="M135" s="39">
        <f>IFERROR(INDEX('10_CLIENTI'!$B$5:$B$204,MATCH($D135,'10_CLIENTI'!$A$5:$A$204,0)),"")</f>
        <v/>
      </c>
      <c r="N135" s="39">
        <f>IFERROR(INDEX('11_PRODUSE'!$B$5:$B$104,MATCH($E135,'11_PRODUSE'!$A$5:$A$104,0)),"")</f>
        <v/>
      </c>
      <c r="O135" s="13" t="n"/>
      <c r="P135" s="13" t="n"/>
    </row>
    <row r="136">
      <c r="A136" s="35" t="n"/>
      <c r="B136" s="39">
        <f>IF($A136="","",YEAR($A136)&amp;"-"&amp;RIGHT("0"&amp;MONTH($A136),2))</f>
        <v/>
      </c>
      <c r="C136" s="13" t="n"/>
      <c r="D136" s="13" t="n"/>
      <c r="E136" s="13" t="n"/>
      <c r="F136" s="13" t="n"/>
      <c r="G136" s="40" t="n"/>
      <c r="H136" s="38" t="n"/>
      <c r="I136" s="38" t="n"/>
      <c r="J136" s="38" t="n"/>
      <c r="K136" s="24">
        <f>IF($H136="","",$H136-N($J136))</f>
        <v/>
      </c>
      <c r="L136" s="25">
        <f>IFERROR($K136/$H136,"")</f>
        <v/>
      </c>
      <c r="M136" s="39">
        <f>IFERROR(INDEX('10_CLIENTI'!$B$5:$B$204,MATCH($D136,'10_CLIENTI'!$A$5:$A$204,0)),"")</f>
        <v/>
      </c>
      <c r="N136" s="39">
        <f>IFERROR(INDEX('11_PRODUSE'!$B$5:$B$104,MATCH($E136,'11_PRODUSE'!$A$5:$A$104,0)),"")</f>
        <v/>
      </c>
      <c r="O136" s="13" t="n"/>
      <c r="P136" s="13" t="n"/>
    </row>
    <row r="137">
      <c r="A137" s="35" t="n"/>
      <c r="B137" s="39">
        <f>IF($A137="","",YEAR($A137)&amp;"-"&amp;RIGHT("0"&amp;MONTH($A137),2))</f>
        <v/>
      </c>
      <c r="C137" s="13" t="n"/>
      <c r="D137" s="13" t="n"/>
      <c r="E137" s="13" t="n"/>
      <c r="F137" s="13" t="n"/>
      <c r="G137" s="40" t="n"/>
      <c r="H137" s="38" t="n"/>
      <c r="I137" s="38" t="n"/>
      <c r="J137" s="38" t="n"/>
      <c r="K137" s="24">
        <f>IF($H137="","",$H137-N($J137))</f>
        <v/>
      </c>
      <c r="L137" s="25">
        <f>IFERROR($K137/$H137,"")</f>
        <v/>
      </c>
      <c r="M137" s="39">
        <f>IFERROR(INDEX('10_CLIENTI'!$B$5:$B$204,MATCH($D137,'10_CLIENTI'!$A$5:$A$204,0)),"")</f>
        <v/>
      </c>
      <c r="N137" s="39">
        <f>IFERROR(INDEX('11_PRODUSE'!$B$5:$B$104,MATCH($E137,'11_PRODUSE'!$A$5:$A$104,0)),"")</f>
        <v/>
      </c>
      <c r="O137" s="13" t="n"/>
      <c r="P137" s="13" t="n"/>
    </row>
    <row r="138">
      <c r="A138" s="35" t="n"/>
      <c r="B138" s="39">
        <f>IF($A138="","",YEAR($A138)&amp;"-"&amp;RIGHT("0"&amp;MONTH($A138),2))</f>
        <v/>
      </c>
      <c r="C138" s="13" t="n"/>
      <c r="D138" s="13" t="n"/>
      <c r="E138" s="13" t="n"/>
      <c r="F138" s="13" t="n"/>
      <c r="G138" s="40" t="n"/>
      <c r="H138" s="38" t="n"/>
      <c r="I138" s="38" t="n"/>
      <c r="J138" s="38" t="n"/>
      <c r="K138" s="24">
        <f>IF($H138="","",$H138-N($J138))</f>
        <v/>
      </c>
      <c r="L138" s="25">
        <f>IFERROR($K138/$H138,"")</f>
        <v/>
      </c>
      <c r="M138" s="39">
        <f>IFERROR(INDEX('10_CLIENTI'!$B$5:$B$204,MATCH($D138,'10_CLIENTI'!$A$5:$A$204,0)),"")</f>
        <v/>
      </c>
      <c r="N138" s="39">
        <f>IFERROR(INDEX('11_PRODUSE'!$B$5:$B$104,MATCH($E138,'11_PRODUSE'!$A$5:$A$104,0)),"")</f>
        <v/>
      </c>
      <c r="O138" s="13" t="n"/>
      <c r="P138" s="13" t="n"/>
    </row>
    <row r="139">
      <c r="A139" s="35" t="n"/>
      <c r="B139" s="39">
        <f>IF($A139="","",YEAR($A139)&amp;"-"&amp;RIGHT("0"&amp;MONTH($A139),2))</f>
        <v/>
      </c>
      <c r="C139" s="13" t="n"/>
      <c r="D139" s="13" t="n"/>
      <c r="E139" s="13" t="n"/>
      <c r="F139" s="13" t="n"/>
      <c r="G139" s="40" t="n"/>
      <c r="H139" s="38" t="n"/>
      <c r="I139" s="38" t="n"/>
      <c r="J139" s="38" t="n"/>
      <c r="K139" s="24">
        <f>IF($H139="","",$H139-N($J139))</f>
        <v/>
      </c>
      <c r="L139" s="25">
        <f>IFERROR($K139/$H139,"")</f>
        <v/>
      </c>
      <c r="M139" s="39">
        <f>IFERROR(INDEX('10_CLIENTI'!$B$5:$B$204,MATCH($D139,'10_CLIENTI'!$A$5:$A$204,0)),"")</f>
        <v/>
      </c>
      <c r="N139" s="39">
        <f>IFERROR(INDEX('11_PRODUSE'!$B$5:$B$104,MATCH($E139,'11_PRODUSE'!$A$5:$A$104,0)),"")</f>
        <v/>
      </c>
      <c r="O139" s="13" t="n"/>
      <c r="P139" s="13" t="n"/>
    </row>
    <row r="140">
      <c r="A140" s="35" t="n"/>
      <c r="B140" s="39">
        <f>IF($A140="","",YEAR($A140)&amp;"-"&amp;RIGHT("0"&amp;MONTH($A140),2))</f>
        <v/>
      </c>
      <c r="C140" s="13" t="n"/>
      <c r="D140" s="13" t="n"/>
      <c r="E140" s="13" t="n"/>
      <c r="F140" s="13" t="n"/>
      <c r="G140" s="40" t="n"/>
      <c r="H140" s="38" t="n"/>
      <c r="I140" s="38" t="n"/>
      <c r="J140" s="38" t="n"/>
      <c r="K140" s="24">
        <f>IF($H140="","",$H140-N($J140))</f>
        <v/>
      </c>
      <c r="L140" s="25">
        <f>IFERROR($K140/$H140,"")</f>
        <v/>
      </c>
      <c r="M140" s="39">
        <f>IFERROR(INDEX('10_CLIENTI'!$B$5:$B$204,MATCH($D140,'10_CLIENTI'!$A$5:$A$204,0)),"")</f>
        <v/>
      </c>
      <c r="N140" s="39">
        <f>IFERROR(INDEX('11_PRODUSE'!$B$5:$B$104,MATCH($E140,'11_PRODUSE'!$A$5:$A$104,0)),"")</f>
        <v/>
      </c>
      <c r="O140" s="13" t="n"/>
      <c r="P140" s="13" t="n"/>
    </row>
    <row r="141">
      <c r="A141" s="35" t="n"/>
      <c r="B141" s="39">
        <f>IF($A141="","",YEAR($A141)&amp;"-"&amp;RIGHT("0"&amp;MONTH($A141),2))</f>
        <v/>
      </c>
      <c r="C141" s="13" t="n"/>
      <c r="D141" s="13" t="n"/>
      <c r="E141" s="13" t="n"/>
      <c r="F141" s="13" t="n"/>
      <c r="G141" s="40" t="n"/>
      <c r="H141" s="38" t="n"/>
      <c r="I141" s="38" t="n"/>
      <c r="J141" s="38" t="n"/>
      <c r="K141" s="24">
        <f>IF($H141="","",$H141-N($J141))</f>
        <v/>
      </c>
      <c r="L141" s="25">
        <f>IFERROR($K141/$H141,"")</f>
        <v/>
      </c>
      <c r="M141" s="39">
        <f>IFERROR(INDEX('10_CLIENTI'!$B$5:$B$204,MATCH($D141,'10_CLIENTI'!$A$5:$A$204,0)),"")</f>
        <v/>
      </c>
      <c r="N141" s="39">
        <f>IFERROR(INDEX('11_PRODUSE'!$B$5:$B$104,MATCH($E141,'11_PRODUSE'!$A$5:$A$104,0)),"")</f>
        <v/>
      </c>
      <c r="O141" s="13" t="n"/>
      <c r="P141" s="13" t="n"/>
    </row>
    <row r="142">
      <c r="A142" s="35" t="n"/>
      <c r="B142" s="39">
        <f>IF($A142="","",YEAR($A142)&amp;"-"&amp;RIGHT("0"&amp;MONTH($A142),2))</f>
        <v/>
      </c>
      <c r="C142" s="13" t="n"/>
      <c r="D142" s="13" t="n"/>
      <c r="E142" s="13" t="n"/>
      <c r="F142" s="13" t="n"/>
      <c r="G142" s="40" t="n"/>
      <c r="H142" s="38" t="n"/>
      <c r="I142" s="38" t="n"/>
      <c r="J142" s="38" t="n"/>
      <c r="K142" s="24">
        <f>IF($H142="","",$H142-N($J142))</f>
        <v/>
      </c>
      <c r="L142" s="25">
        <f>IFERROR($K142/$H142,"")</f>
        <v/>
      </c>
      <c r="M142" s="39">
        <f>IFERROR(INDEX('10_CLIENTI'!$B$5:$B$204,MATCH($D142,'10_CLIENTI'!$A$5:$A$204,0)),"")</f>
        <v/>
      </c>
      <c r="N142" s="39">
        <f>IFERROR(INDEX('11_PRODUSE'!$B$5:$B$104,MATCH($E142,'11_PRODUSE'!$A$5:$A$104,0)),"")</f>
        <v/>
      </c>
      <c r="O142" s="13" t="n"/>
      <c r="P142" s="13" t="n"/>
    </row>
    <row r="143">
      <c r="A143" s="35" t="n"/>
      <c r="B143" s="39">
        <f>IF($A143="","",YEAR($A143)&amp;"-"&amp;RIGHT("0"&amp;MONTH($A143),2))</f>
        <v/>
      </c>
      <c r="C143" s="13" t="n"/>
      <c r="D143" s="13" t="n"/>
      <c r="E143" s="13" t="n"/>
      <c r="F143" s="13" t="n"/>
      <c r="G143" s="40" t="n"/>
      <c r="H143" s="38" t="n"/>
      <c r="I143" s="38" t="n"/>
      <c r="J143" s="38" t="n"/>
      <c r="K143" s="24">
        <f>IF($H143="","",$H143-N($J143))</f>
        <v/>
      </c>
      <c r="L143" s="25">
        <f>IFERROR($K143/$H143,"")</f>
        <v/>
      </c>
      <c r="M143" s="39">
        <f>IFERROR(INDEX('10_CLIENTI'!$B$5:$B$204,MATCH($D143,'10_CLIENTI'!$A$5:$A$204,0)),"")</f>
        <v/>
      </c>
      <c r="N143" s="39">
        <f>IFERROR(INDEX('11_PRODUSE'!$B$5:$B$104,MATCH($E143,'11_PRODUSE'!$A$5:$A$104,0)),"")</f>
        <v/>
      </c>
      <c r="O143" s="13" t="n"/>
      <c r="P143" s="13" t="n"/>
    </row>
    <row r="144">
      <c r="A144" s="35" t="n"/>
      <c r="B144" s="39">
        <f>IF($A144="","",YEAR($A144)&amp;"-"&amp;RIGHT("0"&amp;MONTH($A144),2))</f>
        <v/>
      </c>
      <c r="C144" s="13" t="n"/>
      <c r="D144" s="13" t="n"/>
      <c r="E144" s="13" t="n"/>
      <c r="F144" s="13" t="n"/>
      <c r="G144" s="40" t="n"/>
      <c r="H144" s="38" t="n"/>
      <c r="I144" s="38" t="n"/>
      <c r="J144" s="38" t="n"/>
      <c r="K144" s="24">
        <f>IF($H144="","",$H144-N($J144))</f>
        <v/>
      </c>
      <c r="L144" s="25">
        <f>IFERROR($K144/$H144,"")</f>
        <v/>
      </c>
      <c r="M144" s="39">
        <f>IFERROR(INDEX('10_CLIENTI'!$B$5:$B$204,MATCH($D144,'10_CLIENTI'!$A$5:$A$204,0)),"")</f>
        <v/>
      </c>
      <c r="N144" s="39">
        <f>IFERROR(INDEX('11_PRODUSE'!$B$5:$B$104,MATCH($E144,'11_PRODUSE'!$A$5:$A$104,0)),"")</f>
        <v/>
      </c>
      <c r="O144" s="13" t="n"/>
      <c r="P144" s="13" t="n"/>
    </row>
    <row r="145">
      <c r="A145" s="35" t="n"/>
      <c r="B145" s="39">
        <f>IF($A145="","",YEAR($A145)&amp;"-"&amp;RIGHT("0"&amp;MONTH($A145),2))</f>
        <v/>
      </c>
      <c r="C145" s="13" t="n"/>
      <c r="D145" s="13" t="n"/>
      <c r="E145" s="13" t="n"/>
      <c r="F145" s="13" t="n"/>
      <c r="G145" s="40" t="n"/>
      <c r="H145" s="38" t="n"/>
      <c r="I145" s="38" t="n"/>
      <c r="J145" s="38" t="n"/>
      <c r="K145" s="24">
        <f>IF($H145="","",$H145-N($J145))</f>
        <v/>
      </c>
      <c r="L145" s="25">
        <f>IFERROR($K145/$H145,"")</f>
        <v/>
      </c>
      <c r="M145" s="39">
        <f>IFERROR(INDEX('10_CLIENTI'!$B$5:$B$204,MATCH($D145,'10_CLIENTI'!$A$5:$A$204,0)),"")</f>
        <v/>
      </c>
      <c r="N145" s="39">
        <f>IFERROR(INDEX('11_PRODUSE'!$B$5:$B$104,MATCH($E145,'11_PRODUSE'!$A$5:$A$104,0)),"")</f>
        <v/>
      </c>
      <c r="O145" s="13" t="n"/>
      <c r="P145" s="13" t="n"/>
    </row>
    <row r="146">
      <c r="A146" s="35" t="n"/>
      <c r="B146" s="39">
        <f>IF($A146="","",YEAR($A146)&amp;"-"&amp;RIGHT("0"&amp;MONTH($A146),2))</f>
        <v/>
      </c>
      <c r="C146" s="13" t="n"/>
      <c r="D146" s="13" t="n"/>
      <c r="E146" s="13" t="n"/>
      <c r="F146" s="13" t="n"/>
      <c r="G146" s="40" t="n"/>
      <c r="H146" s="38" t="n"/>
      <c r="I146" s="38" t="n"/>
      <c r="J146" s="38" t="n"/>
      <c r="K146" s="24">
        <f>IF($H146="","",$H146-N($J146))</f>
        <v/>
      </c>
      <c r="L146" s="25">
        <f>IFERROR($K146/$H146,"")</f>
        <v/>
      </c>
      <c r="M146" s="39">
        <f>IFERROR(INDEX('10_CLIENTI'!$B$5:$B$204,MATCH($D146,'10_CLIENTI'!$A$5:$A$204,0)),"")</f>
        <v/>
      </c>
      <c r="N146" s="39">
        <f>IFERROR(INDEX('11_PRODUSE'!$B$5:$B$104,MATCH($E146,'11_PRODUSE'!$A$5:$A$104,0)),"")</f>
        <v/>
      </c>
      <c r="O146" s="13" t="n"/>
      <c r="P146" s="13" t="n"/>
    </row>
    <row r="147">
      <c r="A147" s="35" t="n"/>
      <c r="B147" s="39">
        <f>IF($A147="","",YEAR($A147)&amp;"-"&amp;RIGHT("0"&amp;MONTH($A147),2))</f>
        <v/>
      </c>
      <c r="C147" s="13" t="n"/>
      <c r="D147" s="13" t="n"/>
      <c r="E147" s="13" t="n"/>
      <c r="F147" s="13" t="n"/>
      <c r="G147" s="40" t="n"/>
      <c r="H147" s="38" t="n"/>
      <c r="I147" s="38" t="n"/>
      <c r="J147" s="38" t="n"/>
      <c r="K147" s="24">
        <f>IF($H147="","",$H147-N($J147))</f>
        <v/>
      </c>
      <c r="L147" s="25">
        <f>IFERROR($K147/$H147,"")</f>
        <v/>
      </c>
      <c r="M147" s="39">
        <f>IFERROR(INDEX('10_CLIENTI'!$B$5:$B$204,MATCH($D147,'10_CLIENTI'!$A$5:$A$204,0)),"")</f>
        <v/>
      </c>
      <c r="N147" s="39">
        <f>IFERROR(INDEX('11_PRODUSE'!$B$5:$B$104,MATCH($E147,'11_PRODUSE'!$A$5:$A$104,0)),"")</f>
        <v/>
      </c>
      <c r="O147" s="13" t="n"/>
      <c r="P147" s="13" t="n"/>
    </row>
    <row r="148">
      <c r="A148" s="35" t="n"/>
      <c r="B148" s="39">
        <f>IF($A148="","",YEAR($A148)&amp;"-"&amp;RIGHT("0"&amp;MONTH($A148),2))</f>
        <v/>
      </c>
      <c r="C148" s="13" t="n"/>
      <c r="D148" s="13" t="n"/>
      <c r="E148" s="13" t="n"/>
      <c r="F148" s="13" t="n"/>
      <c r="G148" s="40" t="n"/>
      <c r="H148" s="38" t="n"/>
      <c r="I148" s="38" t="n"/>
      <c r="J148" s="38" t="n"/>
      <c r="K148" s="24">
        <f>IF($H148="","",$H148-N($J148))</f>
        <v/>
      </c>
      <c r="L148" s="25">
        <f>IFERROR($K148/$H148,"")</f>
        <v/>
      </c>
      <c r="M148" s="39">
        <f>IFERROR(INDEX('10_CLIENTI'!$B$5:$B$204,MATCH($D148,'10_CLIENTI'!$A$5:$A$204,0)),"")</f>
        <v/>
      </c>
      <c r="N148" s="39">
        <f>IFERROR(INDEX('11_PRODUSE'!$B$5:$B$104,MATCH($E148,'11_PRODUSE'!$A$5:$A$104,0)),"")</f>
        <v/>
      </c>
      <c r="O148" s="13" t="n"/>
      <c r="P148" s="13" t="n"/>
    </row>
    <row r="149">
      <c r="A149" s="35" t="n"/>
      <c r="B149" s="39">
        <f>IF($A149="","",YEAR($A149)&amp;"-"&amp;RIGHT("0"&amp;MONTH($A149),2))</f>
        <v/>
      </c>
      <c r="C149" s="13" t="n"/>
      <c r="D149" s="13" t="n"/>
      <c r="E149" s="13" t="n"/>
      <c r="F149" s="13" t="n"/>
      <c r="G149" s="40" t="n"/>
      <c r="H149" s="38" t="n"/>
      <c r="I149" s="38" t="n"/>
      <c r="J149" s="38" t="n"/>
      <c r="K149" s="24">
        <f>IF($H149="","",$H149-N($J149))</f>
        <v/>
      </c>
      <c r="L149" s="25">
        <f>IFERROR($K149/$H149,"")</f>
        <v/>
      </c>
      <c r="M149" s="39">
        <f>IFERROR(INDEX('10_CLIENTI'!$B$5:$B$204,MATCH($D149,'10_CLIENTI'!$A$5:$A$204,0)),"")</f>
        <v/>
      </c>
      <c r="N149" s="39">
        <f>IFERROR(INDEX('11_PRODUSE'!$B$5:$B$104,MATCH($E149,'11_PRODUSE'!$A$5:$A$104,0)),"")</f>
        <v/>
      </c>
      <c r="O149" s="13" t="n"/>
      <c r="P149" s="13" t="n"/>
    </row>
    <row r="150">
      <c r="A150" s="35" t="n"/>
      <c r="B150" s="39">
        <f>IF($A150="","",YEAR($A150)&amp;"-"&amp;RIGHT("0"&amp;MONTH($A150),2))</f>
        <v/>
      </c>
      <c r="C150" s="13" t="n"/>
      <c r="D150" s="13" t="n"/>
      <c r="E150" s="13" t="n"/>
      <c r="F150" s="13" t="n"/>
      <c r="G150" s="40" t="n"/>
      <c r="H150" s="38" t="n"/>
      <c r="I150" s="38" t="n"/>
      <c r="J150" s="38" t="n"/>
      <c r="K150" s="24">
        <f>IF($H150="","",$H150-N($J150))</f>
        <v/>
      </c>
      <c r="L150" s="25">
        <f>IFERROR($K150/$H150,"")</f>
        <v/>
      </c>
      <c r="M150" s="39">
        <f>IFERROR(INDEX('10_CLIENTI'!$B$5:$B$204,MATCH($D150,'10_CLIENTI'!$A$5:$A$204,0)),"")</f>
        <v/>
      </c>
      <c r="N150" s="39">
        <f>IFERROR(INDEX('11_PRODUSE'!$B$5:$B$104,MATCH($E150,'11_PRODUSE'!$A$5:$A$104,0)),"")</f>
        <v/>
      </c>
      <c r="O150" s="13" t="n"/>
      <c r="P150" s="13" t="n"/>
    </row>
    <row r="151">
      <c r="A151" s="35" t="n"/>
      <c r="B151" s="39">
        <f>IF($A151="","",YEAR($A151)&amp;"-"&amp;RIGHT("0"&amp;MONTH($A151),2))</f>
        <v/>
      </c>
      <c r="C151" s="13" t="n"/>
      <c r="D151" s="13" t="n"/>
      <c r="E151" s="13" t="n"/>
      <c r="F151" s="13" t="n"/>
      <c r="G151" s="40" t="n"/>
      <c r="H151" s="38" t="n"/>
      <c r="I151" s="38" t="n"/>
      <c r="J151" s="38" t="n"/>
      <c r="K151" s="24">
        <f>IF($H151="","",$H151-N($J151))</f>
        <v/>
      </c>
      <c r="L151" s="25">
        <f>IFERROR($K151/$H151,"")</f>
        <v/>
      </c>
      <c r="M151" s="39">
        <f>IFERROR(INDEX('10_CLIENTI'!$B$5:$B$204,MATCH($D151,'10_CLIENTI'!$A$5:$A$204,0)),"")</f>
        <v/>
      </c>
      <c r="N151" s="39">
        <f>IFERROR(INDEX('11_PRODUSE'!$B$5:$B$104,MATCH($E151,'11_PRODUSE'!$A$5:$A$104,0)),"")</f>
        <v/>
      </c>
      <c r="O151" s="13" t="n"/>
      <c r="P151" s="13" t="n"/>
    </row>
    <row r="152">
      <c r="A152" s="35" t="n"/>
      <c r="B152" s="39">
        <f>IF($A152="","",YEAR($A152)&amp;"-"&amp;RIGHT("0"&amp;MONTH($A152),2))</f>
        <v/>
      </c>
      <c r="C152" s="13" t="n"/>
      <c r="D152" s="13" t="n"/>
      <c r="E152" s="13" t="n"/>
      <c r="F152" s="13" t="n"/>
      <c r="G152" s="40" t="n"/>
      <c r="H152" s="38" t="n"/>
      <c r="I152" s="38" t="n"/>
      <c r="J152" s="38" t="n"/>
      <c r="K152" s="24">
        <f>IF($H152="","",$H152-N($J152))</f>
        <v/>
      </c>
      <c r="L152" s="25">
        <f>IFERROR($K152/$H152,"")</f>
        <v/>
      </c>
      <c r="M152" s="39">
        <f>IFERROR(INDEX('10_CLIENTI'!$B$5:$B$204,MATCH($D152,'10_CLIENTI'!$A$5:$A$204,0)),"")</f>
        <v/>
      </c>
      <c r="N152" s="39">
        <f>IFERROR(INDEX('11_PRODUSE'!$B$5:$B$104,MATCH($E152,'11_PRODUSE'!$A$5:$A$104,0)),"")</f>
        <v/>
      </c>
      <c r="O152" s="13" t="n"/>
      <c r="P152" s="13" t="n"/>
    </row>
    <row r="153">
      <c r="A153" s="35" t="n"/>
      <c r="B153" s="39">
        <f>IF($A153="","",YEAR($A153)&amp;"-"&amp;RIGHT("0"&amp;MONTH($A153),2))</f>
        <v/>
      </c>
      <c r="C153" s="13" t="n"/>
      <c r="D153" s="13" t="n"/>
      <c r="E153" s="13" t="n"/>
      <c r="F153" s="13" t="n"/>
      <c r="G153" s="40" t="n"/>
      <c r="H153" s="38" t="n"/>
      <c r="I153" s="38" t="n"/>
      <c r="J153" s="38" t="n"/>
      <c r="K153" s="24">
        <f>IF($H153="","",$H153-N($J153))</f>
        <v/>
      </c>
      <c r="L153" s="25">
        <f>IFERROR($K153/$H153,"")</f>
        <v/>
      </c>
      <c r="M153" s="39">
        <f>IFERROR(INDEX('10_CLIENTI'!$B$5:$B$204,MATCH($D153,'10_CLIENTI'!$A$5:$A$204,0)),"")</f>
        <v/>
      </c>
      <c r="N153" s="39">
        <f>IFERROR(INDEX('11_PRODUSE'!$B$5:$B$104,MATCH($E153,'11_PRODUSE'!$A$5:$A$104,0)),"")</f>
        <v/>
      </c>
      <c r="O153" s="13" t="n"/>
      <c r="P153" s="13" t="n"/>
    </row>
    <row r="154">
      <c r="A154" s="35" t="n"/>
      <c r="B154" s="39">
        <f>IF($A154="","",YEAR($A154)&amp;"-"&amp;RIGHT("0"&amp;MONTH($A154),2))</f>
        <v/>
      </c>
      <c r="C154" s="13" t="n"/>
      <c r="D154" s="13" t="n"/>
      <c r="E154" s="13" t="n"/>
      <c r="F154" s="13" t="n"/>
      <c r="G154" s="40" t="n"/>
      <c r="H154" s="38" t="n"/>
      <c r="I154" s="38" t="n"/>
      <c r="J154" s="38" t="n"/>
      <c r="K154" s="24">
        <f>IF($H154="","",$H154-N($J154))</f>
        <v/>
      </c>
      <c r="L154" s="25">
        <f>IFERROR($K154/$H154,"")</f>
        <v/>
      </c>
      <c r="M154" s="39">
        <f>IFERROR(INDEX('10_CLIENTI'!$B$5:$B$204,MATCH($D154,'10_CLIENTI'!$A$5:$A$204,0)),"")</f>
        <v/>
      </c>
      <c r="N154" s="39">
        <f>IFERROR(INDEX('11_PRODUSE'!$B$5:$B$104,MATCH($E154,'11_PRODUSE'!$A$5:$A$104,0)),"")</f>
        <v/>
      </c>
      <c r="O154" s="13" t="n"/>
      <c r="P154" s="13" t="n"/>
    </row>
    <row r="155">
      <c r="A155" s="35" t="n"/>
      <c r="B155" s="39">
        <f>IF($A155="","",YEAR($A155)&amp;"-"&amp;RIGHT("0"&amp;MONTH($A155),2))</f>
        <v/>
      </c>
      <c r="C155" s="13" t="n"/>
      <c r="D155" s="13" t="n"/>
      <c r="E155" s="13" t="n"/>
      <c r="F155" s="13" t="n"/>
      <c r="G155" s="40" t="n"/>
      <c r="H155" s="38" t="n"/>
      <c r="I155" s="38" t="n"/>
      <c r="J155" s="38" t="n"/>
      <c r="K155" s="24">
        <f>IF($H155="","",$H155-N($J155))</f>
        <v/>
      </c>
      <c r="L155" s="25">
        <f>IFERROR($K155/$H155,"")</f>
        <v/>
      </c>
      <c r="M155" s="39">
        <f>IFERROR(INDEX('10_CLIENTI'!$B$5:$B$204,MATCH($D155,'10_CLIENTI'!$A$5:$A$204,0)),"")</f>
        <v/>
      </c>
      <c r="N155" s="39">
        <f>IFERROR(INDEX('11_PRODUSE'!$B$5:$B$104,MATCH($E155,'11_PRODUSE'!$A$5:$A$104,0)),"")</f>
        <v/>
      </c>
      <c r="O155" s="13" t="n"/>
      <c r="P155" s="13" t="n"/>
    </row>
    <row r="156">
      <c r="A156" s="35" t="n"/>
      <c r="B156" s="39">
        <f>IF($A156="","",YEAR($A156)&amp;"-"&amp;RIGHT("0"&amp;MONTH($A156),2))</f>
        <v/>
      </c>
      <c r="C156" s="13" t="n"/>
      <c r="D156" s="13" t="n"/>
      <c r="E156" s="13" t="n"/>
      <c r="F156" s="13" t="n"/>
      <c r="G156" s="40" t="n"/>
      <c r="H156" s="38" t="n"/>
      <c r="I156" s="38" t="n"/>
      <c r="J156" s="38" t="n"/>
      <c r="K156" s="24">
        <f>IF($H156="","",$H156-N($J156))</f>
        <v/>
      </c>
      <c r="L156" s="25">
        <f>IFERROR($K156/$H156,"")</f>
        <v/>
      </c>
      <c r="M156" s="39">
        <f>IFERROR(INDEX('10_CLIENTI'!$B$5:$B$204,MATCH($D156,'10_CLIENTI'!$A$5:$A$204,0)),"")</f>
        <v/>
      </c>
      <c r="N156" s="39">
        <f>IFERROR(INDEX('11_PRODUSE'!$B$5:$B$104,MATCH($E156,'11_PRODUSE'!$A$5:$A$104,0)),"")</f>
        <v/>
      </c>
      <c r="O156" s="13" t="n"/>
      <c r="P156" s="13" t="n"/>
    </row>
    <row r="157">
      <c r="A157" s="35" t="n"/>
      <c r="B157" s="39">
        <f>IF($A157="","",YEAR($A157)&amp;"-"&amp;RIGHT("0"&amp;MONTH($A157),2))</f>
        <v/>
      </c>
      <c r="C157" s="13" t="n"/>
      <c r="D157" s="13" t="n"/>
      <c r="E157" s="13" t="n"/>
      <c r="F157" s="13" t="n"/>
      <c r="G157" s="40" t="n"/>
      <c r="H157" s="38" t="n"/>
      <c r="I157" s="38" t="n"/>
      <c r="J157" s="38" t="n"/>
      <c r="K157" s="24">
        <f>IF($H157="","",$H157-N($J157))</f>
        <v/>
      </c>
      <c r="L157" s="25">
        <f>IFERROR($K157/$H157,"")</f>
        <v/>
      </c>
      <c r="M157" s="39">
        <f>IFERROR(INDEX('10_CLIENTI'!$B$5:$B$204,MATCH($D157,'10_CLIENTI'!$A$5:$A$204,0)),"")</f>
        <v/>
      </c>
      <c r="N157" s="39">
        <f>IFERROR(INDEX('11_PRODUSE'!$B$5:$B$104,MATCH($E157,'11_PRODUSE'!$A$5:$A$104,0)),"")</f>
        <v/>
      </c>
      <c r="O157" s="13" t="n"/>
      <c r="P157" s="13" t="n"/>
    </row>
    <row r="158">
      <c r="A158" s="35" t="n"/>
      <c r="B158" s="39">
        <f>IF($A158="","",YEAR($A158)&amp;"-"&amp;RIGHT("0"&amp;MONTH($A158),2))</f>
        <v/>
      </c>
      <c r="C158" s="13" t="n"/>
      <c r="D158" s="13" t="n"/>
      <c r="E158" s="13" t="n"/>
      <c r="F158" s="13" t="n"/>
      <c r="G158" s="40" t="n"/>
      <c r="H158" s="38" t="n"/>
      <c r="I158" s="38" t="n"/>
      <c r="J158" s="38" t="n"/>
      <c r="K158" s="24">
        <f>IF($H158="","",$H158-N($J158))</f>
        <v/>
      </c>
      <c r="L158" s="25">
        <f>IFERROR($K158/$H158,"")</f>
        <v/>
      </c>
      <c r="M158" s="39">
        <f>IFERROR(INDEX('10_CLIENTI'!$B$5:$B$204,MATCH($D158,'10_CLIENTI'!$A$5:$A$204,0)),"")</f>
        <v/>
      </c>
      <c r="N158" s="39">
        <f>IFERROR(INDEX('11_PRODUSE'!$B$5:$B$104,MATCH($E158,'11_PRODUSE'!$A$5:$A$104,0)),"")</f>
        <v/>
      </c>
      <c r="O158" s="13" t="n"/>
      <c r="P158" s="13" t="n"/>
    </row>
    <row r="159">
      <c r="A159" s="35" t="n"/>
      <c r="B159" s="39">
        <f>IF($A159="","",YEAR($A159)&amp;"-"&amp;RIGHT("0"&amp;MONTH($A159),2))</f>
        <v/>
      </c>
      <c r="C159" s="13" t="n"/>
      <c r="D159" s="13" t="n"/>
      <c r="E159" s="13" t="n"/>
      <c r="F159" s="13" t="n"/>
      <c r="G159" s="40" t="n"/>
      <c r="H159" s="38" t="n"/>
      <c r="I159" s="38" t="n"/>
      <c r="J159" s="38" t="n"/>
      <c r="K159" s="24">
        <f>IF($H159="","",$H159-N($J159))</f>
        <v/>
      </c>
      <c r="L159" s="25">
        <f>IFERROR($K159/$H159,"")</f>
        <v/>
      </c>
      <c r="M159" s="39">
        <f>IFERROR(INDEX('10_CLIENTI'!$B$5:$B$204,MATCH($D159,'10_CLIENTI'!$A$5:$A$204,0)),"")</f>
        <v/>
      </c>
      <c r="N159" s="39">
        <f>IFERROR(INDEX('11_PRODUSE'!$B$5:$B$104,MATCH($E159,'11_PRODUSE'!$A$5:$A$104,0)),"")</f>
        <v/>
      </c>
      <c r="O159" s="13" t="n"/>
      <c r="P159" s="13" t="n"/>
    </row>
    <row r="160">
      <c r="A160" s="35" t="n"/>
      <c r="B160" s="39">
        <f>IF($A160="","",YEAR($A160)&amp;"-"&amp;RIGHT("0"&amp;MONTH($A160),2))</f>
        <v/>
      </c>
      <c r="C160" s="13" t="n"/>
      <c r="D160" s="13" t="n"/>
      <c r="E160" s="13" t="n"/>
      <c r="F160" s="13" t="n"/>
      <c r="G160" s="40" t="n"/>
      <c r="H160" s="38" t="n"/>
      <c r="I160" s="38" t="n"/>
      <c r="J160" s="38" t="n"/>
      <c r="K160" s="24">
        <f>IF($H160="","",$H160-N($J160))</f>
        <v/>
      </c>
      <c r="L160" s="25">
        <f>IFERROR($K160/$H160,"")</f>
        <v/>
      </c>
      <c r="M160" s="39">
        <f>IFERROR(INDEX('10_CLIENTI'!$B$5:$B$204,MATCH($D160,'10_CLIENTI'!$A$5:$A$204,0)),"")</f>
        <v/>
      </c>
      <c r="N160" s="39">
        <f>IFERROR(INDEX('11_PRODUSE'!$B$5:$B$104,MATCH($E160,'11_PRODUSE'!$A$5:$A$104,0)),"")</f>
        <v/>
      </c>
      <c r="O160" s="13" t="n"/>
      <c r="P160" s="13" t="n"/>
    </row>
    <row r="161">
      <c r="A161" s="35" t="n"/>
      <c r="B161" s="39">
        <f>IF($A161="","",YEAR($A161)&amp;"-"&amp;RIGHT("0"&amp;MONTH($A161),2))</f>
        <v/>
      </c>
      <c r="C161" s="13" t="n"/>
      <c r="D161" s="13" t="n"/>
      <c r="E161" s="13" t="n"/>
      <c r="F161" s="13" t="n"/>
      <c r="G161" s="40" t="n"/>
      <c r="H161" s="38" t="n"/>
      <c r="I161" s="38" t="n"/>
      <c r="J161" s="38" t="n"/>
      <c r="K161" s="24">
        <f>IF($H161="","",$H161-N($J161))</f>
        <v/>
      </c>
      <c r="L161" s="25">
        <f>IFERROR($K161/$H161,"")</f>
        <v/>
      </c>
      <c r="M161" s="39">
        <f>IFERROR(INDEX('10_CLIENTI'!$B$5:$B$204,MATCH($D161,'10_CLIENTI'!$A$5:$A$204,0)),"")</f>
        <v/>
      </c>
      <c r="N161" s="39">
        <f>IFERROR(INDEX('11_PRODUSE'!$B$5:$B$104,MATCH($E161,'11_PRODUSE'!$A$5:$A$104,0)),"")</f>
        <v/>
      </c>
      <c r="O161" s="13" t="n"/>
      <c r="P161" s="13" t="n"/>
    </row>
    <row r="162">
      <c r="A162" s="35" t="n"/>
      <c r="B162" s="39">
        <f>IF($A162="","",YEAR($A162)&amp;"-"&amp;RIGHT("0"&amp;MONTH($A162),2))</f>
        <v/>
      </c>
      <c r="C162" s="13" t="n"/>
      <c r="D162" s="13" t="n"/>
      <c r="E162" s="13" t="n"/>
      <c r="F162" s="13" t="n"/>
      <c r="G162" s="40" t="n"/>
      <c r="H162" s="38" t="n"/>
      <c r="I162" s="38" t="n"/>
      <c r="J162" s="38" t="n"/>
      <c r="K162" s="24">
        <f>IF($H162="","",$H162-N($J162))</f>
        <v/>
      </c>
      <c r="L162" s="25">
        <f>IFERROR($K162/$H162,"")</f>
        <v/>
      </c>
      <c r="M162" s="39">
        <f>IFERROR(INDEX('10_CLIENTI'!$B$5:$B$204,MATCH($D162,'10_CLIENTI'!$A$5:$A$204,0)),"")</f>
        <v/>
      </c>
      <c r="N162" s="39">
        <f>IFERROR(INDEX('11_PRODUSE'!$B$5:$B$104,MATCH($E162,'11_PRODUSE'!$A$5:$A$104,0)),"")</f>
        <v/>
      </c>
      <c r="O162" s="13" t="n"/>
      <c r="P162" s="13" t="n"/>
    </row>
    <row r="163">
      <c r="A163" s="35" t="n"/>
      <c r="B163" s="39">
        <f>IF($A163="","",YEAR($A163)&amp;"-"&amp;RIGHT("0"&amp;MONTH($A163),2))</f>
        <v/>
      </c>
      <c r="C163" s="13" t="n"/>
      <c r="D163" s="13" t="n"/>
      <c r="E163" s="13" t="n"/>
      <c r="F163" s="13" t="n"/>
      <c r="G163" s="40" t="n"/>
      <c r="H163" s="38" t="n"/>
      <c r="I163" s="38" t="n"/>
      <c r="J163" s="38" t="n"/>
      <c r="K163" s="24">
        <f>IF($H163="","",$H163-N($J163))</f>
        <v/>
      </c>
      <c r="L163" s="25">
        <f>IFERROR($K163/$H163,"")</f>
        <v/>
      </c>
      <c r="M163" s="39">
        <f>IFERROR(INDEX('10_CLIENTI'!$B$5:$B$204,MATCH($D163,'10_CLIENTI'!$A$5:$A$204,0)),"")</f>
        <v/>
      </c>
      <c r="N163" s="39">
        <f>IFERROR(INDEX('11_PRODUSE'!$B$5:$B$104,MATCH($E163,'11_PRODUSE'!$A$5:$A$104,0)),"")</f>
        <v/>
      </c>
      <c r="O163" s="13" t="n"/>
      <c r="P163" s="13" t="n"/>
    </row>
    <row r="164">
      <c r="A164" s="35" t="n"/>
      <c r="B164" s="39">
        <f>IF($A164="","",YEAR($A164)&amp;"-"&amp;RIGHT("0"&amp;MONTH($A164),2))</f>
        <v/>
      </c>
      <c r="C164" s="13" t="n"/>
      <c r="D164" s="13" t="n"/>
      <c r="E164" s="13" t="n"/>
      <c r="F164" s="13" t="n"/>
      <c r="G164" s="40" t="n"/>
      <c r="H164" s="38" t="n"/>
      <c r="I164" s="38" t="n"/>
      <c r="J164" s="38" t="n"/>
      <c r="K164" s="24">
        <f>IF($H164="","",$H164-N($J164))</f>
        <v/>
      </c>
      <c r="L164" s="25">
        <f>IFERROR($K164/$H164,"")</f>
        <v/>
      </c>
      <c r="M164" s="39">
        <f>IFERROR(INDEX('10_CLIENTI'!$B$5:$B$204,MATCH($D164,'10_CLIENTI'!$A$5:$A$204,0)),"")</f>
        <v/>
      </c>
      <c r="N164" s="39">
        <f>IFERROR(INDEX('11_PRODUSE'!$B$5:$B$104,MATCH($E164,'11_PRODUSE'!$A$5:$A$104,0)),"")</f>
        <v/>
      </c>
      <c r="O164" s="13" t="n"/>
      <c r="P164" s="13" t="n"/>
    </row>
    <row r="165">
      <c r="A165" s="35" t="n"/>
      <c r="B165" s="39">
        <f>IF($A165="","",YEAR($A165)&amp;"-"&amp;RIGHT("0"&amp;MONTH($A165),2))</f>
        <v/>
      </c>
      <c r="C165" s="13" t="n"/>
      <c r="D165" s="13" t="n"/>
      <c r="E165" s="13" t="n"/>
      <c r="F165" s="13" t="n"/>
      <c r="G165" s="40" t="n"/>
      <c r="H165" s="38" t="n"/>
      <c r="I165" s="38" t="n"/>
      <c r="J165" s="38" t="n"/>
      <c r="K165" s="24">
        <f>IF($H165="","",$H165-N($J165))</f>
        <v/>
      </c>
      <c r="L165" s="25">
        <f>IFERROR($K165/$H165,"")</f>
        <v/>
      </c>
      <c r="M165" s="39">
        <f>IFERROR(INDEX('10_CLIENTI'!$B$5:$B$204,MATCH($D165,'10_CLIENTI'!$A$5:$A$204,0)),"")</f>
        <v/>
      </c>
      <c r="N165" s="39">
        <f>IFERROR(INDEX('11_PRODUSE'!$B$5:$B$104,MATCH($E165,'11_PRODUSE'!$A$5:$A$104,0)),"")</f>
        <v/>
      </c>
      <c r="O165" s="13" t="n"/>
      <c r="P165" s="13" t="n"/>
    </row>
    <row r="166">
      <c r="A166" s="35" t="n"/>
      <c r="B166" s="39">
        <f>IF($A166="","",YEAR($A166)&amp;"-"&amp;RIGHT("0"&amp;MONTH($A166),2))</f>
        <v/>
      </c>
      <c r="C166" s="13" t="n"/>
      <c r="D166" s="13" t="n"/>
      <c r="E166" s="13" t="n"/>
      <c r="F166" s="13" t="n"/>
      <c r="G166" s="40" t="n"/>
      <c r="H166" s="38" t="n"/>
      <c r="I166" s="38" t="n"/>
      <c r="J166" s="38" t="n"/>
      <c r="K166" s="24">
        <f>IF($H166="","",$H166-N($J166))</f>
        <v/>
      </c>
      <c r="L166" s="25">
        <f>IFERROR($K166/$H166,"")</f>
        <v/>
      </c>
      <c r="M166" s="39">
        <f>IFERROR(INDEX('10_CLIENTI'!$B$5:$B$204,MATCH($D166,'10_CLIENTI'!$A$5:$A$204,0)),"")</f>
        <v/>
      </c>
      <c r="N166" s="39">
        <f>IFERROR(INDEX('11_PRODUSE'!$B$5:$B$104,MATCH($E166,'11_PRODUSE'!$A$5:$A$104,0)),"")</f>
        <v/>
      </c>
      <c r="O166" s="13" t="n"/>
      <c r="P166" s="13" t="n"/>
    </row>
    <row r="167">
      <c r="A167" s="35" t="n"/>
      <c r="B167" s="39">
        <f>IF($A167="","",YEAR($A167)&amp;"-"&amp;RIGHT("0"&amp;MONTH($A167),2))</f>
        <v/>
      </c>
      <c r="C167" s="13" t="n"/>
      <c r="D167" s="13" t="n"/>
      <c r="E167" s="13" t="n"/>
      <c r="F167" s="13" t="n"/>
      <c r="G167" s="40" t="n"/>
      <c r="H167" s="38" t="n"/>
      <c r="I167" s="38" t="n"/>
      <c r="J167" s="38" t="n"/>
      <c r="K167" s="24">
        <f>IF($H167="","",$H167-N($J167))</f>
        <v/>
      </c>
      <c r="L167" s="25">
        <f>IFERROR($K167/$H167,"")</f>
        <v/>
      </c>
      <c r="M167" s="39">
        <f>IFERROR(INDEX('10_CLIENTI'!$B$5:$B$204,MATCH($D167,'10_CLIENTI'!$A$5:$A$204,0)),"")</f>
        <v/>
      </c>
      <c r="N167" s="39">
        <f>IFERROR(INDEX('11_PRODUSE'!$B$5:$B$104,MATCH($E167,'11_PRODUSE'!$A$5:$A$104,0)),"")</f>
        <v/>
      </c>
      <c r="O167" s="13" t="n"/>
      <c r="P167" s="13" t="n"/>
    </row>
    <row r="168">
      <c r="A168" s="35" t="n"/>
      <c r="B168" s="39">
        <f>IF($A168="","",YEAR($A168)&amp;"-"&amp;RIGHT("0"&amp;MONTH($A168),2))</f>
        <v/>
      </c>
      <c r="C168" s="13" t="n"/>
      <c r="D168" s="13" t="n"/>
      <c r="E168" s="13" t="n"/>
      <c r="F168" s="13" t="n"/>
      <c r="G168" s="40" t="n"/>
      <c r="H168" s="38" t="n"/>
      <c r="I168" s="38" t="n"/>
      <c r="J168" s="38" t="n"/>
      <c r="K168" s="24">
        <f>IF($H168="","",$H168-N($J168))</f>
        <v/>
      </c>
      <c r="L168" s="25">
        <f>IFERROR($K168/$H168,"")</f>
        <v/>
      </c>
      <c r="M168" s="39">
        <f>IFERROR(INDEX('10_CLIENTI'!$B$5:$B$204,MATCH($D168,'10_CLIENTI'!$A$5:$A$204,0)),"")</f>
        <v/>
      </c>
      <c r="N168" s="39">
        <f>IFERROR(INDEX('11_PRODUSE'!$B$5:$B$104,MATCH($E168,'11_PRODUSE'!$A$5:$A$104,0)),"")</f>
        <v/>
      </c>
      <c r="O168" s="13" t="n"/>
      <c r="P168" s="13" t="n"/>
    </row>
    <row r="169">
      <c r="A169" s="35" t="n"/>
      <c r="B169" s="39">
        <f>IF($A169="","",YEAR($A169)&amp;"-"&amp;RIGHT("0"&amp;MONTH($A169),2))</f>
        <v/>
      </c>
      <c r="C169" s="13" t="n"/>
      <c r="D169" s="13" t="n"/>
      <c r="E169" s="13" t="n"/>
      <c r="F169" s="13" t="n"/>
      <c r="G169" s="40" t="n"/>
      <c r="H169" s="38" t="n"/>
      <c r="I169" s="38" t="n"/>
      <c r="J169" s="38" t="n"/>
      <c r="K169" s="24">
        <f>IF($H169="","",$H169-N($J169))</f>
        <v/>
      </c>
      <c r="L169" s="25">
        <f>IFERROR($K169/$H169,"")</f>
        <v/>
      </c>
      <c r="M169" s="39">
        <f>IFERROR(INDEX('10_CLIENTI'!$B$5:$B$204,MATCH($D169,'10_CLIENTI'!$A$5:$A$204,0)),"")</f>
        <v/>
      </c>
      <c r="N169" s="39">
        <f>IFERROR(INDEX('11_PRODUSE'!$B$5:$B$104,MATCH($E169,'11_PRODUSE'!$A$5:$A$104,0)),"")</f>
        <v/>
      </c>
      <c r="O169" s="13" t="n"/>
      <c r="P169" s="13" t="n"/>
    </row>
    <row r="170">
      <c r="A170" s="35" t="n"/>
      <c r="B170" s="39">
        <f>IF($A170="","",YEAR($A170)&amp;"-"&amp;RIGHT("0"&amp;MONTH($A170),2))</f>
        <v/>
      </c>
      <c r="C170" s="13" t="n"/>
      <c r="D170" s="13" t="n"/>
      <c r="E170" s="13" t="n"/>
      <c r="F170" s="13" t="n"/>
      <c r="G170" s="40" t="n"/>
      <c r="H170" s="38" t="n"/>
      <c r="I170" s="38" t="n"/>
      <c r="J170" s="38" t="n"/>
      <c r="K170" s="24">
        <f>IF($H170="","",$H170-N($J170))</f>
        <v/>
      </c>
      <c r="L170" s="25">
        <f>IFERROR($K170/$H170,"")</f>
        <v/>
      </c>
      <c r="M170" s="39">
        <f>IFERROR(INDEX('10_CLIENTI'!$B$5:$B$204,MATCH($D170,'10_CLIENTI'!$A$5:$A$204,0)),"")</f>
        <v/>
      </c>
      <c r="N170" s="39">
        <f>IFERROR(INDEX('11_PRODUSE'!$B$5:$B$104,MATCH($E170,'11_PRODUSE'!$A$5:$A$104,0)),"")</f>
        <v/>
      </c>
      <c r="O170" s="13" t="n"/>
      <c r="P170" s="13" t="n"/>
    </row>
    <row r="171">
      <c r="A171" s="35" t="n"/>
      <c r="B171" s="39">
        <f>IF($A171="","",YEAR($A171)&amp;"-"&amp;RIGHT("0"&amp;MONTH($A171),2))</f>
        <v/>
      </c>
      <c r="C171" s="13" t="n"/>
      <c r="D171" s="13" t="n"/>
      <c r="E171" s="13" t="n"/>
      <c r="F171" s="13" t="n"/>
      <c r="G171" s="40" t="n"/>
      <c r="H171" s="38" t="n"/>
      <c r="I171" s="38" t="n"/>
      <c r="J171" s="38" t="n"/>
      <c r="K171" s="24">
        <f>IF($H171="","",$H171-N($J171))</f>
        <v/>
      </c>
      <c r="L171" s="25">
        <f>IFERROR($K171/$H171,"")</f>
        <v/>
      </c>
      <c r="M171" s="39">
        <f>IFERROR(INDEX('10_CLIENTI'!$B$5:$B$204,MATCH($D171,'10_CLIENTI'!$A$5:$A$204,0)),"")</f>
        <v/>
      </c>
      <c r="N171" s="39">
        <f>IFERROR(INDEX('11_PRODUSE'!$B$5:$B$104,MATCH($E171,'11_PRODUSE'!$A$5:$A$104,0)),"")</f>
        <v/>
      </c>
      <c r="O171" s="13" t="n"/>
      <c r="P171" s="13" t="n"/>
    </row>
    <row r="172">
      <c r="A172" s="35" t="n"/>
      <c r="B172" s="39">
        <f>IF($A172="","",YEAR($A172)&amp;"-"&amp;RIGHT("0"&amp;MONTH($A172),2))</f>
        <v/>
      </c>
      <c r="C172" s="13" t="n"/>
      <c r="D172" s="13" t="n"/>
      <c r="E172" s="13" t="n"/>
      <c r="F172" s="13" t="n"/>
      <c r="G172" s="40" t="n"/>
      <c r="H172" s="38" t="n"/>
      <c r="I172" s="38" t="n"/>
      <c r="J172" s="38" t="n"/>
      <c r="K172" s="24">
        <f>IF($H172="","",$H172-N($J172))</f>
        <v/>
      </c>
      <c r="L172" s="25">
        <f>IFERROR($K172/$H172,"")</f>
        <v/>
      </c>
      <c r="M172" s="39">
        <f>IFERROR(INDEX('10_CLIENTI'!$B$5:$B$204,MATCH($D172,'10_CLIENTI'!$A$5:$A$204,0)),"")</f>
        <v/>
      </c>
      <c r="N172" s="39">
        <f>IFERROR(INDEX('11_PRODUSE'!$B$5:$B$104,MATCH($E172,'11_PRODUSE'!$A$5:$A$104,0)),"")</f>
        <v/>
      </c>
      <c r="O172" s="13" t="n"/>
      <c r="P172" s="13" t="n"/>
    </row>
    <row r="173">
      <c r="A173" s="35" t="n"/>
      <c r="B173" s="39">
        <f>IF($A173="","",YEAR($A173)&amp;"-"&amp;RIGHT("0"&amp;MONTH($A173),2))</f>
        <v/>
      </c>
      <c r="C173" s="13" t="n"/>
      <c r="D173" s="13" t="n"/>
      <c r="E173" s="13" t="n"/>
      <c r="F173" s="13" t="n"/>
      <c r="G173" s="40" t="n"/>
      <c r="H173" s="38" t="n"/>
      <c r="I173" s="38" t="n"/>
      <c r="J173" s="38" t="n"/>
      <c r="K173" s="24">
        <f>IF($H173="","",$H173-N($J173))</f>
        <v/>
      </c>
      <c r="L173" s="25">
        <f>IFERROR($K173/$H173,"")</f>
        <v/>
      </c>
      <c r="M173" s="39">
        <f>IFERROR(INDEX('10_CLIENTI'!$B$5:$B$204,MATCH($D173,'10_CLIENTI'!$A$5:$A$204,0)),"")</f>
        <v/>
      </c>
      <c r="N173" s="39">
        <f>IFERROR(INDEX('11_PRODUSE'!$B$5:$B$104,MATCH($E173,'11_PRODUSE'!$A$5:$A$104,0)),"")</f>
        <v/>
      </c>
      <c r="O173" s="13" t="n"/>
      <c r="P173" s="13" t="n"/>
    </row>
    <row r="174">
      <c r="A174" s="35" t="n"/>
      <c r="B174" s="39">
        <f>IF($A174="","",YEAR($A174)&amp;"-"&amp;RIGHT("0"&amp;MONTH($A174),2))</f>
        <v/>
      </c>
      <c r="C174" s="13" t="n"/>
      <c r="D174" s="13" t="n"/>
      <c r="E174" s="13" t="n"/>
      <c r="F174" s="13" t="n"/>
      <c r="G174" s="40" t="n"/>
      <c r="H174" s="38" t="n"/>
      <c r="I174" s="38" t="n"/>
      <c r="J174" s="38" t="n"/>
      <c r="K174" s="24">
        <f>IF($H174="","",$H174-N($J174))</f>
        <v/>
      </c>
      <c r="L174" s="25">
        <f>IFERROR($K174/$H174,"")</f>
        <v/>
      </c>
      <c r="M174" s="39">
        <f>IFERROR(INDEX('10_CLIENTI'!$B$5:$B$204,MATCH($D174,'10_CLIENTI'!$A$5:$A$204,0)),"")</f>
        <v/>
      </c>
      <c r="N174" s="39">
        <f>IFERROR(INDEX('11_PRODUSE'!$B$5:$B$104,MATCH($E174,'11_PRODUSE'!$A$5:$A$104,0)),"")</f>
        <v/>
      </c>
      <c r="O174" s="13" t="n"/>
      <c r="P174" s="13" t="n"/>
    </row>
    <row r="175">
      <c r="A175" s="35" t="n"/>
      <c r="B175" s="39">
        <f>IF($A175="","",YEAR($A175)&amp;"-"&amp;RIGHT("0"&amp;MONTH($A175),2))</f>
        <v/>
      </c>
      <c r="C175" s="13" t="n"/>
      <c r="D175" s="13" t="n"/>
      <c r="E175" s="13" t="n"/>
      <c r="F175" s="13" t="n"/>
      <c r="G175" s="40" t="n"/>
      <c r="H175" s="38" t="n"/>
      <c r="I175" s="38" t="n"/>
      <c r="J175" s="38" t="n"/>
      <c r="K175" s="24">
        <f>IF($H175="","",$H175-N($J175))</f>
        <v/>
      </c>
      <c r="L175" s="25">
        <f>IFERROR($K175/$H175,"")</f>
        <v/>
      </c>
      <c r="M175" s="39">
        <f>IFERROR(INDEX('10_CLIENTI'!$B$5:$B$204,MATCH($D175,'10_CLIENTI'!$A$5:$A$204,0)),"")</f>
        <v/>
      </c>
      <c r="N175" s="39">
        <f>IFERROR(INDEX('11_PRODUSE'!$B$5:$B$104,MATCH($E175,'11_PRODUSE'!$A$5:$A$104,0)),"")</f>
        <v/>
      </c>
      <c r="O175" s="13" t="n"/>
      <c r="P175" s="13" t="n"/>
    </row>
    <row r="176">
      <c r="A176" s="35" t="n"/>
      <c r="B176" s="39">
        <f>IF($A176="","",YEAR($A176)&amp;"-"&amp;RIGHT("0"&amp;MONTH($A176),2))</f>
        <v/>
      </c>
      <c r="C176" s="13" t="n"/>
      <c r="D176" s="13" t="n"/>
      <c r="E176" s="13" t="n"/>
      <c r="F176" s="13" t="n"/>
      <c r="G176" s="40" t="n"/>
      <c r="H176" s="38" t="n"/>
      <c r="I176" s="38" t="n"/>
      <c r="J176" s="38" t="n"/>
      <c r="K176" s="24">
        <f>IF($H176="","",$H176-N($J176))</f>
        <v/>
      </c>
      <c r="L176" s="25">
        <f>IFERROR($K176/$H176,"")</f>
        <v/>
      </c>
      <c r="M176" s="39">
        <f>IFERROR(INDEX('10_CLIENTI'!$B$5:$B$204,MATCH($D176,'10_CLIENTI'!$A$5:$A$204,0)),"")</f>
        <v/>
      </c>
      <c r="N176" s="39">
        <f>IFERROR(INDEX('11_PRODUSE'!$B$5:$B$104,MATCH($E176,'11_PRODUSE'!$A$5:$A$104,0)),"")</f>
        <v/>
      </c>
      <c r="O176" s="13" t="n"/>
      <c r="P176" s="13" t="n"/>
    </row>
    <row r="177">
      <c r="A177" s="35" t="n"/>
      <c r="B177" s="39">
        <f>IF($A177="","",YEAR($A177)&amp;"-"&amp;RIGHT("0"&amp;MONTH($A177),2))</f>
        <v/>
      </c>
      <c r="C177" s="13" t="n"/>
      <c r="D177" s="13" t="n"/>
      <c r="E177" s="13" t="n"/>
      <c r="F177" s="13" t="n"/>
      <c r="G177" s="40" t="n"/>
      <c r="H177" s="38" t="n"/>
      <c r="I177" s="38" t="n"/>
      <c r="J177" s="38" t="n"/>
      <c r="K177" s="24">
        <f>IF($H177="","",$H177-N($J177))</f>
        <v/>
      </c>
      <c r="L177" s="25">
        <f>IFERROR($K177/$H177,"")</f>
        <v/>
      </c>
      <c r="M177" s="39">
        <f>IFERROR(INDEX('10_CLIENTI'!$B$5:$B$204,MATCH($D177,'10_CLIENTI'!$A$5:$A$204,0)),"")</f>
        <v/>
      </c>
      <c r="N177" s="39">
        <f>IFERROR(INDEX('11_PRODUSE'!$B$5:$B$104,MATCH($E177,'11_PRODUSE'!$A$5:$A$104,0)),"")</f>
        <v/>
      </c>
      <c r="O177" s="13" t="n"/>
      <c r="P177" s="13" t="n"/>
    </row>
    <row r="178">
      <c r="A178" s="35" t="n"/>
      <c r="B178" s="39">
        <f>IF($A178="","",YEAR($A178)&amp;"-"&amp;RIGHT("0"&amp;MONTH($A178),2))</f>
        <v/>
      </c>
      <c r="C178" s="13" t="n"/>
      <c r="D178" s="13" t="n"/>
      <c r="E178" s="13" t="n"/>
      <c r="F178" s="13" t="n"/>
      <c r="G178" s="40" t="n"/>
      <c r="H178" s="38" t="n"/>
      <c r="I178" s="38" t="n"/>
      <c r="J178" s="38" t="n"/>
      <c r="K178" s="24">
        <f>IF($H178="","",$H178-N($J178))</f>
        <v/>
      </c>
      <c r="L178" s="25">
        <f>IFERROR($K178/$H178,"")</f>
        <v/>
      </c>
      <c r="M178" s="39">
        <f>IFERROR(INDEX('10_CLIENTI'!$B$5:$B$204,MATCH($D178,'10_CLIENTI'!$A$5:$A$204,0)),"")</f>
        <v/>
      </c>
      <c r="N178" s="39">
        <f>IFERROR(INDEX('11_PRODUSE'!$B$5:$B$104,MATCH($E178,'11_PRODUSE'!$A$5:$A$104,0)),"")</f>
        <v/>
      </c>
      <c r="O178" s="13" t="n"/>
      <c r="P178" s="13" t="n"/>
    </row>
    <row r="179">
      <c r="A179" s="35" t="n"/>
      <c r="B179" s="39">
        <f>IF($A179="","",YEAR($A179)&amp;"-"&amp;RIGHT("0"&amp;MONTH($A179),2))</f>
        <v/>
      </c>
      <c r="C179" s="13" t="n"/>
      <c r="D179" s="13" t="n"/>
      <c r="E179" s="13" t="n"/>
      <c r="F179" s="13" t="n"/>
      <c r="G179" s="40" t="n"/>
      <c r="H179" s="38" t="n"/>
      <c r="I179" s="38" t="n"/>
      <c r="J179" s="38" t="n"/>
      <c r="K179" s="24">
        <f>IF($H179="","",$H179-N($J179))</f>
        <v/>
      </c>
      <c r="L179" s="25">
        <f>IFERROR($K179/$H179,"")</f>
        <v/>
      </c>
      <c r="M179" s="39">
        <f>IFERROR(INDEX('10_CLIENTI'!$B$5:$B$204,MATCH($D179,'10_CLIENTI'!$A$5:$A$204,0)),"")</f>
        <v/>
      </c>
      <c r="N179" s="39">
        <f>IFERROR(INDEX('11_PRODUSE'!$B$5:$B$104,MATCH($E179,'11_PRODUSE'!$A$5:$A$104,0)),"")</f>
        <v/>
      </c>
      <c r="O179" s="13" t="n"/>
      <c r="P179" s="13" t="n"/>
    </row>
    <row r="180">
      <c r="A180" s="35" t="n"/>
      <c r="B180" s="39">
        <f>IF($A180="","",YEAR($A180)&amp;"-"&amp;RIGHT("0"&amp;MONTH($A180),2))</f>
        <v/>
      </c>
      <c r="C180" s="13" t="n"/>
      <c r="D180" s="13" t="n"/>
      <c r="E180" s="13" t="n"/>
      <c r="F180" s="13" t="n"/>
      <c r="G180" s="40" t="n"/>
      <c r="H180" s="38" t="n"/>
      <c r="I180" s="38" t="n"/>
      <c r="J180" s="38" t="n"/>
      <c r="K180" s="24">
        <f>IF($H180="","",$H180-N($J180))</f>
        <v/>
      </c>
      <c r="L180" s="25">
        <f>IFERROR($K180/$H180,"")</f>
        <v/>
      </c>
      <c r="M180" s="39">
        <f>IFERROR(INDEX('10_CLIENTI'!$B$5:$B$204,MATCH($D180,'10_CLIENTI'!$A$5:$A$204,0)),"")</f>
        <v/>
      </c>
      <c r="N180" s="39">
        <f>IFERROR(INDEX('11_PRODUSE'!$B$5:$B$104,MATCH($E180,'11_PRODUSE'!$A$5:$A$104,0)),"")</f>
        <v/>
      </c>
      <c r="O180" s="13" t="n"/>
      <c r="P180" s="13" t="n"/>
    </row>
    <row r="181">
      <c r="A181" s="35" t="n"/>
      <c r="B181" s="39">
        <f>IF($A181="","",YEAR($A181)&amp;"-"&amp;RIGHT("0"&amp;MONTH($A181),2))</f>
        <v/>
      </c>
      <c r="C181" s="13" t="n"/>
      <c r="D181" s="13" t="n"/>
      <c r="E181" s="13" t="n"/>
      <c r="F181" s="13" t="n"/>
      <c r="G181" s="40" t="n"/>
      <c r="H181" s="38" t="n"/>
      <c r="I181" s="38" t="n"/>
      <c r="J181" s="38" t="n"/>
      <c r="K181" s="24">
        <f>IF($H181="","",$H181-N($J181))</f>
        <v/>
      </c>
      <c r="L181" s="25">
        <f>IFERROR($K181/$H181,"")</f>
        <v/>
      </c>
      <c r="M181" s="39">
        <f>IFERROR(INDEX('10_CLIENTI'!$B$5:$B$204,MATCH($D181,'10_CLIENTI'!$A$5:$A$204,0)),"")</f>
        <v/>
      </c>
      <c r="N181" s="39">
        <f>IFERROR(INDEX('11_PRODUSE'!$B$5:$B$104,MATCH($E181,'11_PRODUSE'!$A$5:$A$104,0)),"")</f>
        <v/>
      </c>
      <c r="O181" s="13" t="n"/>
      <c r="P181" s="13" t="n"/>
    </row>
    <row r="182">
      <c r="A182" s="35" t="n"/>
      <c r="B182" s="39">
        <f>IF($A182="","",YEAR($A182)&amp;"-"&amp;RIGHT("0"&amp;MONTH($A182),2))</f>
        <v/>
      </c>
      <c r="C182" s="13" t="n"/>
      <c r="D182" s="13" t="n"/>
      <c r="E182" s="13" t="n"/>
      <c r="F182" s="13" t="n"/>
      <c r="G182" s="40" t="n"/>
      <c r="H182" s="38" t="n"/>
      <c r="I182" s="38" t="n"/>
      <c r="J182" s="38" t="n"/>
      <c r="K182" s="24">
        <f>IF($H182="","",$H182-N($J182))</f>
        <v/>
      </c>
      <c r="L182" s="25">
        <f>IFERROR($K182/$H182,"")</f>
        <v/>
      </c>
      <c r="M182" s="39">
        <f>IFERROR(INDEX('10_CLIENTI'!$B$5:$B$204,MATCH($D182,'10_CLIENTI'!$A$5:$A$204,0)),"")</f>
        <v/>
      </c>
      <c r="N182" s="39">
        <f>IFERROR(INDEX('11_PRODUSE'!$B$5:$B$104,MATCH($E182,'11_PRODUSE'!$A$5:$A$104,0)),"")</f>
        <v/>
      </c>
      <c r="O182" s="13" t="n"/>
      <c r="P182" s="13" t="n"/>
    </row>
    <row r="183">
      <c r="A183" s="35" t="n"/>
      <c r="B183" s="39">
        <f>IF($A183="","",YEAR($A183)&amp;"-"&amp;RIGHT("0"&amp;MONTH($A183),2))</f>
        <v/>
      </c>
      <c r="C183" s="13" t="n"/>
      <c r="D183" s="13" t="n"/>
      <c r="E183" s="13" t="n"/>
      <c r="F183" s="13" t="n"/>
      <c r="G183" s="40" t="n"/>
      <c r="H183" s="38" t="n"/>
      <c r="I183" s="38" t="n"/>
      <c r="J183" s="38" t="n"/>
      <c r="K183" s="24">
        <f>IF($H183="","",$H183-N($J183))</f>
        <v/>
      </c>
      <c r="L183" s="25">
        <f>IFERROR($K183/$H183,"")</f>
        <v/>
      </c>
      <c r="M183" s="39">
        <f>IFERROR(INDEX('10_CLIENTI'!$B$5:$B$204,MATCH($D183,'10_CLIENTI'!$A$5:$A$204,0)),"")</f>
        <v/>
      </c>
      <c r="N183" s="39">
        <f>IFERROR(INDEX('11_PRODUSE'!$B$5:$B$104,MATCH($E183,'11_PRODUSE'!$A$5:$A$104,0)),"")</f>
        <v/>
      </c>
      <c r="O183" s="13" t="n"/>
      <c r="P183" s="13" t="n"/>
    </row>
    <row r="184">
      <c r="A184" s="35" t="n"/>
      <c r="B184" s="39">
        <f>IF($A184="","",YEAR($A184)&amp;"-"&amp;RIGHT("0"&amp;MONTH($A184),2))</f>
        <v/>
      </c>
      <c r="C184" s="13" t="n"/>
      <c r="D184" s="13" t="n"/>
      <c r="E184" s="13" t="n"/>
      <c r="F184" s="13" t="n"/>
      <c r="G184" s="40" t="n"/>
      <c r="H184" s="38" t="n"/>
      <c r="I184" s="38" t="n"/>
      <c r="J184" s="38" t="n"/>
      <c r="K184" s="24">
        <f>IF($H184="","",$H184-N($J184))</f>
        <v/>
      </c>
      <c r="L184" s="25">
        <f>IFERROR($K184/$H184,"")</f>
        <v/>
      </c>
      <c r="M184" s="39">
        <f>IFERROR(INDEX('10_CLIENTI'!$B$5:$B$204,MATCH($D184,'10_CLIENTI'!$A$5:$A$204,0)),"")</f>
        <v/>
      </c>
      <c r="N184" s="39">
        <f>IFERROR(INDEX('11_PRODUSE'!$B$5:$B$104,MATCH($E184,'11_PRODUSE'!$A$5:$A$104,0)),"")</f>
        <v/>
      </c>
      <c r="O184" s="13" t="n"/>
      <c r="P184" s="13" t="n"/>
    </row>
    <row r="185">
      <c r="A185" s="35" t="n"/>
      <c r="B185" s="39">
        <f>IF($A185="","",YEAR($A185)&amp;"-"&amp;RIGHT("0"&amp;MONTH($A185),2))</f>
        <v/>
      </c>
      <c r="C185" s="13" t="n"/>
      <c r="D185" s="13" t="n"/>
      <c r="E185" s="13" t="n"/>
      <c r="F185" s="13" t="n"/>
      <c r="G185" s="40" t="n"/>
      <c r="H185" s="38" t="n"/>
      <c r="I185" s="38" t="n"/>
      <c r="J185" s="38" t="n"/>
      <c r="K185" s="24">
        <f>IF($H185="","",$H185-N($J185))</f>
        <v/>
      </c>
      <c r="L185" s="25">
        <f>IFERROR($K185/$H185,"")</f>
        <v/>
      </c>
      <c r="M185" s="39">
        <f>IFERROR(INDEX('10_CLIENTI'!$B$5:$B$204,MATCH($D185,'10_CLIENTI'!$A$5:$A$204,0)),"")</f>
        <v/>
      </c>
      <c r="N185" s="39">
        <f>IFERROR(INDEX('11_PRODUSE'!$B$5:$B$104,MATCH($E185,'11_PRODUSE'!$A$5:$A$104,0)),"")</f>
        <v/>
      </c>
      <c r="O185" s="13" t="n"/>
      <c r="P185" s="13" t="n"/>
    </row>
    <row r="186">
      <c r="A186" s="35" t="n"/>
      <c r="B186" s="39">
        <f>IF($A186="","",YEAR($A186)&amp;"-"&amp;RIGHT("0"&amp;MONTH($A186),2))</f>
        <v/>
      </c>
      <c r="C186" s="13" t="n"/>
      <c r="D186" s="13" t="n"/>
      <c r="E186" s="13" t="n"/>
      <c r="F186" s="13" t="n"/>
      <c r="G186" s="40" t="n"/>
      <c r="H186" s="38" t="n"/>
      <c r="I186" s="38" t="n"/>
      <c r="J186" s="38" t="n"/>
      <c r="K186" s="24">
        <f>IF($H186="","",$H186-N($J186))</f>
        <v/>
      </c>
      <c r="L186" s="25">
        <f>IFERROR($K186/$H186,"")</f>
        <v/>
      </c>
      <c r="M186" s="39">
        <f>IFERROR(INDEX('10_CLIENTI'!$B$5:$B$204,MATCH($D186,'10_CLIENTI'!$A$5:$A$204,0)),"")</f>
        <v/>
      </c>
      <c r="N186" s="39">
        <f>IFERROR(INDEX('11_PRODUSE'!$B$5:$B$104,MATCH($E186,'11_PRODUSE'!$A$5:$A$104,0)),"")</f>
        <v/>
      </c>
      <c r="O186" s="13" t="n"/>
      <c r="P186" s="13" t="n"/>
    </row>
    <row r="187">
      <c r="A187" s="35" t="n"/>
      <c r="B187" s="39">
        <f>IF($A187="","",YEAR($A187)&amp;"-"&amp;RIGHT("0"&amp;MONTH($A187),2))</f>
        <v/>
      </c>
      <c r="C187" s="13" t="n"/>
      <c r="D187" s="13" t="n"/>
      <c r="E187" s="13" t="n"/>
      <c r="F187" s="13" t="n"/>
      <c r="G187" s="40" t="n"/>
      <c r="H187" s="38" t="n"/>
      <c r="I187" s="38" t="n"/>
      <c r="J187" s="38" t="n"/>
      <c r="K187" s="24">
        <f>IF($H187="","",$H187-N($J187))</f>
        <v/>
      </c>
      <c r="L187" s="25">
        <f>IFERROR($K187/$H187,"")</f>
        <v/>
      </c>
      <c r="M187" s="39">
        <f>IFERROR(INDEX('10_CLIENTI'!$B$5:$B$204,MATCH($D187,'10_CLIENTI'!$A$5:$A$204,0)),"")</f>
        <v/>
      </c>
      <c r="N187" s="39">
        <f>IFERROR(INDEX('11_PRODUSE'!$B$5:$B$104,MATCH($E187,'11_PRODUSE'!$A$5:$A$104,0)),"")</f>
        <v/>
      </c>
      <c r="O187" s="13" t="n"/>
      <c r="P187" s="13" t="n"/>
    </row>
    <row r="188">
      <c r="A188" s="35" t="n"/>
      <c r="B188" s="39">
        <f>IF($A188="","",YEAR($A188)&amp;"-"&amp;RIGHT("0"&amp;MONTH($A188),2))</f>
        <v/>
      </c>
      <c r="C188" s="13" t="n"/>
      <c r="D188" s="13" t="n"/>
      <c r="E188" s="13" t="n"/>
      <c r="F188" s="13" t="n"/>
      <c r="G188" s="40" t="n"/>
      <c r="H188" s="38" t="n"/>
      <c r="I188" s="38" t="n"/>
      <c r="J188" s="38" t="n"/>
      <c r="K188" s="24">
        <f>IF($H188="","",$H188-N($J188))</f>
        <v/>
      </c>
      <c r="L188" s="25">
        <f>IFERROR($K188/$H188,"")</f>
        <v/>
      </c>
      <c r="M188" s="39">
        <f>IFERROR(INDEX('10_CLIENTI'!$B$5:$B$204,MATCH($D188,'10_CLIENTI'!$A$5:$A$204,0)),"")</f>
        <v/>
      </c>
      <c r="N188" s="39">
        <f>IFERROR(INDEX('11_PRODUSE'!$B$5:$B$104,MATCH($E188,'11_PRODUSE'!$A$5:$A$104,0)),"")</f>
        <v/>
      </c>
      <c r="O188" s="13" t="n"/>
      <c r="P188" s="13" t="n"/>
    </row>
    <row r="189">
      <c r="A189" s="35" t="n"/>
      <c r="B189" s="39">
        <f>IF($A189="","",YEAR($A189)&amp;"-"&amp;RIGHT("0"&amp;MONTH($A189),2))</f>
        <v/>
      </c>
      <c r="C189" s="13" t="n"/>
      <c r="D189" s="13" t="n"/>
      <c r="E189" s="13" t="n"/>
      <c r="F189" s="13" t="n"/>
      <c r="G189" s="40" t="n"/>
      <c r="H189" s="38" t="n"/>
      <c r="I189" s="38" t="n"/>
      <c r="J189" s="38" t="n"/>
      <c r="K189" s="24">
        <f>IF($H189="","",$H189-N($J189))</f>
        <v/>
      </c>
      <c r="L189" s="25">
        <f>IFERROR($K189/$H189,"")</f>
        <v/>
      </c>
      <c r="M189" s="39">
        <f>IFERROR(INDEX('10_CLIENTI'!$B$5:$B$204,MATCH($D189,'10_CLIENTI'!$A$5:$A$204,0)),"")</f>
        <v/>
      </c>
      <c r="N189" s="39">
        <f>IFERROR(INDEX('11_PRODUSE'!$B$5:$B$104,MATCH($E189,'11_PRODUSE'!$A$5:$A$104,0)),"")</f>
        <v/>
      </c>
      <c r="O189" s="13" t="n"/>
      <c r="P189" s="13" t="n"/>
    </row>
    <row r="190">
      <c r="A190" s="35" t="n"/>
      <c r="B190" s="39">
        <f>IF($A190="","",YEAR($A190)&amp;"-"&amp;RIGHT("0"&amp;MONTH($A190),2))</f>
        <v/>
      </c>
      <c r="C190" s="13" t="n"/>
      <c r="D190" s="13" t="n"/>
      <c r="E190" s="13" t="n"/>
      <c r="F190" s="13" t="n"/>
      <c r="G190" s="40" t="n"/>
      <c r="H190" s="38" t="n"/>
      <c r="I190" s="38" t="n"/>
      <c r="J190" s="38" t="n"/>
      <c r="K190" s="24">
        <f>IF($H190="","",$H190-N($J190))</f>
        <v/>
      </c>
      <c r="L190" s="25">
        <f>IFERROR($K190/$H190,"")</f>
        <v/>
      </c>
      <c r="M190" s="39">
        <f>IFERROR(INDEX('10_CLIENTI'!$B$5:$B$204,MATCH($D190,'10_CLIENTI'!$A$5:$A$204,0)),"")</f>
        <v/>
      </c>
      <c r="N190" s="39">
        <f>IFERROR(INDEX('11_PRODUSE'!$B$5:$B$104,MATCH($E190,'11_PRODUSE'!$A$5:$A$104,0)),"")</f>
        <v/>
      </c>
      <c r="O190" s="13" t="n"/>
      <c r="P190" s="13" t="n"/>
    </row>
    <row r="191">
      <c r="A191" s="35" t="n"/>
      <c r="B191" s="39">
        <f>IF($A191="","",YEAR($A191)&amp;"-"&amp;RIGHT("0"&amp;MONTH($A191),2))</f>
        <v/>
      </c>
      <c r="C191" s="13" t="n"/>
      <c r="D191" s="13" t="n"/>
      <c r="E191" s="13" t="n"/>
      <c r="F191" s="13" t="n"/>
      <c r="G191" s="40" t="n"/>
      <c r="H191" s="38" t="n"/>
      <c r="I191" s="38" t="n"/>
      <c r="J191" s="38" t="n"/>
      <c r="K191" s="24">
        <f>IF($H191="","",$H191-N($J191))</f>
        <v/>
      </c>
      <c r="L191" s="25">
        <f>IFERROR($K191/$H191,"")</f>
        <v/>
      </c>
      <c r="M191" s="39">
        <f>IFERROR(INDEX('10_CLIENTI'!$B$5:$B$204,MATCH($D191,'10_CLIENTI'!$A$5:$A$204,0)),"")</f>
        <v/>
      </c>
      <c r="N191" s="39">
        <f>IFERROR(INDEX('11_PRODUSE'!$B$5:$B$104,MATCH($E191,'11_PRODUSE'!$A$5:$A$104,0)),"")</f>
        <v/>
      </c>
      <c r="O191" s="13" t="n"/>
      <c r="P191" s="13" t="n"/>
    </row>
    <row r="192">
      <c r="A192" s="35" t="n"/>
      <c r="B192" s="39">
        <f>IF($A192="","",YEAR($A192)&amp;"-"&amp;RIGHT("0"&amp;MONTH($A192),2))</f>
        <v/>
      </c>
      <c r="C192" s="13" t="n"/>
      <c r="D192" s="13" t="n"/>
      <c r="E192" s="13" t="n"/>
      <c r="F192" s="13" t="n"/>
      <c r="G192" s="40" t="n"/>
      <c r="H192" s="38" t="n"/>
      <c r="I192" s="38" t="n"/>
      <c r="J192" s="38" t="n"/>
      <c r="K192" s="24">
        <f>IF($H192="","",$H192-N($J192))</f>
        <v/>
      </c>
      <c r="L192" s="25">
        <f>IFERROR($K192/$H192,"")</f>
        <v/>
      </c>
      <c r="M192" s="39">
        <f>IFERROR(INDEX('10_CLIENTI'!$B$5:$B$204,MATCH($D192,'10_CLIENTI'!$A$5:$A$204,0)),"")</f>
        <v/>
      </c>
      <c r="N192" s="39">
        <f>IFERROR(INDEX('11_PRODUSE'!$B$5:$B$104,MATCH($E192,'11_PRODUSE'!$A$5:$A$104,0)),"")</f>
        <v/>
      </c>
      <c r="O192" s="13" t="n"/>
      <c r="P192" s="13" t="n"/>
    </row>
    <row r="193">
      <c r="A193" s="35" t="n"/>
      <c r="B193" s="39">
        <f>IF($A193="","",YEAR($A193)&amp;"-"&amp;RIGHT("0"&amp;MONTH($A193),2))</f>
        <v/>
      </c>
      <c r="C193" s="13" t="n"/>
      <c r="D193" s="13" t="n"/>
      <c r="E193" s="13" t="n"/>
      <c r="F193" s="13" t="n"/>
      <c r="G193" s="40" t="n"/>
      <c r="H193" s="38" t="n"/>
      <c r="I193" s="38" t="n"/>
      <c r="J193" s="38" t="n"/>
      <c r="K193" s="24">
        <f>IF($H193="","",$H193-N($J193))</f>
        <v/>
      </c>
      <c r="L193" s="25">
        <f>IFERROR($K193/$H193,"")</f>
        <v/>
      </c>
      <c r="M193" s="39">
        <f>IFERROR(INDEX('10_CLIENTI'!$B$5:$B$204,MATCH($D193,'10_CLIENTI'!$A$5:$A$204,0)),"")</f>
        <v/>
      </c>
      <c r="N193" s="39">
        <f>IFERROR(INDEX('11_PRODUSE'!$B$5:$B$104,MATCH($E193,'11_PRODUSE'!$A$5:$A$104,0)),"")</f>
        <v/>
      </c>
      <c r="O193" s="13" t="n"/>
      <c r="P193" s="13" t="n"/>
    </row>
    <row r="194">
      <c r="A194" s="35" t="n"/>
      <c r="B194" s="39">
        <f>IF($A194="","",YEAR($A194)&amp;"-"&amp;RIGHT("0"&amp;MONTH($A194),2))</f>
        <v/>
      </c>
      <c r="C194" s="13" t="n"/>
      <c r="D194" s="13" t="n"/>
      <c r="E194" s="13" t="n"/>
      <c r="F194" s="13" t="n"/>
      <c r="G194" s="40" t="n"/>
      <c r="H194" s="38" t="n"/>
      <c r="I194" s="38" t="n"/>
      <c r="J194" s="38" t="n"/>
      <c r="K194" s="24">
        <f>IF($H194="","",$H194-N($J194))</f>
        <v/>
      </c>
      <c r="L194" s="25">
        <f>IFERROR($K194/$H194,"")</f>
        <v/>
      </c>
      <c r="M194" s="39">
        <f>IFERROR(INDEX('10_CLIENTI'!$B$5:$B$204,MATCH($D194,'10_CLIENTI'!$A$5:$A$204,0)),"")</f>
        <v/>
      </c>
      <c r="N194" s="39">
        <f>IFERROR(INDEX('11_PRODUSE'!$B$5:$B$104,MATCH($E194,'11_PRODUSE'!$A$5:$A$104,0)),"")</f>
        <v/>
      </c>
      <c r="O194" s="13" t="n"/>
      <c r="P194" s="13" t="n"/>
    </row>
    <row r="195">
      <c r="A195" s="35" t="n"/>
      <c r="B195" s="39">
        <f>IF($A195="","",YEAR($A195)&amp;"-"&amp;RIGHT("0"&amp;MONTH($A195),2))</f>
        <v/>
      </c>
      <c r="C195" s="13" t="n"/>
      <c r="D195" s="13" t="n"/>
      <c r="E195" s="13" t="n"/>
      <c r="F195" s="13" t="n"/>
      <c r="G195" s="40" t="n"/>
      <c r="H195" s="38" t="n"/>
      <c r="I195" s="38" t="n"/>
      <c r="J195" s="38" t="n"/>
      <c r="K195" s="24">
        <f>IF($H195="","",$H195-N($J195))</f>
        <v/>
      </c>
      <c r="L195" s="25">
        <f>IFERROR($K195/$H195,"")</f>
        <v/>
      </c>
      <c r="M195" s="39">
        <f>IFERROR(INDEX('10_CLIENTI'!$B$5:$B$204,MATCH($D195,'10_CLIENTI'!$A$5:$A$204,0)),"")</f>
        <v/>
      </c>
      <c r="N195" s="39">
        <f>IFERROR(INDEX('11_PRODUSE'!$B$5:$B$104,MATCH($E195,'11_PRODUSE'!$A$5:$A$104,0)),"")</f>
        <v/>
      </c>
      <c r="O195" s="13" t="n"/>
      <c r="P195" s="13" t="n"/>
    </row>
    <row r="196">
      <c r="A196" s="35" t="n"/>
      <c r="B196" s="39">
        <f>IF($A196="","",YEAR($A196)&amp;"-"&amp;RIGHT("0"&amp;MONTH($A196),2))</f>
        <v/>
      </c>
      <c r="C196" s="13" t="n"/>
      <c r="D196" s="13" t="n"/>
      <c r="E196" s="13" t="n"/>
      <c r="F196" s="13" t="n"/>
      <c r="G196" s="40" t="n"/>
      <c r="H196" s="38" t="n"/>
      <c r="I196" s="38" t="n"/>
      <c r="J196" s="38" t="n"/>
      <c r="K196" s="24">
        <f>IF($H196="","",$H196-N($J196))</f>
        <v/>
      </c>
      <c r="L196" s="25">
        <f>IFERROR($K196/$H196,"")</f>
        <v/>
      </c>
      <c r="M196" s="39">
        <f>IFERROR(INDEX('10_CLIENTI'!$B$5:$B$204,MATCH($D196,'10_CLIENTI'!$A$5:$A$204,0)),"")</f>
        <v/>
      </c>
      <c r="N196" s="39">
        <f>IFERROR(INDEX('11_PRODUSE'!$B$5:$B$104,MATCH($E196,'11_PRODUSE'!$A$5:$A$104,0)),"")</f>
        <v/>
      </c>
      <c r="O196" s="13" t="n"/>
      <c r="P196" s="13" t="n"/>
    </row>
    <row r="197">
      <c r="A197" s="35" t="n"/>
      <c r="B197" s="39">
        <f>IF($A197="","",YEAR($A197)&amp;"-"&amp;RIGHT("0"&amp;MONTH($A197),2))</f>
        <v/>
      </c>
      <c r="C197" s="13" t="n"/>
      <c r="D197" s="13" t="n"/>
      <c r="E197" s="13" t="n"/>
      <c r="F197" s="13" t="n"/>
      <c r="G197" s="40" t="n"/>
      <c r="H197" s="38" t="n"/>
      <c r="I197" s="38" t="n"/>
      <c r="J197" s="38" t="n"/>
      <c r="K197" s="24">
        <f>IF($H197="","",$H197-N($J197))</f>
        <v/>
      </c>
      <c r="L197" s="25">
        <f>IFERROR($K197/$H197,"")</f>
        <v/>
      </c>
      <c r="M197" s="39">
        <f>IFERROR(INDEX('10_CLIENTI'!$B$5:$B$204,MATCH($D197,'10_CLIENTI'!$A$5:$A$204,0)),"")</f>
        <v/>
      </c>
      <c r="N197" s="39">
        <f>IFERROR(INDEX('11_PRODUSE'!$B$5:$B$104,MATCH($E197,'11_PRODUSE'!$A$5:$A$104,0)),"")</f>
        <v/>
      </c>
      <c r="O197" s="13" t="n"/>
      <c r="P197" s="13" t="n"/>
    </row>
    <row r="198">
      <c r="A198" s="35" t="n"/>
      <c r="B198" s="39">
        <f>IF($A198="","",YEAR($A198)&amp;"-"&amp;RIGHT("0"&amp;MONTH($A198),2))</f>
        <v/>
      </c>
      <c r="C198" s="13" t="n"/>
      <c r="D198" s="13" t="n"/>
      <c r="E198" s="13" t="n"/>
      <c r="F198" s="13" t="n"/>
      <c r="G198" s="40" t="n"/>
      <c r="H198" s="38" t="n"/>
      <c r="I198" s="38" t="n"/>
      <c r="J198" s="38" t="n"/>
      <c r="K198" s="24">
        <f>IF($H198="","",$H198-N($J198))</f>
        <v/>
      </c>
      <c r="L198" s="25">
        <f>IFERROR($K198/$H198,"")</f>
        <v/>
      </c>
      <c r="M198" s="39">
        <f>IFERROR(INDEX('10_CLIENTI'!$B$5:$B$204,MATCH($D198,'10_CLIENTI'!$A$5:$A$204,0)),"")</f>
        <v/>
      </c>
      <c r="N198" s="39">
        <f>IFERROR(INDEX('11_PRODUSE'!$B$5:$B$104,MATCH($E198,'11_PRODUSE'!$A$5:$A$104,0)),"")</f>
        <v/>
      </c>
      <c r="O198" s="13" t="n"/>
      <c r="P198" s="13" t="n"/>
    </row>
    <row r="199">
      <c r="A199" s="35" t="n"/>
      <c r="B199" s="39">
        <f>IF($A199="","",YEAR($A199)&amp;"-"&amp;RIGHT("0"&amp;MONTH($A199),2))</f>
        <v/>
      </c>
      <c r="C199" s="13" t="n"/>
      <c r="D199" s="13" t="n"/>
      <c r="E199" s="13" t="n"/>
      <c r="F199" s="13" t="n"/>
      <c r="G199" s="40" t="n"/>
      <c r="H199" s="38" t="n"/>
      <c r="I199" s="38" t="n"/>
      <c r="J199" s="38" t="n"/>
      <c r="K199" s="24">
        <f>IF($H199="","",$H199-N($J199))</f>
        <v/>
      </c>
      <c r="L199" s="25">
        <f>IFERROR($K199/$H199,"")</f>
        <v/>
      </c>
      <c r="M199" s="39">
        <f>IFERROR(INDEX('10_CLIENTI'!$B$5:$B$204,MATCH($D199,'10_CLIENTI'!$A$5:$A$204,0)),"")</f>
        <v/>
      </c>
      <c r="N199" s="39">
        <f>IFERROR(INDEX('11_PRODUSE'!$B$5:$B$104,MATCH($E199,'11_PRODUSE'!$A$5:$A$104,0)),"")</f>
        <v/>
      </c>
      <c r="O199" s="13" t="n"/>
      <c r="P199" s="13" t="n"/>
    </row>
    <row r="200">
      <c r="A200" s="35" t="n"/>
      <c r="B200" s="39">
        <f>IF($A200="","",YEAR($A200)&amp;"-"&amp;RIGHT("0"&amp;MONTH($A200),2))</f>
        <v/>
      </c>
      <c r="C200" s="13" t="n"/>
      <c r="D200" s="13" t="n"/>
      <c r="E200" s="13" t="n"/>
      <c r="F200" s="13" t="n"/>
      <c r="G200" s="40" t="n"/>
      <c r="H200" s="38" t="n"/>
      <c r="I200" s="38" t="n"/>
      <c r="J200" s="38" t="n"/>
      <c r="K200" s="24">
        <f>IF($H200="","",$H200-N($J200))</f>
        <v/>
      </c>
      <c r="L200" s="25">
        <f>IFERROR($K200/$H200,"")</f>
        <v/>
      </c>
      <c r="M200" s="39">
        <f>IFERROR(INDEX('10_CLIENTI'!$B$5:$B$204,MATCH($D200,'10_CLIENTI'!$A$5:$A$204,0)),"")</f>
        <v/>
      </c>
      <c r="N200" s="39">
        <f>IFERROR(INDEX('11_PRODUSE'!$B$5:$B$104,MATCH($E200,'11_PRODUSE'!$A$5:$A$104,0)),"")</f>
        <v/>
      </c>
      <c r="O200" s="13" t="n"/>
      <c r="P200" s="13" t="n"/>
    </row>
    <row r="201">
      <c r="A201" s="35" t="n"/>
      <c r="B201" s="39">
        <f>IF($A201="","",YEAR($A201)&amp;"-"&amp;RIGHT("0"&amp;MONTH($A201),2))</f>
        <v/>
      </c>
      <c r="C201" s="13" t="n"/>
      <c r="D201" s="13" t="n"/>
      <c r="E201" s="13" t="n"/>
      <c r="F201" s="13" t="n"/>
      <c r="G201" s="40" t="n"/>
      <c r="H201" s="38" t="n"/>
      <c r="I201" s="38" t="n"/>
      <c r="J201" s="38" t="n"/>
      <c r="K201" s="24">
        <f>IF($H201="","",$H201-N($J201))</f>
        <v/>
      </c>
      <c r="L201" s="25">
        <f>IFERROR($K201/$H201,"")</f>
        <v/>
      </c>
      <c r="M201" s="39">
        <f>IFERROR(INDEX('10_CLIENTI'!$B$5:$B$204,MATCH($D201,'10_CLIENTI'!$A$5:$A$204,0)),"")</f>
        <v/>
      </c>
      <c r="N201" s="39">
        <f>IFERROR(INDEX('11_PRODUSE'!$B$5:$B$104,MATCH($E201,'11_PRODUSE'!$A$5:$A$104,0)),"")</f>
        <v/>
      </c>
      <c r="O201" s="13" t="n"/>
      <c r="P201" s="13" t="n"/>
    </row>
    <row r="202">
      <c r="A202" s="35" t="n"/>
      <c r="B202" s="39">
        <f>IF($A202="","",YEAR($A202)&amp;"-"&amp;RIGHT("0"&amp;MONTH($A202),2))</f>
        <v/>
      </c>
      <c r="C202" s="13" t="n"/>
      <c r="D202" s="13" t="n"/>
      <c r="E202" s="13" t="n"/>
      <c r="F202" s="13" t="n"/>
      <c r="G202" s="40" t="n"/>
      <c r="H202" s="38" t="n"/>
      <c r="I202" s="38" t="n"/>
      <c r="J202" s="38" t="n"/>
      <c r="K202" s="24">
        <f>IF($H202="","",$H202-N($J202))</f>
        <v/>
      </c>
      <c r="L202" s="25">
        <f>IFERROR($K202/$H202,"")</f>
        <v/>
      </c>
      <c r="M202" s="39">
        <f>IFERROR(INDEX('10_CLIENTI'!$B$5:$B$204,MATCH($D202,'10_CLIENTI'!$A$5:$A$204,0)),"")</f>
        <v/>
      </c>
      <c r="N202" s="39">
        <f>IFERROR(INDEX('11_PRODUSE'!$B$5:$B$104,MATCH($E202,'11_PRODUSE'!$A$5:$A$104,0)),"")</f>
        <v/>
      </c>
      <c r="O202" s="13" t="n"/>
      <c r="P202" s="13" t="n"/>
    </row>
    <row r="203">
      <c r="A203" s="35" t="n"/>
      <c r="B203" s="39">
        <f>IF($A203="","",YEAR($A203)&amp;"-"&amp;RIGHT("0"&amp;MONTH($A203),2))</f>
        <v/>
      </c>
      <c r="C203" s="13" t="n"/>
      <c r="D203" s="13" t="n"/>
      <c r="E203" s="13" t="n"/>
      <c r="F203" s="13" t="n"/>
      <c r="G203" s="40" t="n"/>
      <c r="H203" s="38" t="n"/>
      <c r="I203" s="38" t="n"/>
      <c r="J203" s="38" t="n"/>
      <c r="K203" s="24">
        <f>IF($H203="","",$H203-N($J203))</f>
        <v/>
      </c>
      <c r="L203" s="25">
        <f>IFERROR($K203/$H203,"")</f>
        <v/>
      </c>
      <c r="M203" s="39">
        <f>IFERROR(INDEX('10_CLIENTI'!$B$5:$B$204,MATCH($D203,'10_CLIENTI'!$A$5:$A$204,0)),"")</f>
        <v/>
      </c>
      <c r="N203" s="39">
        <f>IFERROR(INDEX('11_PRODUSE'!$B$5:$B$104,MATCH($E203,'11_PRODUSE'!$A$5:$A$104,0)),"")</f>
        <v/>
      </c>
      <c r="O203" s="13" t="n"/>
      <c r="P203" s="13" t="n"/>
    </row>
    <row r="204">
      <c r="A204" s="35" t="n"/>
      <c r="B204" s="39">
        <f>IF($A204="","",YEAR($A204)&amp;"-"&amp;RIGHT("0"&amp;MONTH($A204),2))</f>
        <v/>
      </c>
      <c r="C204" s="13" t="n"/>
      <c r="D204" s="13" t="n"/>
      <c r="E204" s="13" t="n"/>
      <c r="F204" s="13" t="n"/>
      <c r="G204" s="40" t="n"/>
      <c r="H204" s="38" t="n"/>
      <c r="I204" s="38" t="n"/>
      <c r="J204" s="38" t="n"/>
      <c r="K204" s="24">
        <f>IF($H204="","",$H204-N($J204))</f>
        <v/>
      </c>
      <c r="L204" s="25">
        <f>IFERROR($K204/$H204,"")</f>
        <v/>
      </c>
      <c r="M204" s="39">
        <f>IFERROR(INDEX('10_CLIENTI'!$B$5:$B$204,MATCH($D204,'10_CLIENTI'!$A$5:$A$204,0)),"")</f>
        <v/>
      </c>
      <c r="N204" s="39">
        <f>IFERROR(INDEX('11_PRODUSE'!$B$5:$B$104,MATCH($E204,'11_PRODUSE'!$A$5:$A$104,0)),"")</f>
        <v/>
      </c>
      <c r="O204" s="13" t="n"/>
      <c r="P204" s="13" t="n"/>
    </row>
    <row r="205">
      <c r="A205" s="35" t="n"/>
      <c r="B205" s="39">
        <f>IF($A205="","",YEAR($A205)&amp;"-"&amp;RIGHT("0"&amp;MONTH($A205),2))</f>
        <v/>
      </c>
      <c r="C205" s="13" t="n"/>
      <c r="D205" s="13" t="n"/>
      <c r="E205" s="13" t="n"/>
      <c r="F205" s="13" t="n"/>
      <c r="G205" s="40" t="n"/>
      <c r="H205" s="38" t="n"/>
      <c r="I205" s="38" t="n"/>
      <c r="J205" s="38" t="n"/>
      <c r="K205" s="24">
        <f>IF($H205="","",$H205-N($J205))</f>
        <v/>
      </c>
      <c r="L205" s="25">
        <f>IFERROR($K205/$H205,"")</f>
        <v/>
      </c>
      <c r="M205" s="39">
        <f>IFERROR(INDEX('10_CLIENTI'!$B$5:$B$204,MATCH($D205,'10_CLIENTI'!$A$5:$A$204,0)),"")</f>
        <v/>
      </c>
      <c r="N205" s="39">
        <f>IFERROR(INDEX('11_PRODUSE'!$B$5:$B$104,MATCH($E205,'11_PRODUSE'!$A$5:$A$104,0)),"")</f>
        <v/>
      </c>
      <c r="O205" s="13" t="n"/>
      <c r="P205" s="13" t="n"/>
    </row>
    <row r="206">
      <c r="A206" s="35" t="n"/>
      <c r="B206" s="39">
        <f>IF($A206="","",YEAR($A206)&amp;"-"&amp;RIGHT("0"&amp;MONTH($A206),2))</f>
        <v/>
      </c>
      <c r="C206" s="13" t="n"/>
      <c r="D206" s="13" t="n"/>
      <c r="E206" s="13" t="n"/>
      <c r="F206" s="13" t="n"/>
      <c r="G206" s="40" t="n"/>
      <c r="H206" s="38" t="n"/>
      <c r="I206" s="38" t="n"/>
      <c r="J206" s="38" t="n"/>
      <c r="K206" s="24">
        <f>IF($H206="","",$H206-N($J206))</f>
        <v/>
      </c>
      <c r="L206" s="25">
        <f>IFERROR($K206/$H206,"")</f>
        <v/>
      </c>
      <c r="M206" s="39">
        <f>IFERROR(INDEX('10_CLIENTI'!$B$5:$B$204,MATCH($D206,'10_CLIENTI'!$A$5:$A$204,0)),"")</f>
        <v/>
      </c>
      <c r="N206" s="39">
        <f>IFERROR(INDEX('11_PRODUSE'!$B$5:$B$104,MATCH($E206,'11_PRODUSE'!$A$5:$A$104,0)),"")</f>
        <v/>
      </c>
      <c r="O206" s="13" t="n"/>
      <c r="P206" s="13" t="n"/>
    </row>
    <row r="207">
      <c r="A207" s="35" t="n"/>
      <c r="B207" s="39">
        <f>IF($A207="","",YEAR($A207)&amp;"-"&amp;RIGHT("0"&amp;MONTH($A207),2))</f>
        <v/>
      </c>
      <c r="C207" s="13" t="n"/>
      <c r="D207" s="13" t="n"/>
      <c r="E207" s="13" t="n"/>
      <c r="F207" s="13" t="n"/>
      <c r="G207" s="40" t="n"/>
      <c r="H207" s="38" t="n"/>
      <c r="I207" s="38" t="n"/>
      <c r="J207" s="38" t="n"/>
      <c r="K207" s="24">
        <f>IF($H207="","",$H207-N($J207))</f>
        <v/>
      </c>
      <c r="L207" s="25">
        <f>IFERROR($K207/$H207,"")</f>
        <v/>
      </c>
      <c r="M207" s="39">
        <f>IFERROR(INDEX('10_CLIENTI'!$B$5:$B$204,MATCH($D207,'10_CLIENTI'!$A$5:$A$204,0)),"")</f>
        <v/>
      </c>
      <c r="N207" s="39">
        <f>IFERROR(INDEX('11_PRODUSE'!$B$5:$B$104,MATCH($E207,'11_PRODUSE'!$A$5:$A$104,0)),"")</f>
        <v/>
      </c>
      <c r="O207" s="13" t="n"/>
      <c r="P207" s="13" t="n"/>
    </row>
    <row r="208">
      <c r="A208" s="35" t="n"/>
      <c r="B208" s="39">
        <f>IF($A208="","",YEAR($A208)&amp;"-"&amp;RIGHT("0"&amp;MONTH($A208),2))</f>
        <v/>
      </c>
      <c r="C208" s="13" t="n"/>
      <c r="D208" s="13" t="n"/>
      <c r="E208" s="13" t="n"/>
      <c r="F208" s="13" t="n"/>
      <c r="G208" s="40" t="n"/>
      <c r="H208" s="38" t="n"/>
      <c r="I208" s="38" t="n"/>
      <c r="J208" s="38" t="n"/>
      <c r="K208" s="24">
        <f>IF($H208="","",$H208-N($J208))</f>
        <v/>
      </c>
      <c r="L208" s="25">
        <f>IFERROR($K208/$H208,"")</f>
        <v/>
      </c>
      <c r="M208" s="39">
        <f>IFERROR(INDEX('10_CLIENTI'!$B$5:$B$204,MATCH($D208,'10_CLIENTI'!$A$5:$A$204,0)),"")</f>
        <v/>
      </c>
      <c r="N208" s="39">
        <f>IFERROR(INDEX('11_PRODUSE'!$B$5:$B$104,MATCH($E208,'11_PRODUSE'!$A$5:$A$104,0)),"")</f>
        <v/>
      </c>
      <c r="O208" s="13" t="n"/>
      <c r="P208" s="13" t="n"/>
    </row>
    <row r="209">
      <c r="A209" s="35" t="n"/>
      <c r="B209" s="39">
        <f>IF($A209="","",YEAR($A209)&amp;"-"&amp;RIGHT("0"&amp;MONTH($A209),2))</f>
        <v/>
      </c>
      <c r="C209" s="13" t="n"/>
      <c r="D209" s="13" t="n"/>
      <c r="E209" s="13" t="n"/>
      <c r="F209" s="13" t="n"/>
      <c r="G209" s="40" t="n"/>
      <c r="H209" s="38" t="n"/>
      <c r="I209" s="38" t="n"/>
      <c r="J209" s="38" t="n"/>
      <c r="K209" s="24">
        <f>IF($H209="","",$H209-N($J209))</f>
        <v/>
      </c>
      <c r="L209" s="25">
        <f>IFERROR($K209/$H209,"")</f>
        <v/>
      </c>
      <c r="M209" s="39">
        <f>IFERROR(INDEX('10_CLIENTI'!$B$5:$B$204,MATCH($D209,'10_CLIENTI'!$A$5:$A$204,0)),"")</f>
        <v/>
      </c>
      <c r="N209" s="39">
        <f>IFERROR(INDEX('11_PRODUSE'!$B$5:$B$104,MATCH($E209,'11_PRODUSE'!$A$5:$A$104,0)),"")</f>
        <v/>
      </c>
      <c r="O209" s="13" t="n"/>
      <c r="P209" s="13" t="n"/>
    </row>
    <row r="210">
      <c r="A210" s="35" t="n"/>
      <c r="B210" s="39">
        <f>IF($A210="","",YEAR($A210)&amp;"-"&amp;RIGHT("0"&amp;MONTH($A210),2))</f>
        <v/>
      </c>
      <c r="C210" s="13" t="n"/>
      <c r="D210" s="13" t="n"/>
      <c r="E210" s="13" t="n"/>
      <c r="F210" s="13" t="n"/>
      <c r="G210" s="40" t="n"/>
      <c r="H210" s="38" t="n"/>
      <c r="I210" s="38" t="n"/>
      <c r="J210" s="38" t="n"/>
      <c r="K210" s="24">
        <f>IF($H210="","",$H210-N($J210))</f>
        <v/>
      </c>
      <c r="L210" s="25">
        <f>IFERROR($K210/$H210,"")</f>
        <v/>
      </c>
      <c r="M210" s="39">
        <f>IFERROR(INDEX('10_CLIENTI'!$B$5:$B$204,MATCH($D210,'10_CLIENTI'!$A$5:$A$204,0)),"")</f>
        <v/>
      </c>
      <c r="N210" s="39">
        <f>IFERROR(INDEX('11_PRODUSE'!$B$5:$B$104,MATCH($E210,'11_PRODUSE'!$A$5:$A$104,0)),"")</f>
        <v/>
      </c>
      <c r="O210" s="13" t="n"/>
      <c r="P210" s="13" t="n"/>
    </row>
    <row r="211">
      <c r="A211" s="35" t="n"/>
      <c r="B211" s="39">
        <f>IF($A211="","",YEAR($A211)&amp;"-"&amp;RIGHT("0"&amp;MONTH($A211),2))</f>
        <v/>
      </c>
      <c r="C211" s="13" t="n"/>
      <c r="D211" s="13" t="n"/>
      <c r="E211" s="13" t="n"/>
      <c r="F211" s="13" t="n"/>
      <c r="G211" s="40" t="n"/>
      <c r="H211" s="38" t="n"/>
      <c r="I211" s="38" t="n"/>
      <c r="J211" s="38" t="n"/>
      <c r="K211" s="24">
        <f>IF($H211="","",$H211-N($J211))</f>
        <v/>
      </c>
      <c r="L211" s="25">
        <f>IFERROR($K211/$H211,"")</f>
        <v/>
      </c>
      <c r="M211" s="39">
        <f>IFERROR(INDEX('10_CLIENTI'!$B$5:$B$204,MATCH($D211,'10_CLIENTI'!$A$5:$A$204,0)),"")</f>
        <v/>
      </c>
      <c r="N211" s="39">
        <f>IFERROR(INDEX('11_PRODUSE'!$B$5:$B$104,MATCH($E211,'11_PRODUSE'!$A$5:$A$104,0)),"")</f>
        <v/>
      </c>
      <c r="O211" s="13" t="n"/>
      <c r="P211" s="13" t="n"/>
    </row>
    <row r="212">
      <c r="A212" s="35" t="n"/>
      <c r="B212" s="39">
        <f>IF($A212="","",YEAR($A212)&amp;"-"&amp;RIGHT("0"&amp;MONTH($A212),2))</f>
        <v/>
      </c>
      <c r="C212" s="13" t="n"/>
      <c r="D212" s="13" t="n"/>
      <c r="E212" s="13" t="n"/>
      <c r="F212" s="13" t="n"/>
      <c r="G212" s="40" t="n"/>
      <c r="H212" s="38" t="n"/>
      <c r="I212" s="38" t="n"/>
      <c r="J212" s="38" t="n"/>
      <c r="K212" s="24">
        <f>IF($H212="","",$H212-N($J212))</f>
        <v/>
      </c>
      <c r="L212" s="25">
        <f>IFERROR($K212/$H212,"")</f>
        <v/>
      </c>
      <c r="M212" s="39">
        <f>IFERROR(INDEX('10_CLIENTI'!$B$5:$B$204,MATCH($D212,'10_CLIENTI'!$A$5:$A$204,0)),"")</f>
        <v/>
      </c>
      <c r="N212" s="39">
        <f>IFERROR(INDEX('11_PRODUSE'!$B$5:$B$104,MATCH($E212,'11_PRODUSE'!$A$5:$A$104,0)),"")</f>
        <v/>
      </c>
      <c r="O212" s="13" t="n"/>
      <c r="P212" s="13" t="n"/>
    </row>
    <row r="213">
      <c r="A213" s="35" t="n"/>
      <c r="B213" s="39">
        <f>IF($A213="","",YEAR($A213)&amp;"-"&amp;RIGHT("0"&amp;MONTH($A213),2))</f>
        <v/>
      </c>
      <c r="C213" s="13" t="n"/>
      <c r="D213" s="13" t="n"/>
      <c r="E213" s="13" t="n"/>
      <c r="F213" s="13" t="n"/>
      <c r="G213" s="40" t="n"/>
      <c r="H213" s="38" t="n"/>
      <c r="I213" s="38" t="n"/>
      <c r="J213" s="38" t="n"/>
      <c r="K213" s="24">
        <f>IF($H213="","",$H213-N($J213))</f>
        <v/>
      </c>
      <c r="L213" s="25">
        <f>IFERROR($K213/$H213,"")</f>
        <v/>
      </c>
      <c r="M213" s="39">
        <f>IFERROR(INDEX('10_CLIENTI'!$B$5:$B$204,MATCH($D213,'10_CLIENTI'!$A$5:$A$204,0)),"")</f>
        <v/>
      </c>
      <c r="N213" s="39">
        <f>IFERROR(INDEX('11_PRODUSE'!$B$5:$B$104,MATCH($E213,'11_PRODUSE'!$A$5:$A$104,0)),"")</f>
        <v/>
      </c>
      <c r="O213" s="13" t="n"/>
      <c r="P213" s="13" t="n"/>
    </row>
    <row r="214">
      <c r="A214" s="35" t="n"/>
      <c r="B214" s="39">
        <f>IF($A214="","",YEAR($A214)&amp;"-"&amp;RIGHT("0"&amp;MONTH($A214),2))</f>
        <v/>
      </c>
      <c r="C214" s="13" t="n"/>
      <c r="D214" s="13" t="n"/>
      <c r="E214" s="13" t="n"/>
      <c r="F214" s="13" t="n"/>
      <c r="G214" s="40" t="n"/>
      <c r="H214" s="38" t="n"/>
      <c r="I214" s="38" t="n"/>
      <c r="J214" s="38" t="n"/>
      <c r="K214" s="24">
        <f>IF($H214="","",$H214-N($J214))</f>
        <v/>
      </c>
      <c r="L214" s="25">
        <f>IFERROR($K214/$H214,"")</f>
        <v/>
      </c>
      <c r="M214" s="39">
        <f>IFERROR(INDEX('10_CLIENTI'!$B$5:$B$204,MATCH($D214,'10_CLIENTI'!$A$5:$A$204,0)),"")</f>
        <v/>
      </c>
      <c r="N214" s="39">
        <f>IFERROR(INDEX('11_PRODUSE'!$B$5:$B$104,MATCH($E214,'11_PRODUSE'!$A$5:$A$104,0)),"")</f>
        <v/>
      </c>
      <c r="O214" s="13" t="n"/>
      <c r="P214" s="13" t="n"/>
    </row>
    <row r="215">
      <c r="A215" s="35" t="n"/>
      <c r="B215" s="39">
        <f>IF($A215="","",YEAR($A215)&amp;"-"&amp;RIGHT("0"&amp;MONTH($A215),2))</f>
        <v/>
      </c>
      <c r="C215" s="13" t="n"/>
      <c r="D215" s="13" t="n"/>
      <c r="E215" s="13" t="n"/>
      <c r="F215" s="13" t="n"/>
      <c r="G215" s="40" t="n"/>
      <c r="H215" s="38" t="n"/>
      <c r="I215" s="38" t="n"/>
      <c r="J215" s="38" t="n"/>
      <c r="K215" s="24">
        <f>IF($H215="","",$H215-N($J215))</f>
        <v/>
      </c>
      <c r="L215" s="25">
        <f>IFERROR($K215/$H215,"")</f>
        <v/>
      </c>
      <c r="M215" s="39">
        <f>IFERROR(INDEX('10_CLIENTI'!$B$5:$B$204,MATCH($D215,'10_CLIENTI'!$A$5:$A$204,0)),"")</f>
        <v/>
      </c>
      <c r="N215" s="39">
        <f>IFERROR(INDEX('11_PRODUSE'!$B$5:$B$104,MATCH($E215,'11_PRODUSE'!$A$5:$A$104,0)),"")</f>
        <v/>
      </c>
      <c r="O215" s="13" t="n"/>
      <c r="P215" s="13" t="n"/>
    </row>
    <row r="216">
      <c r="A216" s="35" t="n"/>
      <c r="B216" s="39">
        <f>IF($A216="","",YEAR($A216)&amp;"-"&amp;RIGHT("0"&amp;MONTH($A216),2))</f>
        <v/>
      </c>
      <c r="C216" s="13" t="n"/>
      <c r="D216" s="13" t="n"/>
      <c r="E216" s="13" t="n"/>
      <c r="F216" s="13" t="n"/>
      <c r="G216" s="40" t="n"/>
      <c r="H216" s="38" t="n"/>
      <c r="I216" s="38" t="n"/>
      <c r="J216" s="38" t="n"/>
      <c r="K216" s="24">
        <f>IF($H216="","",$H216-N($J216))</f>
        <v/>
      </c>
      <c r="L216" s="25">
        <f>IFERROR($K216/$H216,"")</f>
        <v/>
      </c>
      <c r="M216" s="39">
        <f>IFERROR(INDEX('10_CLIENTI'!$B$5:$B$204,MATCH($D216,'10_CLIENTI'!$A$5:$A$204,0)),"")</f>
        <v/>
      </c>
      <c r="N216" s="39">
        <f>IFERROR(INDEX('11_PRODUSE'!$B$5:$B$104,MATCH($E216,'11_PRODUSE'!$A$5:$A$104,0)),"")</f>
        <v/>
      </c>
      <c r="O216" s="13" t="n"/>
      <c r="P216" s="13" t="n"/>
    </row>
    <row r="217">
      <c r="A217" s="35" t="n"/>
      <c r="B217" s="39">
        <f>IF($A217="","",YEAR($A217)&amp;"-"&amp;RIGHT("0"&amp;MONTH($A217),2))</f>
        <v/>
      </c>
      <c r="C217" s="13" t="n"/>
      <c r="D217" s="13" t="n"/>
      <c r="E217" s="13" t="n"/>
      <c r="F217" s="13" t="n"/>
      <c r="G217" s="40" t="n"/>
      <c r="H217" s="38" t="n"/>
      <c r="I217" s="38" t="n"/>
      <c r="J217" s="38" t="n"/>
      <c r="K217" s="24">
        <f>IF($H217="","",$H217-N($J217))</f>
        <v/>
      </c>
      <c r="L217" s="25">
        <f>IFERROR($K217/$H217,"")</f>
        <v/>
      </c>
      <c r="M217" s="39">
        <f>IFERROR(INDEX('10_CLIENTI'!$B$5:$B$204,MATCH($D217,'10_CLIENTI'!$A$5:$A$204,0)),"")</f>
        <v/>
      </c>
      <c r="N217" s="39">
        <f>IFERROR(INDEX('11_PRODUSE'!$B$5:$B$104,MATCH($E217,'11_PRODUSE'!$A$5:$A$104,0)),"")</f>
        <v/>
      </c>
      <c r="O217" s="13" t="n"/>
      <c r="P217" s="13" t="n"/>
    </row>
    <row r="218">
      <c r="A218" s="35" t="n"/>
      <c r="B218" s="39">
        <f>IF($A218="","",YEAR($A218)&amp;"-"&amp;RIGHT("0"&amp;MONTH($A218),2))</f>
        <v/>
      </c>
      <c r="C218" s="13" t="n"/>
      <c r="D218" s="13" t="n"/>
      <c r="E218" s="13" t="n"/>
      <c r="F218" s="13" t="n"/>
      <c r="G218" s="40" t="n"/>
      <c r="H218" s="38" t="n"/>
      <c r="I218" s="38" t="n"/>
      <c r="J218" s="38" t="n"/>
      <c r="K218" s="24">
        <f>IF($H218="","",$H218-N($J218))</f>
        <v/>
      </c>
      <c r="L218" s="25">
        <f>IFERROR($K218/$H218,"")</f>
        <v/>
      </c>
      <c r="M218" s="39">
        <f>IFERROR(INDEX('10_CLIENTI'!$B$5:$B$204,MATCH($D218,'10_CLIENTI'!$A$5:$A$204,0)),"")</f>
        <v/>
      </c>
      <c r="N218" s="39">
        <f>IFERROR(INDEX('11_PRODUSE'!$B$5:$B$104,MATCH($E218,'11_PRODUSE'!$A$5:$A$104,0)),"")</f>
        <v/>
      </c>
      <c r="O218" s="13" t="n"/>
      <c r="P218" s="13" t="n"/>
    </row>
    <row r="219">
      <c r="A219" s="35" t="n"/>
      <c r="B219" s="39">
        <f>IF($A219="","",YEAR($A219)&amp;"-"&amp;RIGHT("0"&amp;MONTH($A219),2))</f>
        <v/>
      </c>
      <c r="C219" s="13" t="n"/>
      <c r="D219" s="13" t="n"/>
      <c r="E219" s="13" t="n"/>
      <c r="F219" s="13" t="n"/>
      <c r="G219" s="40" t="n"/>
      <c r="H219" s="38" t="n"/>
      <c r="I219" s="38" t="n"/>
      <c r="J219" s="38" t="n"/>
      <c r="K219" s="24">
        <f>IF($H219="","",$H219-N($J219))</f>
        <v/>
      </c>
      <c r="L219" s="25">
        <f>IFERROR($K219/$H219,"")</f>
        <v/>
      </c>
      <c r="M219" s="39">
        <f>IFERROR(INDEX('10_CLIENTI'!$B$5:$B$204,MATCH($D219,'10_CLIENTI'!$A$5:$A$204,0)),"")</f>
        <v/>
      </c>
      <c r="N219" s="39">
        <f>IFERROR(INDEX('11_PRODUSE'!$B$5:$B$104,MATCH($E219,'11_PRODUSE'!$A$5:$A$104,0)),"")</f>
        <v/>
      </c>
      <c r="O219" s="13" t="n"/>
      <c r="P219" s="13" t="n"/>
    </row>
    <row r="220">
      <c r="A220" s="35" t="n"/>
      <c r="B220" s="39">
        <f>IF($A220="","",YEAR($A220)&amp;"-"&amp;RIGHT("0"&amp;MONTH($A220),2))</f>
        <v/>
      </c>
      <c r="C220" s="13" t="n"/>
      <c r="D220" s="13" t="n"/>
      <c r="E220" s="13" t="n"/>
      <c r="F220" s="13" t="n"/>
      <c r="G220" s="40" t="n"/>
      <c r="H220" s="38" t="n"/>
      <c r="I220" s="38" t="n"/>
      <c r="J220" s="38" t="n"/>
      <c r="K220" s="24">
        <f>IF($H220="","",$H220-N($J220))</f>
        <v/>
      </c>
      <c r="L220" s="25">
        <f>IFERROR($K220/$H220,"")</f>
        <v/>
      </c>
      <c r="M220" s="39">
        <f>IFERROR(INDEX('10_CLIENTI'!$B$5:$B$204,MATCH($D220,'10_CLIENTI'!$A$5:$A$204,0)),"")</f>
        <v/>
      </c>
      <c r="N220" s="39">
        <f>IFERROR(INDEX('11_PRODUSE'!$B$5:$B$104,MATCH($E220,'11_PRODUSE'!$A$5:$A$104,0)),"")</f>
        <v/>
      </c>
      <c r="O220" s="13" t="n"/>
      <c r="P220" s="13" t="n"/>
    </row>
    <row r="221">
      <c r="A221" s="35" t="n"/>
      <c r="B221" s="39">
        <f>IF($A221="","",YEAR($A221)&amp;"-"&amp;RIGHT("0"&amp;MONTH($A221),2))</f>
        <v/>
      </c>
      <c r="C221" s="13" t="n"/>
      <c r="D221" s="13" t="n"/>
      <c r="E221" s="13" t="n"/>
      <c r="F221" s="13" t="n"/>
      <c r="G221" s="40" t="n"/>
      <c r="H221" s="38" t="n"/>
      <c r="I221" s="38" t="n"/>
      <c r="J221" s="38" t="n"/>
      <c r="K221" s="24">
        <f>IF($H221="","",$H221-N($J221))</f>
        <v/>
      </c>
      <c r="L221" s="25">
        <f>IFERROR($K221/$H221,"")</f>
        <v/>
      </c>
      <c r="M221" s="39">
        <f>IFERROR(INDEX('10_CLIENTI'!$B$5:$B$204,MATCH($D221,'10_CLIENTI'!$A$5:$A$204,0)),"")</f>
        <v/>
      </c>
      <c r="N221" s="39">
        <f>IFERROR(INDEX('11_PRODUSE'!$B$5:$B$104,MATCH($E221,'11_PRODUSE'!$A$5:$A$104,0)),"")</f>
        <v/>
      </c>
      <c r="O221" s="13" t="n"/>
      <c r="P221" s="13" t="n"/>
    </row>
    <row r="222">
      <c r="A222" s="35" t="n"/>
      <c r="B222" s="39">
        <f>IF($A222="","",YEAR($A222)&amp;"-"&amp;RIGHT("0"&amp;MONTH($A222),2))</f>
        <v/>
      </c>
      <c r="C222" s="13" t="n"/>
      <c r="D222" s="13" t="n"/>
      <c r="E222" s="13" t="n"/>
      <c r="F222" s="13" t="n"/>
      <c r="G222" s="40" t="n"/>
      <c r="H222" s="38" t="n"/>
      <c r="I222" s="38" t="n"/>
      <c r="J222" s="38" t="n"/>
      <c r="K222" s="24">
        <f>IF($H222="","",$H222-N($J222))</f>
        <v/>
      </c>
      <c r="L222" s="25">
        <f>IFERROR($K222/$H222,"")</f>
        <v/>
      </c>
      <c r="M222" s="39">
        <f>IFERROR(INDEX('10_CLIENTI'!$B$5:$B$204,MATCH($D222,'10_CLIENTI'!$A$5:$A$204,0)),"")</f>
        <v/>
      </c>
      <c r="N222" s="39">
        <f>IFERROR(INDEX('11_PRODUSE'!$B$5:$B$104,MATCH($E222,'11_PRODUSE'!$A$5:$A$104,0)),"")</f>
        <v/>
      </c>
      <c r="O222" s="13" t="n"/>
      <c r="P222" s="13" t="n"/>
    </row>
    <row r="223">
      <c r="A223" s="35" t="n"/>
      <c r="B223" s="39">
        <f>IF($A223="","",YEAR($A223)&amp;"-"&amp;RIGHT("0"&amp;MONTH($A223),2))</f>
        <v/>
      </c>
      <c r="C223" s="13" t="n"/>
      <c r="D223" s="13" t="n"/>
      <c r="E223" s="13" t="n"/>
      <c r="F223" s="13" t="n"/>
      <c r="G223" s="40" t="n"/>
      <c r="H223" s="38" t="n"/>
      <c r="I223" s="38" t="n"/>
      <c r="J223" s="38" t="n"/>
      <c r="K223" s="24">
        <f>IF($H223="","",$H223-N($J223))</f>
        <v/>
      </c>
      <c r="L223" s="25">
        <f>IFERROR($K223/$H223,"")</f>
        <v/>
      </c>
      <c r="M223" s="39">
        <f>IFERROR(INDEX('10_CLIENTI'!$B$5:$B$204,MATCH($D223,'10_CLIENTI'!$A$5:$A$204,0)),"")</f>
        <v/>
      </c>
      <c r="N223" s="39">
        <f>IFERROR(INDEX('11_PRODUSE'!$B$5:$B$104,MATCH($E223,'11_PRODUSE'!$A$5:$A$104,0)),"")</f>
        <v/>
      </c>
      <c r="O223" s="13" t="n"/>
      <c r="P223" s="13" t="n"/>
    </row>
    <row r="224">
      <c r="A224" s="35" t="n"/>
      <c r="B224" s="39">
        <f>IF($A224="","",YEAR($A224)&amp;"-"&amp;RIGHT("0"&amp;MONTH($A224),2))</f>
        <v/>
      </c>
      <c r="C224" s="13" t="n"/>
      <c r="D224" s="13" t="n"/>
      <c r="E224" s="13" t="n"/>
      <c r="F224" s="13" t="n"/>
      <c r="G224" s="40" t="n"/>
      <c r="H224" s="38" t="n"/>
      <c r="I224" s="38" t="n"/>
      <c r="J224" s="38" t="n"/>
      <c r="K224" s="24">
        <f>IF($H224="","",$H224-N($J224))</f>
        <v/>
      </c>
      <c r="L224" s="25">
        <f>IFERROR($K224/$H224,"")</f>
        <v/>
      </c>
      <c r="M224" s="39">
        <f>IFERROR(INDEX('10_CLIENTI'!$B$5:$B$204,MATCH($D224,'10_CLIENTI'!$A$5:$A$204,0)),"")</f>
        <v/>
      </c>
      <c r="N224" s="39">
        <f>IFERROR(INDEX('11_PRODUSE'!$B$5:$B$104,MATCH($E224,'11_PRODUSE'!$A$5:$A$104,0)),"")</f>
        <v/>
      </c>
      <c r="O224" s="13" t="n"/>
      <c r="P224" s="13" t="n"/>
    </row>
    <row r="225">
      <c r="A225" s="35" t="n"/>
      <c r="B225" s="39">
        <f>IF($A225="","",YEAR($A225)&amp;"-"&amp;RIGHT("0"&amp;MONTH($A225),2))</f>
        <v/>
      </c>
      <c r="C225" s="13" t="n"/>
      <c r="D225" s="13" t="n"/>
      <c r="E225" s="13" t="n"/>
      <c r="F225" s="13" t="n"/>
      <c r="G225" s="40" t="n"/>
      <c r="H225" s="38" t="n"/>
      <c r="I225" s="38" t="n"/>
      <c r="J225" s="38" t="n"/>
      <c r="K225" s="24">
        <f>IF($H225="","",$H225-N($J225))</f>
        <v/>
      </c>
      <c r="L225" s="25">
        <f>IFERROR($K225/$H225,"")</f>
        <v/>
      </c>
      <c r="M225" s="39">
        <f>IFERROR(INDEX('10_CLIENTI'!$B$5:$B$204,MATCH($D225,'10_CLIENTI'!$A$5:$A$204,0)),"")</f>
        <v/>
      </c>
      <c r="N225" s="39">
        <f>IFERROR(INDEX('11_PRODUSE'!$B$5:$B$104,MATCH($E225,'11_PRODUSE'!$A$5:$A$104,0)),"")</f>
        <v/>
      </c>
      <c r="O225" s="13" t="n"/>
      <c r="P225" s="13" t="n"/>
    </row>
    <row r="226">
      <c r="A226" s="35" t="n"/>
      <c r="B226" s="39">
        <f>IF($A226="","",YEAR($A226)&amp;"-"&amp;RIGHT("0"&amp;MONTH($A226),2))</f>
        <v/>
      </c>
      <c r="C226" s="13" t="n"/>
      <c r="D226" s="13" t="n"/>
      <c r="E226" s="13" t="n"/>
      <c r="F226" s="13" t="n"/>
      <c r="G226" s="40" t="n"/>
      <c r="H226" s="38" t="n"/>
      <c r="I226" s="38" t="n"/>
      <c r="J226" s="38" t="n"/>
      <c r="K226" s="24">
        <f>IF($H226="","",$H226-N($J226))</f>
        <v/>
      </c>
      <c r="L226" s="25">
        <f>IFERROR($K226/$H226,"")</f>
        <v/>
      </c>
      <c r="M226" s="39">
        <f>IFERROR(INDEX('10_CLIENTI'!$B$5:$B$204,MATCH($D226,'10_CLIENTI'!$A$5:$A$204,0)),"")</f>
        <v/>
      </c>
      <c r="N226" s="39">
        <f>IFERROR(INDEX('11_PRODUSE'!$B$5:$B$104,MATCH($E226,'11_PRODUSE'!$A$5:$A$104,0)),"")</f>
        <v/>
      </c>
      <c r="O226" s="13" t="n"/>
      <c r="P226" s="13" t="n"/>
    </row>
    <row r="227">
      <c r="A227" s="35" t="n"/>
      <c r="B227" s="39">
        <f>IF($A227="","",YEAR($A227)&amp;"-"&amp;RIGHT("0"&amp;MONTH($A227),2))</f>
        <v/>
      </c>
      <c r="C227" s="13" t="n"/>
      <c r="D227" s="13" t="n"/>
      <c r="E227" s="13" t="n"/>
      <c r="F227" s="13" t="n"/>
      <c r="G227" s="40" t="n"/>
      <c r="H227" s="38" t="n"/>
      <c r="I227" s="38" t="n"/>
      <c r="J227" s="38" t="n"/>
      <c r="K227" s="24">
        <f>IF($H227="","",$H227-N($J227))</f>
        <v/>
      </c>
      <c r="L227" s="25">
        <f>IFERROR($K227/$H227,"")</f>
        <v/>
      </c>
      <c r="M227" s="39">
        <f>IFERROR(INDEX('10_CLIENTI'!$B$5:$B$204,MATCH($D227,'10_CLIENTI'!$A$5:$A$204,0)),"")</f>
        <v/>
      </c>
      <c r="N227" s="39">
        <f>IFERROR(INDEX('11_PRODUSE'!$B$5:$B$104,MATCH($E227,'11_PRODUSE'!$A$5:$A$104,0)),"")</f>
        <v/>
      </c>
      <c r="O227" s="13" t="n"/>
      <c r="P227" s="13" t="n"/>
    </row>
    <row r="228">
      <c r="A228" s="35" t="n"/>
      <c r="B228" s="39">
        <f>IF($A228="","",YEAR($A228)&amp;"-"&amp;RIGHT("0"&amp;MONTH($A228),2))</f>
        <v/>
      </c>
      <c r="C228" s="13" t="n"/>
      <c r="D228" s="13" t="n"/>
      <c r="E228" s="13" t="n"/>
      <c r="F228" s="13" t="n"/>
      <c r="G228" s="40" t="n"/>
      <c r="H228" s="38" t="n"/>
      <c r="I228" s="38" t="n"/>
      <c r="J228" s="38" t="n"/>
      <c r="K228" s="24">
        <f>IF($H228="","",$H228-N($J228))</f>
        <v/>
      </c>
      <c r="L228" s="25">
        <f>IFERROR($K228/$H228,"")</f>
        <v/>
      </c>
      <c r="M228" s="39">
        <f>IFERROR(INDEX('10_CLIENTI'!$B$5:$B$204,MATCH($D228,'10_CLIENTI'!$A$5:$A$204,0)),"")</f>
        <v/>
      </c>
      <c r="N228" s="39">
        <f>IFERROR(INDEX('11_PRODUSE'!$B$5:$B$104,MATCH($E228,'11_PRODUSE'!$A$5:$A$104,0)),"")</f>
        <v/>
      </c>
      <c r="O228" s="13" t="n"/>
      <c r="P228" s="13" t="n"/>
    </row>
    <row r="229">
      <c r="A229" s="35" t="n"/>
      <c r="B229" s="39">
        <f>IF($A229="","",YEAR($A229)&amp;"-"&amp;RIGHT("0"&amp;MONTH($A229),2))</f>
        <v/>
      </c>
      <c r="C229" s="13" t="n"/>
      <c r="D229" s="13" t="n"/>
      <c r="E229" s="13" t="n"/>
      <c r="F229" s="13" t="n"/>
      <c r="G229" s="40" t="n"/>
      <c r="H229" s="38" t="n"/>
      <c r="I229" s="38" t="n"/>
      <c r="J229" s="38" t="n"/>
      <c r="K229" s="24">
        <f>IF($H229="","",$H229-N($J229))</f>
        <v/>
      </c>
      <c r="L229" s="25">
        <f>IFERROR($K229/$H229,"")</f>
        <v/>
      </c>
      <c r="M229" s="39">
        <f>IFERROR(INDEX('10_CLIENTI'!$B$5:$B$204,MATCH($D229,'10_CLIENTI'!$A$5:$A$204,0)),"")</f>
        <v/>
      </c>
      <c r="N229" s="39">
        <f>IFERROR(INDEX('11_PRODUSE'!$B$5:$B$104,MATCH($E229,'11_PRODUSE'!$A$5:$A$104,0)),"")</f>
        <v/>
      </c>
      <c r="O229" s="13" t="n"/>
      <c r="P229" s="13" t="n"/>
    </row>
    <row r="230">
      <c r="A230" s="35" t="n"/>
      <c r="B230" s="39">
        <f>IF($A230="","",YEAR($A230)&amp;"-"&amp;RIGHT("0"&amp;MONTH($A230),2))</f>
        <v/>
      </c>
      <c r="C230" s="13" t="n"/>
      <c r="D230" s="13" t="n"/>
      <c r="E230" s="13" t="n"/>
      <c r="F230" s="13" t="n"/>
      <c r="G230" s="40" t="n"/>
      <c r="H230" s="38" t="n"/>
      <c r="I230" s="38" t="n"/>
      <c r="J230" s="38" t="n"/>
      <c r="K230" s="24">
        <f>IF($H230="","",$H230-N($J230))</f>
        <v/>
      </c>
      <c r="L230" s="25">
        <f>IFERROR($K230/$H230,"")</f>
        <v/>
      </c>
      <c r="M230" s="39">
        <f>IFERROR(INDEX('10_CLIENTI'!$B$5:$B$204,MATCH($D230,'10_CLIENTI'!$A$5:$A$204,0)),"")</f>
        <v/>
      </c>
      <c r="N230" s="39">
        <f>IFERROR(INDEX('11_PRODUSE'!$B$5:$B$104,MATCH($E230,'11_PRODUSE'!$A$5:$A$104,0)),"")</f>
        <v/>
      </c>
      <c r="O230" s="13" t="n"/>
      <c r="P230" s="13" t="n"/>
    </row>
    <row r="231">
      <c r="A231" s="35" t="n"/>
      <c r="B231" s="39">
        <f>IF($A231="","",YEAR($A231)&amp;"-"&amp;RIGHT("0"&amp;MONTH($A231),2))</f>
        <v/>
      </c>
      <c r="C231" s="13" t="n"/>
      <c r="D231" s="13" t="n"/>
      <c r="E231" s="13" t="n"/>
      <c r="F231" s="13" t="n"/>
      <c r="G231" s="40" t="n"/>
      <c r="H231" s="38" t="n"/>
      <c r="I231" s="38" t="n"/>
      <c r="J231" s="38" t="n"/>
      <c r="K231" s="24">
        <f>IF($H231="","",$H231-N($J231))</f>
        <v/>
      </c>
      <c r="L231" s="25">
        <f>IFERROR($K231/$H231,"")</f>
        <v/>
      </c>
      <c r="M231" s="39">
        <f>IFERROR(INDEX('10_CLIENTI'!$B$5:$B$204,MATCH($D231,'10_CLIENTI'!$A$5:$A$204,0)),"")</f>
        <v/>
      </c>
      <c r="N231" s="39">
        <f>IFERROR(INDEX('11_PRODUSE'!$B$5:$B$104,MATCH($E231,'11_PRODUSE'!$A$5:$A$104,0)),"")</f>
        <v/>
      </c>
      <c r="O231" s="13" t="n"/>
      <c r="P231" s="13" t="n"/>
    </row>
    <row r="232">
      <c r="A232" s="35" t="n"/>
      <c r="B232" s="39">
        <f>IF($A232="","",YEAR($A232)&amp;"-"&amp;RIGHT("0"&amp;MONTH($A232),2))</f>
        <v/>
      </c>
      <c r="C232" s="13" t="n"/>
      <c r="D232" s="13" t="n"/>
      <c r="E232" s="13" t="n"/>
      <c r="F232" s="13" t="n"/>
      <c r="G232" s="40" t="n"/>
      <c r="H232" s="38" t="n"/>
      <c r="I232" s="38" t="n"/>
      <c r="J232" s="38" t="n"/>
      <c r="K232" s="24">
        <f>IF($H232="","",$H232-N($J232))</f>
        <v/>
      </c>
      <c r="L232" s="25">
        <f>IFERROR($K232/$H232,"")</f>
        <v/>
      </c>
      <c r="M232" s="39">
        <f>IFERROR(INDEX('10_CLIENTI'!$B$5:$B$204,MATCH($D232,'10_CLIENTI'!$A$5:$A$204,0)),"")</f>
        <v/>
      </c>
      <c r="N232" s="39">
        <f>IFERROR(INDEX('11_PRODUSE'!$B$5:$B$104,MATCH($E232,'11_PRODUSE'!$A$5:$A$104,0)),"")</f>
        <v/>
      </c>
      <c r="O232" s="13" t="n"/>
      <c r="P232" s="13" t="n"/>
    </row>
    <row r="233">
      <c r="A233" s="35" t="n"/>
      <c r="B233" s="39">
        <f>IF($A233="","",YEAR($A233)&amp;"-"&amp;RIGHT("0"&amp;MONTH($A233),2))</f>
        <v/>
      </c>
      <c r="C233" s="13" t="n"/>
      <c r="D233" s="13" t="n"/>
      <c r="E233" s="13" t="n"/>
      <c r="F233" s="13" t="n"/>
      <c r="G233" s="40" t="n"/>
      <c r="H233" s="38" t="n"/>
      <c r="I233" s="38" t="n"/>
      <c r="J233" s="38" t="n"/>
      <c r="K233" s="24">
        <f>IF($H233="","",$H233-N($J233))</f>
        <v/>
      </c>
      <c r="L233" s="25">
        <f>IFERROR($K233/$H233,"")</f>
        <v/>
      </c>
      <c r="M233" s="39">
        <f>IFERROR(INDEX('10_CLIENTI'!$B$5:$B$204,MATCH($D233,'10_CLIENTI'!$A$5:$A$204,0)),"")</f>
        <v/>
      </c>
      <c r="N233" s="39">
        <f>IFERROR(INDEX('11_PRODUSE'!$B$5:$B$104,MATCH($E233,'11_PRODUSE'!$A$5:$A$104,0)),"")</f>
        <v/>
      </c>
      <c r="O233" s="13" t="n"/>
      <c r="P233" s="13" t="n"/>
    </row>
    <row r="234">
      <c r="A234" s="35" t="n"/>
      <c r="B234" s="39">
        <f>IF($A234="","",YEAR($A234)&amp;"-"&amp;RIGHT("0"&amp;MONTH($A234),2))</f>
        <v/>
      </c>
      <c r="C234" s="13" t="n"/>
      <c r="D234" s="13" t="n"/>
      <c r="E234" s="13" t="n"/>
      <c r="F234" s="13" t="n"/>
      <c r="G234" s="40" t="n"/>
      <c r="H234" s="38" t="n"/>
      <c r="I234" s="38" t="n"/>
      <c r="J234" s="38" t="n"/>
      <c r="K234" s="24">
        <f>IF($H234="","",$H234-N($J234))</f>
        <v/>
      </c>
      <c r="L234" s="25">
        <f>IFERROR($K234/$H234,"")</f>
        <v/>
      </c>
      <c r="M234" s="39">
        <f>IFERROR(INDEX('10_CLIENTI'!$B$5:$B$204,MATCH($D234,'10_CLIENTI'!$A$5:$A$204,0)),"")</f>
        <v/>
      </c>
      <c r="N234" s="39">
        <f>IFERROR(INDEX('11_PRODUSE'!$B$5:$B$104,MATCH($E234,'11_PRODUSE'!$A$5:$A$104,0)),"")</f>
        <v/>
      </c>
      <c r="O234" s="13" t="n"/>
      <c r="P234" s="13" t="n"/>
    </row>
    <row r="235">
      <c r="A235" s="35" t="n"/>
      <c r="B235" s="39">
        <f>IF($A235="","",YEAR($A235)&amp;"-"&amp;RIGHT("0"&amp;MONTH($A235),2))</f>
        <v/>
      </c>
      <c r="C235" s="13" t="n"/>
      <c r="D235" s="13" t="n"/>
      <c r="E235" s="13" t="n"/>
      <c r="F235" s="13" t="n"/>
      <c r="G235" s="40" t="n"/>
      <c r="H235" s="38" t="n"/>
      <c r="I235" s="38" t="n"/>
      <c r="J235" s="38" t="n"/>
      <c r="K235" s="24">
        <f>IF($H235="","",$H235-N($J235))</f>
        <v/>
      </c>
      <c r="L235" s="25">
        <f>IFERROR($K235/$H235,"")</f>
        <v/>
      </c>
      <c r="M235" s="39">
        <f>IFERROR(INDEX('10_CLIENTI'!$B$5:$B$204,MATCH($D235,'10_CLIENTI'!$A$5:$A$204,0)),"")</f>
        <v/>
      </c>
      <c r="N235" s="39">
        <f>IFERROR(INDEX('11_PRODUSE'!$B$5:$B$104,MATCH($E235,'11_PRODUSE'!$A$5:$A$104,0)),"")</f>
        <v/>
      </c>
      <c r="O235" s="13" t="n"/>
      <c r="P235" s="13" t="n"/>
    </row>
    <row r="236">
      <c r="A236" s="35" t="n"/>
      <c r="B236" s="39">
        <f>IF($A236="","",YEAR($A236)&amp;"-"&amp;RIGHT("0"&amp;MONTH($A236),2))</f>
        <v/>
      </c>
      <c r="C236" s="13" t="n"/>
      <c r="D236" s="13" t="n"/>
      <c r="E236" s="13" t="n"/>
      <c r="F236" s="13" t="n"/>
      <c r="G236" s="40" t="n"/>
      <c r="H236" s="38" t="n"/>
      <c r="I236" s="38" t="n"/>
      <c r="J236" s="38" t="n"/>
      <c r="K236" s="24">
        <f>IF($H236="","",$H236-N($J236))</f>
        <v/>
      </c>
      <c r="L236" s="25">
        <f>IFERROR($K236/$H236,"")</f>
        <v/>
      </c>
      <c r="M236" s="39">
        <f>IFERROR(INDEX('10_CLIENTI'!$B$5:$B$204,MATCH($D236,'10_CLIENTI'!$A$5:$A$204,0)),"")</f>
        <v/>
      </c>
      <c r="N236" s="39">
        <f>IFERROR(INDEX('11_PRODUSE'!$B$5:$B$104,MATCH($E236,'11_PRODUSE'!$A$5:$A$104,0)),"")</f>
        <v/>
      </c>
      <c r="O236" s="13" t="n"/>
      <c r="P236" s="13" t="n"/>
    </row>
    <row r="237">
      <c r="A237" s="35" t="n"/>
      <c r="B237" s="39">
        <f>IF($A237="","",YEAR($A237)&amp;"-"&amp;RIGHT("0"&amp;MONTH($A237),2))</f>
        <v/>
      </c>
      <c r="C237" s="13" t="n"/>
      <c r="D237" s="13" t="n"/>
      <c r="E237" s="13" t="n"/>
      <c r="F237" s="13" t="n"/>
      <c r="G237" s="40" t="n"/>
      <c r="H237" s="38" t="n"/>
      <c r="I237" s="38" t="n"/>
      <c r="J237" s="38" t="n"/>
      <c r="K237" s="24">
        <f>IF($H237="","",$H237-N($J237))</f>
        <v/>
      </c>
      <c r="L237" s="25">
        <f>IFERROR($K237/$H237,"")</f>
        <v/>
      </c>
      <c r="M237" s="39">
        <f>IFERROR(INDEX('10_CLIENTI'!$B$5:$B$204,MATCH($D237,'10_CLIENTI'!$A$5:$A$204,0)),"")</f>
        <v/>
      </c>
      <c r="N237" s="39">
        <f>IFERROR(INDEX('11_PRODUSE'!$B$5:$B$104,MATCH($E237,'11_PRODUSE'!$A$5:$A$104,0)),"")</f>
        <v/>
      </c>
      <c r="O237" s="13" t="n"/>
      <c r="P237" s="13" t="n"/>
    </row>
    <row r="238">
      <c r="A238" s="35" t="n"/>
      <c r="B238" s="39">
        <f>IF($A238="","",YEAR($A238)&amp;"-"&amp;RIGHT("0"&amp;MONTH($A238),2))</f>
        <v/>
      </c>
      <c r="C238" s="13" t="n"/>
      <c r="D238" s="13" t="n"/>
      <c r="E238" s="13" t="n"/>
      <c r="F238" s="13" t="n"/>
      <c r="G238" s="40" t="n"/>
      <c r="H238" s="38" t="n"/>
      <c r="I238" s="38" t="n"/>
      <c r="J238" s="38" t="n"/>
      <c r="K238" s="24">
        <f>IF($H238="","",$H238-N($J238))</f>
        <v/>
      </c>
      <c r="L238" s="25">
        <f>IFERROR($K238/$H238,"")</f>
        <v/>
      </c>
      <c r="M238" s="39">
        <f>IFERROR(INDEX('10_CLIENTI'!$B$5:$B$204,MATCH($D238,'10_CLIENTI'!$A$5:$A$204,0)),"")</f>
        <v/>
      </c>
      <c r="N238" s="39">
        <f>IFERROR(INDEX('11_PRODUSE'!$B$5:$B$104,MATCH($E238,'11_PRODUSE'!$A$5:$A$104,0)),"")</f>
        <v/>
      </c>
      <c r="O238" s="13" t="n"/>
      <c r="P238" s="13" t="n"/>
    </row>
    <row r="239">
      <c r="A239" s="35" t="n"/>
      <c r="B239" s="39">
        <f>IF($A239="","",YEAR($A239)&amp;"-"&amp;RIGHT("0"&amp;MONTH($A239),2))</f>
        <v/>
      </c>
      <c r="C239" s="13" t="n"/>
      <c r="D239" s="13" t="n"/>
      <c r="E239" s="13" t="n"/>
      <c r="F239" s="13" t="n"/>
      <c r="G239" s="40" t="n"/>
      <c r="H239" s="38" t="n"/>
      <c r="I239" s="38" t="n"/>
      <c r="J239" s="38" t="n"/>
      <c r="K239" s="24">
        <f>IF($H239="","",$H239-N($J239))</f>
        <v/>
      </c>
      <c r="L239" s="25">
        <f>IFERROR($K239/$H239,"")</f>
        <v/>
      </c>
      <c r="M239" s="39">
        <f>IFERROR(INDEX('10_CLIENTI'!$B$5:$B$204,MATCH($D239,'10_CLIENTI'!$A$5:$A$204,0)),"")</f>
        <v/>
      </c>
      <c r="N239" s="39">
        <f>IFERROR(INDEX('11_PRODUSE'!$B$5:$B$104,MATCH($E239,'11_PRODUSE'!$A$5:$A$104,0)),"")</f>
        <v/>
      </c>
      <c r="O239" s="13" t="n"/>
      <c r="P239" s="13" t="n"/>
    </row>
    <row r="240">
      <c r="A240" s="35" t="n"/>
      <c r="B240" s="39">
        <f>IF($A240="","",YEAR($A240)&amp;"-"&amp;RIGHT("0"&amp;MONTH($A240),2))</f>
        <v/>
      </c>
      <c r="C240" s="13" t="n"/>
      <c r="D240" s="13" t="n"/>
      <c r="E240" s="13" t="n"/>
      <c r="F240" s="13" t="n"/>
      <c r="G240" s="40" t="n"/>
      <c r="H240" s="38" t="n"/>
      <c r="I240" s="38" t="n"/>
      <c r="J240" s="38" t="n"/>
      <c r="K240" s="24">
        <f>IF($H240="","",$H240-N($J240))</f>
        <v/>
      </c>
      <c r="L240" s="25">
        <f>IFERROR($K240/$H240,"")</f>
        <v/>
      </c>
      <c r="M240" s="39">
        <f>IFERROR(INDEX('10_CLIENTI'!$B$5:$B$204,MATCH($D240,'10_CLIENTI'!$A$5:$A$204,0)),"")</f>
        <v/>
      </c>
      <c r="N240" s="39">
        <f>IFERROR(INDEX('11_PRODUSE'!$B$5:$B$104,MATCH($E240,'11_PRODUSE'!$A$5:$A$104,0)),"")</f>
        <v/>
      </c>
      <c r="O240" s="13" t="n"/>
      <c r="P240" s="13" t="n"/>
    </row>
    <row r="241">
      <c r="A241" s="35" t="n"/>
      <c r="B241" s="39">
        <f>IF($A241="","",YEAR($A241)&amp;"-"&amp;RIGHT("0"&amp;MONTH($A241),2))</f>
        <v/>
      </c>
      <c r="C241" s="13" t="n"/>
      <c r="D241" s="13" t="n"/>
      <c r="E241" s="13" t="n"/>
      <c r="F241" s="13" t="n"/>
      <c r="G241" s="40" t="n"/>
      <c r="H241" s="38" t="n"/>
      <c r="I241" s="38" t="n"/>
      <c r="J241" s="38" t="n"/>
      <c r="K241" s="24">
        <f>IF($H241="","",$H241-N($J241))</f>
        <v/>
      </c>
      <c r="L241" s="25">
        <f>IFERROR($K241/$H241,"")</f>
        <v/>
      </c>
      <c r="M241" s="39">
        <f>IFERROR(INDEX('10_CLIENTI'!$B$5:$B$204,MATCH($D241,'10_CLIENTI'!$A$5:$A$204,0)),"")</f>
        <v/>
      </c>
      <c r="N241" s="39">
        <f>IFERROR(INDEX('11_PRODUSE'!$B$5:$B$104,MATCH($E241,'11_PRODUSE'!$A$5:$A$104,0)),"")</f>
        <v/>
      </c>
      <c r="O241" s="13" t="n"/>
      <c r="P241" s="13" t="n"/>
    </row>
    <row r="242">
      <c r="A242" s="35" t="n"/>
      <c r="B242" s="39">
        <f>IF($A242="","",YEAR($A242)&amp;"-"&amp;RIGHT("0"&amp;MONTH($A242),2))</f>
        <v/>
      </c>
      <c r="C242" s="13" t="n"/>
      <c r="D242" s="13" t="n"/>
      <c r="E242" s="13" t="n"/>
      <c r="F242" s="13" t="n"/>
      <c r="G242" s="40" t="n"/>
      <c r="H242" s="38" t="n"/>
      <c r="I242" s="38" t="n"/>
      <c r="J242" s="38" t="n"/>
      <c r="K242" s="24">
        <f>IF($H242="","",$H242-N($J242))</f>
        <v/>
      </c>
      <c r="L242" s="25">
        <f>IFERROR($K242/$H242,"")</f>
        <v/>
      </c>
      <c r="M242" s="39">
        <f>IFERROR(INDEX('10_CLIENTI'!$B$5:$B$204,MATCH($D242,'10_CLIENTI'!$A$5:$A$204,0)),"")</f>
        <v/>
      </c>
      <c r="N242" s="39">
        <f>IFERROR(INDEX('11_PRODUSE'!$B$5:$B$104,MATCH($E242,'11_PRODUSE'!$A$5:$A$104,0)),"")</f>
        <v/>
      </c>
      <c r="O242" s="13" t="n"/>
      <c r="P242" s="13" t="n"/>
    </row>
    <row r="243">
      <c r="A243" s="35" t="n"/>
      <c r="B243" s="39">
        <f>IF($A243="","",YEAR($A243)&amp;"-"&amp;RIGHT("0"&amp;MONTH($A243),2))</f>
        <v/>
      </c>
      <c r="C243" s="13" t="n"/>
      <c r="D243" s="13" t="n"/>
      <c r="E243" s="13" t="n"/>
      <c r="F243" s="13" t="n"/>
      <c r="G243" s="40" t="n"/>
      <c r="H243" s="38" t="n"/>
      <c r="I243" s="38" t="n"/>
      <c r="J243" s="38" t="n"/>
      <c r="K243" s="24">
        <f>IF($H243="","",$H243-N($J243))</f>
        <v/>
      </c>
      <c r="L243" s="25">
        <f>IFERROR($K243/$H243,"")</f>
        <v/>
      </c>
      <c r="M243" s="39">
        <f>IFERROR(INDEX('10_CLIENTI'!$B$5:$B$204,MATCH($D243,'10_CLIENTI'!$A$5:$A$204,0)),"")</f>
        <v/>
      </c>
      <c r="N243" s="39">
        <f>IFERROR(INDEX('11_PRODUSE'!$B$5:$B$104,MATCH($E243,'11_PRODUSE'!$A$5:$A$104,0)),"")</f>
        <v/>
      </c>
      <c r="O243" s="13" t="n"/>
      <c r="P243" s="13" t="n"/>
    </row>
    <row r="244">
      <c r="A244" s="35" t="n"/>
      <c r="B244" s="39">
        <f>IF($A244="","",YEAR($A244)&amp;"-"&amp;RIGHT("0"&amp;MONTH($A244),2))</f>
        <v/>
      </c>
      <c r="C244" s="13" t="n"/>
      <c r="D244" s="13" t="n"/>
      <c r="E244" s="13" t="n"/>
      <c r="F244" s="13" t="n"/>
      <c r="G244" s="40" t="n"/>
      <c r="H244" s="38" t="n"/>
      <c r="I244" s="38" t="n"/>
      <c r="J244" s="38" t="n"/>
      <c r="K244" s="24">
        <f>IF($H244="","",$H244-N($J244))</f>
        <v/>
      </c>
      <c r="L244" s="25">
        <f>IFERROR($K244/$H244,"")</f>
        <v/>
      </c>
      <c r="M244" s="39">
        <f>IFERROR(INDEX('10_CLIENTI'!$B$5:$B$204,MATCH($D244,'10_CLIENTI'!$A$5:$A$204,0)),"")</f>
        <v/>
      </c>
      <c r="N244" s="39">
        <f>IFERROR(INDEX('11_PRODUSE'!$B$5:$B$104,MATCH($E244,'11_PRODUSE'!$A$5:$A$104,0)),"")</f>
        <v/>
      </c>
      <c r="O244" s="13" t="n"/>
      <c r="P244" s="13" t="n"/>
    </row>
    <row r="245">
      <c r="A245" s="35" t="n"/>
      <c r="B245" s="39">
        <f>IF($A245="","",YEAR($A245)&amp;"-"&amp;RIGHT("0"&amp;MONTH($A245),2))</f>
        <v/>
      </c>
      <c r="C245" s="13" t="n"/>
      <c r="D245" s="13" t="n"/>
      <c r="E245" s="13" t="n"/>
      <c r="F245" s="13" t="n"/>
      <c r="G245" s="40" t="n"/>
      <c r="H245" s="38" t="n"/>
      <c r="I245" s="38" t="n"/>
      <c r="J245" s="38" t="n"/>
      <c r="K245" s="24">
        <f>IF($H245="","",$H245-N($J245))</f>
        <v/>
      </c>
      <c r="L245" s="25">
        <f>IFERROR($K245/$H245,"")</f>
        <v/>
      </c>
      <c r="M245" s="39">
        <f>IFERROR(INDEX('10_CLIENTI'!$B$5:$B$204,MATCH($D245,'10_CLIENTI'!$A$5:$A$204,0)),"")</f>
        <v/>
      </c>
      <c r="N245" s="39">
        <f>IFERROR(INDEX('11_PRODUSE'!$B$5:$B$104,MATCH($E245,'11_PRODUSE'!$A$5:$A$104,0)),"")</f>
        <v/>
      </c>
      <c r="O245" s="13" t="n"/>
      <c r="P245" s="13" t="n"/>
    </row>
    <row r="246">
      <c r="A246" s="35" t="n"/>
      <c r="B246" s="39">
        <f>IF($A246="","",YEAR($A246)&amp;"-"&amp;RIGHT("0"&amp;MONTH($A246),2))</f>
        <v/>
      </c>
      <c r="C246" s="13" t="n"/>
      <c r="D246" s="13" t="n"/>
      <c r="E246" s="13" t="n"/>
      <c r="F246" s="13" t="n"/>
      <c r="G246" s="40" t="n"/>
      <c r="H246" s="38" t="n"/>
      <c r="I246" s="38" t="n"/>
      <c r="J246" s="38" t="n"/>
      <c r="K246" s="24">
        <f>IF($H246="","",$H246-N($J246))</f>
        <v/>
      </c>
      <c r="L246" s="25">
        <f>IFERROR($K246/$H246,"")</f>
        <v/>
      </c>
      <c r="M246" s="39">
        <f>IFERROR(INDEX('10_CLIENTI'!$B$5:$B$204,MATCH($D246,'10_CLIENTI'!$A$5:$A$204,0)),"")</f>
        <v/>
      </c>
      <c r="N246" s="39">
        <f>IFERROR(INDEX('11_PRODUSE'!$B$5:$B$104,MATCH($E246,'11_PRODUSE'!$A$5:$A$104,0)),"")</f>
        <v/>
      </c>
      <c r="O246" s="13" t="n"/>
      <c r="P246" s="13" t="n"/>
    </row>
    <row r="247">
      <c r="A247" s="35" t="n"/>
      <c r="B247" s="39">
        <f>IF($A247="","",YEAR($A247)&amp;"-"&amp;RIGHT("0"&amp;MONTH($A247),2))</f>
        <v/>
      </c>
      <c r="C247" s="13" t="n"/>
      <c r="D247" s="13" t="n"/>
      <c r="E247" s="13" t="n"/>
      <c r="F247" s="13" t="n"/>
      <c r="G247" s="40" t="n"/>
      <c r="H247" s="38" t="n"/>
      <c r="I247" s="38" t="n"/>
      <c r="J247" s="38" t="n"/>
      <c r="K247" s="24">
        <f>IF($H247="","",$H247-N($J247))</f>
        <v/>
      </c>
      <c r="L247" s="25">
        <f>IFERROR($K247/$H247,"")</f>
        <v/>
      </c>
      <c r="M247" s="39">
        <f>IFERROR(INDEX('10_CLIENTI'!$B$5:$B$204,MATCH($D247,'10_CLIENTI'!$A$5:$A$204,0)),"")</f>
        <v/>
      </c>
      <c r="N247" s="39">
        <f>IFERROR(INDEX('11_PRODUSE'!$B$5:$B$104,MATCH($E247,'11_PRODUSE'!$A$5:$A$104,0)),"")</f>
        <v/>
      </c>
      <c r="O247" s="13" t="n"/>
      <c r="P247" s="13" t="n"/>
    </row>
    <row r="248">
      <c r="A248" s="35" t="n"/>
      <c r="B248" s="39">
        <f>IF($A248="","",YEAR($A248)&amp;"-"&amp;RIGHT("0"&amp;MONTH($A248),2))</f>
        <v/>
      </c>
      <c r="C248" s="13" t="n"/>
      <c r="D248" s="13" t="n"/>
      <c r="E248" s="13" t="n"/>
      <c r="F248" s="13" t="n"/>
      <c r="G248" s="40" t="n"/>
      <c r="H248" s="38" t="n"/>
      <c r="I248" s="38" t="n"/>
      <c r="J248" s="38" t="n"/>
      <c r="K248" s="24">
        <f>IF($H248="","",$H248-N($J248))</f>
        <v/>
      </c>
      <c r="L248" s="25">
        <f>IFERROR($K248/$H248,"")</f>
        <v/>
      </c>
      <c r="M248" s="39">
        <f>IFERROR(INDEX('10_CLIENTI'!$B$5:$B$204,MATCH($D248,'10_CLIENTI'!$A$5:$A$204,0)),"")</f>
        <v/>
      </c>
      <c r="N248" s="39">
        <f>IFERROR(INDEX('11_PRODUSE'!$B$5:$B$104,MATCH($E248,'11_PRODUSE'!$A$5:$A$104,0)),"")</f>
        <v/>
      </c>
      <c r="O248" s="13" t="n"/>
      <c r="P248" s="13" t="n"/>
    </row>
    <row r="249">
      <c r="A249" s="35" t="n"/>
      <c r="B249" s="39">
        <f>IF($A249="","",YEAR($A249)&amp;"-"&amp;RIGHT("0"&amp;MONTH($A249),2))</f>
        <v/>
      </c>
      <c r="C249" s="13" t="n"/>
      <c r="D249" s="13" t="n"/>
      <c r="E249" s="13" t="n"/>
      <c r="F249" s="13" t="n"/>
      <c r="G249" s="40" t="n"/>
      <c r="H249" s="38" t="n"/>
      <c r="I249" s="38" t="n"/>
      <c r="J249" s="38" t="n"/>
      <c r="K249" s="24">
        <f>IF($H249="","",$H249-N($J249))</f>
        <v/>
      </c>
      <c r="L249" s="25">
        <f>IFERROR($K249/$H249,"")</f>
        <v/>
      </c>
      <c r="M249" s="39">
        <f>IFERROR(INDEX('10_CLIENTI'!$B$5:$B$204,MATCH($D249,'10_CLIENTI'!$A$5:$A$204,0)),"")</f>
        <v/>
      </c>
      <c r="N249" s="39">
        <f>IFERROR(INDEX('11_PRODUSE'!$B$5:$B$104,MATCH($E249,'11_PRODUSE'!$A$5:$A$104,0)),"")</f>
        <v/>
      </c>
      <c r="O249" s="13" t="n"/>
      <c r="P249" s="13" t="n"/>
    </row>
    <row r="250">
      <c r="A250" s="35" t="n"/>
      <c r="B250" s="39">
        <f>IF($A250="","",YEAR($A250)&amp;"-"&amp;RIGHT("0"&amp;MONTH($A250),2))</f>
        <v/>
      </c>
      <c r="C250" s="13" t="n"/>
      <c r="D250" s="13" t="n"/>
      <c r="E250" s="13" t="n"/>
      <c r="F250" s="13" t="n"/>
      <c r="G250" s="40" t="n"/>
      <c r="H250" s="38" t="n"/>
      <c r="I250" s="38" t="n"/>
      <c r="J250" s="38" t="n"/>
      <c r="K250" s="24">
        <f>IF($H250="","",$H250-N($J250))</f>
        <v/>
      </c>
      <c r="L250" s="25">
        <f>IFERROR($K250/$H250,"")</f>
        <v/>
      </c>
      <c r="M250" s="39">
        <f>IFERROR(INDEX('10_CLIENTI'!$B$5:$B$204,MATCH($D250,'10_CLIENTI'!$A$5:$A$204,0)),"")</f>
        <v/>
      </c>
      <c r="N250" s="39">
        <f>IFERROR(INDEX('11_PRODUSE'!$B$5:$B$104,MATCH($E250,'11_PRODUSE'!$A$5:$A$104,0)),"")</f>
        <v/>
      </c>
      <c r="O250" s="13" t="n"/>
      <c r="P250" s="13" t="n"/>
    </row>
    <row r="251">
      <c r="A251" s="35" t="n"/>
      <c r="B251" s="39">
        <f>IF($A251="","",YEAR($A251)&amp;"-"&amp;RIGHT("0"&amp;MONTH($A251),2))</f>
        <v/>
      </c>
      <c r="C251" s="13" t="n"/>
      <c r="D251" s="13" t="n"/>
      <c r="E251" s="13" t="n"/>
      <c r="F251" s="13" t="n"/>
      <c r="G251" s="40" t="n"/>
      <c r="H251" s="38" t="n"/>
      <c r="I251" s="38" t="n"/>
      <c r="J251" s="38" t="n"/>
      <c r="K251" s="24">
        <f>IF($H251="","",$H251-N($J251))</f>
        <v/>
      </c>
      <c r="L251" s="25">
        <f>IFERROR($K251/$H251,"")</f>
        <v/>
      </c>
      <c r="M251" s="39">
        <f>IFERROR(INDEX('10_CLIENTI'!$B$5:$B$204,MATCH($D251,'10_CLIENTI'!$A$5:$A$204,0)),"")</f>
        <v/>
      </c>
      <c r="N251" s="39">
        <f>IFERROR(INDEX('11_PRODUSE'!$B$5:$B$104,MATCH($E251,'11_PRODUSE'!$A$5:$A$104,0)),"")</f>
        <v/>
      </c>
      <c r="O251" s="13" t="n"/>
      <c r="P251" s="13" t="n"/>
    </row>
    <row r="252">
      <c r="A252" s="35" t="n"/>
      <c r="B252" s="39">
        <f>IF($A252="","",YEAR($A252)&amp;"-"&amp;RIGHT("0"&amp;MONTH($A252),2))</f>
        <v/>
      </c>
      <c r="C252" s="13" t="n"/>
      <c r="D252" s="13" t="n"/>
      <c r="E252" s="13" t="n"/>
      <c r="F252" s="13" t="n"/>
      <c r="G252" s="40" t="n"/>
      <c r="H252" s="38" t="n"/>
      <c r="I252" s="38" t="n"/>
      <c r="J252" s="38" t="n"/>
      <c r="K252" s="24">
        <f>IF($H252="","",$H252-N($J252))</f>
        <v/>
      </c>
      <c r="L252" s="25">
        <f>IFERROR($K252/$H252,"")</f>
        <v/>
      </c>
      <c r="M252" s="39">
        <f>IFERROR(INDEX('10_CLIENTI'!$B$5:$B$204,MATCH($D252,'10_CLIENTI'!$A$5:$A$204,0)),"")</f>
        <v/>
      </c>
      <c r="N252" s="39">
        <f>IFERROR(INDEX('11_PRODUSE'!$B$5:$B$104,MATCH($E252,'11_PRODUSE'!$A$5:$A$104,0)),"")</f>
        <v/>
      </c>
      <c r="O252" s="13" t="n"/>
      <c r="P252" s="13" t="n"/>
    </row>
    <row r="253">
      <c r="A253" s="35" t="n"/>
      <c r="B253" s="39">
        <f>IF($A253="","",YEAR($A253)&amp;"-"&amp;RIGHT("0"&amp;MONTH($A253),2))</f>
        <v/>
      </c>
      <c r="C253" s="13" t="n"/>
      <c r="D253" s="13" t="n"/>
      <c r="E253" s="13" t="n"/>
      <c r="F253" s="13" t="n"/>
      <c r="G253" s="40" t="n"/>
      <c r="H253" s="38" t="n"/>
      <c r="I253" s="38" t="n"/>
      <c r="J253" s="38" t="n"/>
      <c r="K253" s="24">
        <f>IF($H253="","",$H253-N($J253))</f>
        <v/>
      </c>
      <c r="L253" s="25">
        <f>IFERROR($K253/$H253,"")</f>
        <v/>
      </c>
      <c r="M253" s="39">
        <f>IFERROR(INDEX('10_CLIENTI'!$B$5:$B$204,MATCH($D253,'10_CLIENTI'!$A$5:$A$204,0)),"")</f>
        <v/>
      </c>
      <c r="N253" s="39">
        <f>IFERROR(INDEX('11_PRODUSE'!$B$5:$B$104,MATCH($E253,'11_PRODUSE'!$A$5:$A$104,0)),"")</f>
        <v/>
      </c>
      <c r="O253" s="13" t="n"/>
      <c r="P253" s="13" t="n"/>
    </row>
    <row r="254">
      <c r="A254" s="35" t="n"/>
      <c r="B254" s="39">
        <f>IF($A254="","",YEAR($A254)&amp;"-"&amp;RIGHT("0"&amp;MONTH($A254),2))</f>
        <v/>
      </c>
      <c r="C254" s="13" t="n"/>
      <c r="D254" s="13" t="n"/>
      <c r="E254" s="13" t="n"/>
      <c r="F254" s="13" t="n"/>
      <c r="G254" s="40" t="n"/>
      <c r="H254" s="38" t="n"/>
      <c r="I254" s="38" t="n"/>
      <c r="J254" s="38" t="n"/>
      <c r="K254" s="24">
        <f>IF($H254="","",$H254-N($J254))</f>
        <v/>
      </c>
      <c r="L254" s="25">
        <f>IFERROR($K254/$H254,"")</f>
        <v/>
      </c>
      <c r="M254" s="39">
        <f>IFERROR(INDEX('10_CLIENTI'!$B$5:$B$204,MATCH($D254,'10_CLIENTI'!$A$5:$A$204,0)),"")</f>
        <v/>
      </c>
      <c r="N254" s="39">
        <f>IFERROR(INDEX('11_PRODUSE'!$B$5:$B$104,MATCH($E254,'11_PRODUSE'!$A$5:$A$104,0)),"")</f>
        <v/>
      </c>
      <c r="O254" s="13" t="n"/>
      <c r="P254" s="13" t="n"/>
    </row>
    <row r="255">
      <c r="A255" s="35" t="n"/>
      <c r="B255" s="39">
        <f>IF($A255="","",YEAR($A255)&amp;"-"&amp;RIGHT("0"&amp;MONTH($A255),2))</f>
        <v/>
      </c>
      <c r="C255" s="13" t="n"/>
      <c r="D255" s="13" t="n"/>
      <c r="E255" s="13" t="n"/>
      <c r="F255" s="13" t="n"/>
      <c r="G255" s="40" t="n"/>
      <c r="H255" s="38" t="n"/>
      <c r="I255" s="38" t="n"/>
      <c r="J255" s="38" t="n"/>
      <c r="K255" s="24">
        <f>IF($H255="","",$H255-N($J255))</f>
        <v/>
      </c>
      <c r="L255" s="25">
        <f>IFERROR($K255/$H255,"")</f>
        <v/>
      </c>
      <c r="M255" s="39">
        <f>IFERROR(INDEX('10_CLIENTI'!$B$5:$B$204,MATCH($D255,'10_CLIENTI'!$A$5:$A$204,0)),"")</f>
        <v/>
      </c>
      <c r="N255" s="39">
        <f>IFERROR(INDEX('11_PRODUSE'!$B$5:$B$104,MATCH($E255,'11_PRODUSE'!$A$5:$A$104,0)),"")</f>
        <v/>
      </c>
      <c r="O255" s="13" t="n"/>
      <c r="P255" s="13" t="n"/>
    </row>
    <row r="256">
      <c r="A256" s="35" t="n"/>
      <c r="B256" s="39">
        <f>IF($A256="","",YEAR($A256)&amp;"-"&amp;RIGHT("0"&amp;MONTH($A256),2))</f>
        <v/>
      </c>
      <c r="C256" s="13" t="n"/>
      <c r="D256" s="13" t="n"/>
      <c r="E256" s="13" t="n"/>
      <c r="F256" s="13" t="n"/>
      <c r="G256" s="40" t="n"/>
      <c r="H256" s="38" t="n"/>
      <c r="I256" s="38" t="n"/>
      <c r="J256" s="38" t="n"/>
      <c r="K256" s="24">
        <f>IF($H256="","",$H256-N($J256))</f>
        <v/>
      </c>
      <c r="L256" s="25">
        <f>IFERROR($K256/$H256,"")</f>
        <v/>
      </c>
      <c r="M256" s="39">
        <f>IFERROR(INDEX('10_CLIENTI'!$B$5:$B$204,MATCH($D256,'10_CLIENTI'!$A$5:$A$204,0)),"")</f>
        <v/>
      </c>
      <c r="N256" s="39">
        <f>IFERROR(INDEX('11_PRODUSE'!$B$5:$B$104,MATCH($E256,'11_PRODUSE'!$A$5:$A$104,0)),"")</f>
        <v/>
      </c>
      <c r="O256" s="13" t="n"/>
      <c r="P256" s="13" t="n"/>
    </row>
    <row r="257">
      <c r="A257" s="35" t="n"/>
      <c r="B257" s="39">
        <f>IF($A257="","",YEAR($A257)&amp;"-"&amp;RIGHT("0"&amp;MONTH($A257),2))</f>
        <v/>
      </c>
      <c r="C257" s="13" t="n"/>
      <c r="D257" s="13" t="n"/>
      <c r="E257" s="13" t="n"/>
      <c r="F257" s="13" t="n"/>
      <c r="G257" s="40" t="n"/>
      <c r="H257" s="38" t="n"/>
      <c r="I257" s="38" t="n"/>
      <c r="J257" s="38" t="n"/>
      <c r="K257" s="24">
        <f>IF($H257="","",$H257-N($J257))</f>
        <v/>
      </c>
      <c r="L257" s="25">
        <f>IFERROR($K257/$H257,"")</f>
        <v/>
      </c>
      <c r="M257" s="39">
        <f>IFERROR(INDEX('10_CLIENTI'!$B$5:$B$204,MATCH($D257,'10_CLIENTI'!$A$5:$A$204,0)),"")</f>
        <v/>
      </c>
      <c r="N257" s="39">
        <f>IFERROR(INDEX('11_PRODUSE'!$B$5:$B$104,MATCH($E257,'11_PRODUSE'!$A$5:$A$104,0)),"")</f>
        <v/>
      </c>
      <c r="O257" s="13" t="n"/>
      <c r="P257" s="13" t="n"/>
    </row>
    <row r="258">
      <c r="A258" s="35" t="n"/>
      <c r="B258" s="39">
        <f>IF($A258="","",YEAR($A258)&amp;"-"&amp;RIGHT("0"&amp;MONTH($A258),2))</f>
        <v/>
      </c>
      <c r="C258" s="13" t="n"/>
      <c r="D258" s="13" t="n"/>
      <c r="E258" s="13" t="n"/>
      <c r="F258" s="13" t="n"/>
      <c r="G258" s="40" t="n"/>
      <c r="H258" s="38" t="n"/>
      <c r="I258" s="38" t="n"/>
      <c r="J258" s="38" t="n"/>
      <c r="K258" s="24">
        <f>IF($H258="","",$H258-N($J258))</f>
        <v/>
      </c>
      <c r="L258" s="25">
        <f>IFERROR($K258/$H258,"")</f>
        <v/>
      </c>
      <c r="M258" s="39">
        <f>IFERROR(INDEX('10_CLIENTI'!$B$5:$B$204,MATCH($D258,'10_CLIENTI'!$A$5:$A$204,0)),"")</f>
        <v/>
      </c>
      <c r="N258" s="39">
        <f>IFERROR(INDEX('11_PRODUSE'!$B$5:$B$104,MATCH($E258,'11_PRODUSE'!$A$5:$A$104,0)),"")</f>
        <v/>
      </c>
      <c r="O258" s="13" t="n"/>
      <c r="P258" s="13" t="n"/>
    </row>
    <row r="259">
      <c r="A259" s="35" t="n"/>
      <c r="B259" s="39">
        <f>IF($A259="","",YEAR($A259)&amp;"-"&amp;RIGHT("0"&amp;MONTH($A259),2))</f>
        <v/>
      </c>
      <c r="C259" s="13" t="n"/>
      <c r="D259" s="13" t="n"/>
      <c r="E259" s="13" t="n"/>
      <c r="F259" s="13" t="n"/>
      <c r="G259" s="40" t="n"/>
      <c r="H259" s="38" t="n"/>
      <c r="I259" s="38" t="n"/>
      <c r="J259" s="38" t="n"/>
      <c r="K259" s="24">
        <f>IF($H259="","",$H259-N($J259))</f>
        <v/>
      </c>
      <c r="L259" s="25">
        <f>IFERROR($K259/$H259,"")</f>
        <v/>
      </c>
      <c r="M259" s="39">
        <f>IFERROR(INDEX('10_CLIENTI'!$B$5:$B$204,MATCH($D259,'10_CLIENTI'!$A$5:$A$204,0)),"")</f>
        <v/>
      </c>
      <c r="N259" s="39">
        <f>IFERROR(INDEX('11_PRODUSE'!$B$5:$B$104,MATCH($E259,'11_PRODUSE'!$A$5:$A$104,0)),"")</f>
        <v/>
      </c>
      <c r="O259" s="13" t="n"/>
      <c r="P259" s="13" t="n"/>
    </row>
    <row r="260">
      <c r="A260" s="35" t="n"/>
      <c r="B260" s="39">
        <f>IF($A260="","",YEAR($A260)&amp;"-"&amp;RIGHT("0"&amp;MONTH($A260),2))</f>
        <v/>
      </c>
      <c r="C260" s="13" t="n"/>
      <c r="D260" s="13" t="n"/>
      <c r="E260" s="13" t="n"/>
      <c r="F260" s="13" t="n"/>
      <c r="G260" s="40" t="n"/>
      <c r="H260" s="38" t="n"/>
      <c r="I260" s="38" t="n"/>
      <c r="J260" s="38" t="n"/>
      <c r="K260" s="24">
        <f>IF($H260="","",$H260-N($J260))</f>
        <v/>
      </c>
      <c r="L260" s="25">
        <f>IFERROR($K260/$H260,"")</f>
        <v/>
      </c>
      <c r="M260" s="39">
        <f>IFERROR(INDEX('10_CLIENTI'!$B$5:$B$204,MATCH($D260,'10_CLIENTI'!$A$5:$A$204,0)),"")</f>
        <v/>
      </c>
      <c r="N260" s="39">
        <f>IFERROR(INDEX('11_PRODUSE'!$B$5:$B$104,MATCH($E260,'11_PRODUSE'!$A$5:$A$104,0)),"")</f>
        <v/>
      </c>
      <c r="O260" s="13" t="n"/>
      <c r="P260" s="13" t="n"/>
    </row>
    <row r="261">
      <c r="A261" s="35" t="n"/>
      <c r="B261" s="39">
        <f>IF($A261="","",YEAR($A261)&amp;"-"&amp;RIGHT("0"&amp;MONTH($A261),2))</f>
        <v/>
      </c>
      <c r="C261" s="13" t="n"/>
      <c r="D261" s="13" t="n"/>
      <c r="E261" s="13" t="n"/>
      <c r="F261" s="13" t="n"/>
      <c r="G261" s="40" t="n"/>
      <c r="H261" s="38" t="n"/>
      <c r="I261" s="38" t="n"/>
      <c r="J261" s="38" t="n"/>
      <c r="K261" s="24">
        <f>IF($H261="","",$H261-N($J261))</f>
        <v/>
      </c>
      <c r="L261" s="25">
        <f>IFERROR($K261/$H261,"")</f>
        <v/>
      </c>
      <c r="M261" s="39">
        <f>IFERROR(INDEX('10_CLIENTI'!$B$5:$B$204,MATCH($D261,'10_CLIENTI'!$A$5:$A$204,0)),"")</f>
        <v/>
      </c>
      <c r="N261" s="39">
        <f>IFERROR(INDEX('11_PRODUSE'!$B$5:$B$104,MATCH($E261,'11_PRODUSE'!$A$5:$A$104,0)),"")</f>
        <v/>
      </c>
      <c r="O261" s="13" t="n"/>
      <c r="P261" s="13" t="n"/>
    </row>
    <row r="262">
      <c r="A262" s="35" t="n"/>
      <c r="B262" s="39">
        <f>IF($A262="","",YEAR($A262)&amp;"-"&amp;RIGHT("0"&amp;MONTH($A262),2))</f>
        <v/>
      </c>
      <c r="C262" s="13" t="n"/>
      <c r="D262" s="13" t="n"/>
      <c r="E262" s="13" t="n"/>
      <c r="F262" s="13" t="n"/>
      <c r="G262" s="40" t="n"/>
      <c r="H262" s="38" t="n"/>
      <c r="I262" s="38" t="n"/>
      <c r="J262" s="38" t="n"/>
      <c r="K262" s="24">
        <f>IF($H262="","",$H262-N($J262))</f>
        <v/>
      </c>
      <c r="L262" s="25">
        <f>IFERROR($K262/$H262,"")</f>
        <v/>
      </c>
      <c r="M262" s="39">
        <f>IFERROR(INDEX('10_CLIENTI'!$B$5:$B$204,MATCH($D262,'10_CLIENTI'!$A$5:$A$204,0)),"")</f>
        <v/>
      </c>
      <c r="N262" s="39">
        <f>IFERROR(INDEX('11_PRODUSE'!$B$5:$B$104,MATCH($E262,'11_PRODUSE'!$A$5:$A$104,0)),"")</f>
        <v/>
      </c>
      <c r="O262" s="13" t="n"/>
      <c r="P262" s="13" t="n"/>
    </row>
    <row r="263">
      <c r="A263" s="35" t="n"/>
      <c r="B263" s="39">
        <f>IF($A263="","",YEAR($A263)&amp;"-"&amp;RIGHT("0"&amp;MONTH($A263),2))</f>
        <v/>
      </c>
      <c r="C263" s="13" t="n"/>
      <c r="D263" s="13" t="n"/>
      <c r="E263" s="13" t="n"/>
      <c r="F263" s="13" t="n"/>
      <c r="G263" s="40" t="n"/>
      <c r="H263" s="38" t="n"/>
      <c r="I263" s="38" t="n"/>
      <c r="J263" s="38" t="n"/>
      <c r="K263" s="24">
        <f>IF($H263="","",$H263-N($J263))</f>
        <v/>
      </c>
      <c r="L263" s="25">
        <f>IFERROR($K263/$H263,"")</f>
        <v/>
      </c>
      <c r="M263" s="39">
        <f>IFERROR(INDEX('10_CLIENTI'!$B$5:$B$204,MATCH($D263,'10_CLIENTI'!$A$5:$A$204,0)),"")</f>
        <v/>
      </c>
      <c r="N263" s="39">
        <f>IFERROR(INDEX('11_PRODUSE'!$B$5:$B$104,MATCH($E263,'11_PRODUSE'!$A$5:$A$104,0)),"")</f>
        <v/>
      </c>
      <c r="O263" s="13" t="n"/>
      <c r="P263" s="13" t="n"/>
    </row>
    <row r="264">
      <c r="A264" s="35" t="n"/>
      <c r="B264" s="39">
        <f>IF($A264="","",YEAR($A264)&amp;"-"&amp;RIGHT("0"&amp;MONTH($A264),2))</f>
        <v/>
      </c>
      <c r="C264" s="13" t="n"/>
      <c r="D264" s="13" t="n"/>
      <c r="E264" s="13" t="n"/>
      <c r="F264" s="13" t="n"/>
      <c r="G264" s="40" t="n"/>
      <c r="H264" s="38" t="n"/>
      <c r="I264" s="38" t="n"/>
      <c r="J264" s="38" t="n"/>
      <c r="K264" s="24">
        <f>IF($H264="","",$H264-N($J264))</f>
        <v/>
      </c>
      <c r="L264" s="25">
        <f>IFERROR($K264/$H264,"")</f>
        <v/>
      </c>
      <c r="M264" s="39">
        <f>IFERROR(INDEX('10_CLIENTI'!$B$5:$B$204,MATCH($D264,'10_CLIENTI'!$A$5:$A$204,0)),"")</f>
        <v/>
      </c>
      <c r="N264" s="39">
        <f>IFERROR(INDEX('11_PRODUSE'!$B$5:$B$104,MATCH($E264,'11_PRODUSE'!$A$5:$A$104,0)),"")</f>
        <v/>
      </c>
      <c r="O264" s="13" t="n"/>
      <c r="P264" s="13" t="n"/>
    </row>
    <row r="265">
      <c r="A265" s="35" t="n"/>
      <c r="B265" s="39">
        <f>IF($A265="","",YEAR($A265)&amp;"-"&amp;RIGHT("0"&amp;MONTH($A265),2))</f>
        <v/>
      </c>
      <c r="C265" s="13" t="n"/>
      <c r="D265" s="13" t="n"/>
      <c r="E265" s="13" t="n"/>
      <c r="F265" s="13" t="n"/>
      <c r="G265" s="40" t="n"/>
      <c r="H265" s="38" t="n"/>
      <c r="I265" s="38" t="n"/>
      <c r="J265" s="38" t="n"/>
      <c r="K265" s="24">
        <f>IF($H265="","",$H265-N($J265))</f>
        <v/>
      </c>
      <c r="L265" s="25">
        <f>IFERROR($K265/$H265,"")</f>
        <v/>
      </c>
      <c r="M265" s="39">
        <f>IFERROR(INDEX('10_CLIENTI'!$B$5:$B$204,MATCH($D265,'10_CLIENTI'!$A$5:$A$204,0)),"")</f>
        <v/>
      </c>
      <c r="N265" s="39">
        <f>IFERROR(INDEX('11_PRODUSE'!$B$5:$B$104,MATCH($E265,'11_PRODUSE'!$A$5:$A$104,0)),"")</f>
        <v/>
      </c>
      <c r="O265" s="13" t="n"/>
      <c r="P265" s="13" t="n"/>
    </row>
    <row r="266">
      <c r="A266" s="35" t="n"/>
      <c r="B266" s="39">
        <f>IF($A266="","",YEAR($A266)&amp;"-"&amp;RIGHT("0"&amp;MONTH($A266),2))</f>
        <v/>
      </c>
      <c r="C266" s="13" t="n"/>
      <c r="D266" s="13" t="n"/>
      <c r="E266" s="13" t="n"/>
      <c r="F266" s="13" t="n"/>
      <c r="G266" s="40" t="n"/>
      <c r="H266" s="38" t="n"/>
      <c r="I266" s="38" t="n"/>
      <c r="J266" s="38" t="n"/>
      <c r="K266" s="24">
        <f>IF($H266="","",$H266-N($J266))</f>
        <v/>
      </c>
      <c r="L266" s="25">
        <f>IFERROR($K266/$H266,"")</f>
        <v/>
      </c>
      <c r="M266" s="39">
        <f>IFERROR(INDEX('10_CLIENTI'!$B$5:$B$204,MATCH($D266,'10_CLIENTI'!$A$5:$A$204,0)),"")</f>
        <v/>
      </c>
      <c r="N266" s="39">
        <f>IFERROR(INDEX('11_PRODUSE'!$B$5:$B$104,MATCH($E266,'11_PRODUSE'!$A$5:$A$104,0)),"")</f>
        <v/>
      </c>
      <c r="O266" s="13" t="n"/>
      <c r="P266" s="13" t="n"/>
    </row>
    <row r="267">
      <c r="A267" s="35" t="n"/>
      <c r="B267" s="39">
        <f>IF($A267="","",YEAR($A267)&amp;"-"&amp;RIGHT("0"&amp;MONTH($A267),2))</f>
        <v/>
      </c>
      <c r="C267" s="13" t="n"/>
      <c r="D267" s="13" t="n"/>
      <c r="E267" s="13" t="n"/>
      <c r="F267" s="13" t="n"/>
      <c r="G267" s="40" t="n"/>
      <c r="H267" s="38" t="n"/>
      <c r="I267" s="38" t="n"/>
      <c r="J267" s="38" t="n"/>
      <c r="K267" s="24">
        <f>IF($H267="","",$H267-N($J267))</f>
        <v/>
      </c>
      <c r="L267" s="25">
        <f>IFERROR($K267/$H267,"")</f>
        <v/>
      </c>
      <c r="M267" s="39">
        <f>IFERROR(INDEX('10_CLIENTI'!$B$5:$B$204,MATCH($D267,'10_CLIENTI'!$A$5:$A$204,0)),"")</f>
        <v/>
      </c>
      <c r="N267" s="39">
        <f>IFERROR(INDEX('11_PRODUSE'!$B$5:$B$104,MATCH($E267,'11_PRODUSE'!$A$5:$A$104,0)),"")</f>
        <v/>
      </c>
      <c r="O267" s="13" t="n"/>
      <c r="P267" s="13" t="n"/>
    </row>
    <row r="268">
      <c r="A268" s="35" t="n"/>
      <c r="B268" s="39">
        <f>IF($A268="","",YEAR($A268)&amp;"-"&amp;RIGHT("0"&amp;MONTH($A268),2))</f>
        <v/>
      </c>
      <c r="C268" s="13" t="n"/>
      <c r="D268" s="13" t="n"/>
      <c r="E268" s="13" t="n"/>
      <c r="F268" s="13" t="n"/>
      <c r="G268" s="40" t="n"/>
      <c r="H268" s="38" t="n"/>
      <c r="I268" s="38" t="n"/>
      <c r="J268" s="38" t="n"/>
      <c r="K268" s="24">
        <f>IF($H268="","",$H268-N($J268))</f>
        <v/>
      </c>
      <c r="L268" s="25">
        <f>IFERROR($K268/$H268,"")</f>
        <v/>
      </c>
      <c r="M268" s="39">
        <f>IFERROR(INDEX('10_CLIENTI'!$B$5:$B$204,MATCH($D268,'10_CLIENTI'!$A$5:$A$204,0)),"")</f>
        <v/>
      </c>
      <c r="N268" s="39">
        <f>IFERROR(INDEX('11_PRODUSE'!$B$5:$B$104,MATCH($E268,'11_PRODUSE'!$A$5:$A$104,0)),"")</f>
        <v/>
      </c>
      <c r="O268" s="13" t="n"/>
      <c r="P268" s="13" t="n"/>
    </row>
    <row r="269">
      <c r="A269" s="35" t="n"/>
      <c r="B269" s="39">
        <f>IF($A269="","",YEAR($A269)&amp;"-"&amp;RIGHT("0"&amp;MONTH($A269),2))</f>
        <v/>
      </c>
      <c r="C269" s="13" t="n"/>
      <c r="D269" s="13" t="n"/>
      <c r="E269" s="13" t="n"/>
      <c r="F269" s="13" t="n"/>
      <c r="G269" s="40" t="n"/>
      <c r="H269" s="38" t="n"/>
      <c r="I269" s="38" t="n"/>
      <c r="J269" s="38" t="n"/>
      <c r="K269" s="24">
        <f>IF($H269="","",$H269-N($J269))</f>
        <v/>
      </c>
      <c r="L269" s="25">
        <f>IFERROR($K269/$H269,"")</f>
        <v/>
      </c>
      <c r="M269" s="39">
        <f>IFERROR(INDEX('10_CLIENTI'!$B$5:$B$204,MATCH($D269,'10_CLIENTI'!$A$5:$A$204,0)),"")</f>
        <v/>
      </c>
      <c r="N269" s="39">
        <f>IFERROR(INDEX('11_PRODUSE'!$B$5:$B$104,MATCH($E269,'11_PRODUSE'!$A$5:$A$104,0)),"")</f>
        <v/>
      </c>
      <c r="O269" s="13" t="n"/>
      <c r="P269" s="13" t="n"/>
    </row>
    <row r="270">
      <c r="A270" s="35" t="n"/>
      <c r="B270" s="39">
        <f>IF($A270="","",YEAR($A270)&amp;"-"&amp;RIGHT("0"&amp;MONTH($A270),2))</f>
        <v/>
      </c>
      <c r="C270" s="13" t="n"/>
      <c r="D270" s="13" t="n"/>
      <c r="E270" s="13" t="n"/>
      <c r="F270" s="13" t="n"/>
      <c r="G270" s="40" t="n"/>
      <c r="H270" s="38" t="n"/>
      <c r="I270" s="38" t="n"/>
      <c r="J270" s="38" t="n"/>
      <c r="K270" s="24">
        <f>IF($H270="","",$H270-N($J270))</f>
        <v/>
      </c>
      <c r="L270" s="25">
        <f>IFERROR($K270/$H270,"")</f>
        <v/>
      </c>
      <c r="M270" s="39">
        <f>IFERROR(INDEX('10_CLIENTI'!$B$5:$B$204,MATCH($D270,'10_CLIENTI'!$A$5:$A$204,0)),"")</f>
        <v/>
      </c>
      <c r="N270" s="39">
        <f>IFERROR(INDEX('11_PRODUSE'!$B$5:$B$104,MATCH($E270,'11_PRODUSE'!$A$5:$A$104,0)),"")</f>
        <v/>
      </c>
      <c r="O270" s="13" t="n"/>
      <c r="P270" s="13" t="n"/>
    </row>
    <row r="271">
      <c r="A271" s="35" t="n"/>
      <c r="B271" s="39">
        <f>IF($A271="","",YEAR($A271)&amp;"-"&amp;RIGHT("0"&amp;MONTH($A271),2))</f>
        <v/>
      </c>
      <c r="C271" s="13" t="n"/>
      <c r="D271" s="13" t="n"/>
      <c r="E271" s="13" t="n"/>
      <c r="F271" s="13" t="n"/>
      <c r="G271" s="40" t="n"/>
      <c r="H271" s="38" t="n"/>
      <c r="I271" s="38" t="n"/>
      <c r="J271" s="38" t="n"/>
      <c r="K271" s="24">
        <f>IF($H271="","",$H271-N($J271))</f>
        <v/>
      </c>
      <c r="L271" s="25">
        <f>IFERROR($K271/$H271,"")</f>
        <v/>
      </c>
      <c r="M271" s="39">
        <f>IFERROR(INDEX('10_CLIENTI'!$B$5:$B$204,MATCH($D271,'10_CLIENTI'!$A$5:$A$204,0)),"")</f>
        <v/>
      </c>
      <c r="N271" s="39">
        <f>IFERROR(INDEX('11_PRODUSE'!$B$5:$B$104,MATCH($E271,'11_PRODUSE'!$A$5:$A$104,0)),"")</f>
        <v/>
      </c>
      <c r="O271" s="13" t="n"/>
      <c r="P271" s="13" t="n"/>
    </row>
    <row r="272">
      <c r="A272" s="35" t="n"/>
      <c r="B272" s="39">
        <f>IF($A272="","",YEAR($A272)&amp;"-"&amp;RIGHT("0"&amp;MONTH($A272),2))</f>
        <v/>
      </c>
      <c r="C272" s="13" t="n"/>
      <c r="D272" s="13" t="n"/>
      <c r="E272" s="13" t="n"/>
      <c r="F272" s="13" t="n"/>
      <c r="G272" s="40" t="n"/>
      <c r="H272" s="38" t="n"/>
      <c r="I272" s="38" t="n"/>
      <c r="J272" s="38" t="n"/>
      <c r="K272" s="24">
        <f>IF($H272="","",$H272-N($J272))</f>
        <v/>
      </c>
      <c r="L272" s="25">
        <f>IFERROR($K272/$H272,"")</f>
        <v/>
      </c>
      <c r="M272" s="39">
        <f>IFERROR(INDEX('10_CLIENTI'!$B$5:$B$204,MATCH($D272,'10_CLIENTI'!$A$5:$A$204,0)),"")</f>
        <v/>
      </c>
      <c r="N272" s="39">
        <f>IFERROR(INDEX('11_PRODUSE'!$B$5:$B$104,MATCH($E272,'11_PRODUSE'!$A$5:$A$104,0)),"")</f>
        <v/>
      </c>
      <c r="O272" s="13" t="n"/>
      <c r="P272" s="13" t="n"/>
    </row>
    <row r="273">
      <c r="A273" s="35" t="n"/>
      <c r="B273" s="39">
        <f>IF($A273="","",YEAR($A273)&amp;"-"&amp;RIGHT("0"&amp;MONTH($A273),2))</f>
        <v/>
      </c>
      <c r="C273" s="13" t="n"/>
      <c r="D273" s="13" t="n"/>
      <c r="E273" s="13" t="n"/>
      <c r="F273" s="13" t="n"/>
      <c r="G273" s="40" t="n"/>
      <c r="H273" s="38" t="n"/>
      <c r="I273" s="38" t="n"/>
      <c r="J273" s="38" t="n"/>
      <c r="K273" s="24">
        <f>IF($H273="","",$H273-N($J273))</f>
        <v/>
      </c>
      <c r="L273" s="25">
        <f>IFERROR($K273/$H273,"")</f>
        <v/>
      </c>
      <c r="M273" s="39">
        <f>IFERROR(INDEX('10_CLIENTI'!$B$5:$B$204,MATCH($D273,'10_CLIENTI'!$A$5:$A$204,0)),"")</f>
        <v/>
      </c>
      <c r="N273" s="39">
        <f>IFERROR(INDEX('11_PRODUSE'!$B$5:$B$104,MATCH($E273,'11_PRODUSE'!$A$5:$A$104,0)),"")</f>
        <v/>
      </c>
      <c r="O273" s="13" t="n"/>
      <c r="P273" s="13" t="n"/>
    </row>
    <row r="274">
      <c r="A274" s="35" t="n"/>
      <c r="B274" s="39">
        <f>IF($A274="","",YEAR($A274)&amp;"-"&amp;RIGHT("0"&amp;MONTH($A274),2))</f>
        <v/>
      </c>
      <c r="C274" s="13" t="n"/>
      <c r="D274" s="13" t="n"/>
      <c r="E274" s="13" t="n"/>
      <c r="F274" s="13" t="n"/>
      <c r="G274" s="40" t="n"/>
      <c r="H274" s="38" t="n"/>
      <c r="I274" s="38" t="n"/>
      <c r="J274" s="38" t="n"/>
      <c r="K274" s="24">
        <f>IF($H274="","",$H274-N($J274))</f>
        <v/>
      </c>
      <c r="L274" s="25">
        <f>IFERROR($K274/$H274,"")</f>
        <v/>
      </c>
      <c r="M274" s="39">
        <f>IFERROR(INDEX('10_CLIENTI'!$B$5:$B$204,MATCH($D274,'10_CLIENTI'!$A$5:$A$204,0)),"")</f>
        <v/>
      </c>
      <c r="N274" s="39">
        <f>IFERROR(INDEX('11_PRODUSE'!$B$5:$B$104,MATCH($E274,'11_PRODUSE'!$A$5:$A$104,0)),"")</f>
        <v/>
      </c>
      <c r="O274" s="13" t="n"/>
      <c r="P274" s="13" t="n"/>
    </row>
    <row r="275">
      <c r="A275" s="35" t="n"/>
      <c r="B275" s="39">
        <f>IF($A275="","",YEAR($A275)&amp;"-"&amp;RIGHT("0"&amp;MONTH($A275),2))</f>
        <v/>
      </c>
      <c r="C275" s="13" t="n"/>
      <c r="D275" s="13" t="n"/>
      <c r="E275" s="13" t="n"/>
      <c r="F275" s="13" t="n"/>
      <c r="G275" s="40" t="n"/>
      <c r="H275" s="38" t="n"/>
      <c r="I275" s="38" t="n"/>
      <c r="J275" s="38" t="n"/>
      <c r="K275" s="24">
        <f>IF($H275="","",$H275-N($J275))</f>
        <v/>
      </c>
      <c r="L275" s="25">
        <f>IFERROR($K275/$H275,"")</f>
        <v/>
      </c>
      <c r="M275" s="39">
        <f>IFERROR(INDEX('10_CLIENTI'!$B$5:$B$204,MATCH($D275,'10_CLIENTI'!$A$5:$A$204,0)),"")</f>
        <v/>
      </c>
      <c r="N275" s="39">
        <f>IFERROR(INDEX('11_PRODUSE'!$B$5:$B$104,MATCH($E275,'11_PRODUSE'!$A$5:$A$104,0)),"")</f>
        <v/>
      </c>
      <c r="O275" s="13" t="n"/>
      <c r="P275" s="13" t="n"/>
    </row>
    <row r="276">
      <c r="A276" s="35" t="n"/>
      <c r="B276" s="39">
        <f>IF($A276="","",YEAR($A276)&amp;"-"&amp;RIGHT("0"&amp;MONTH($A276),2))</f>
        <v/>
      </c>
      <c r="C276" s="13" t="n"/>
      <c r="D276" s="13" t="n"/>
      <c r="E276" s="13" t="n"/>
      <c r="F276" s="13" t="n"/>
      <c r="G276" s="40" t="n"/>
      <c r="H276" s="38" t="n"/>
      <c r="I276" s="38" t="n"/>
      <c r="J276" s="38" t="n"/>
      <c r="K276" s="24">
        <f>IF($H276="","",$H276-N($J276))</f>
        <v/>
      </c>
      <c r="L276" s="25">
        <f>IFERROR($K276/$H276,"")</f>
        <v/>
      </c>
      <c r="M276" s="39">
        <f>IFERROR(INDEX('10_CLIENTI'!$B$5:$B$204,MATCH($D276,'10_CLIENTI'!$A$5:$A$204,0)),"")</f>
        <v/>
      </c>
      <c r="N276" s="39">
        <f>IFERROR(INDEX('11_PRODUSE'!$B$5:$B$104,MATCH($E276,'11_PRODUSE'!$A$5:$A$104,0)),"")</f>
        <v/>
      </c>
      <c r="O276" s="13" t="n"/>
      <c r="P276" s="13" t="n"/>
    </row>
    <row r="277">
      <c r="A277" s="35" t="n"/>
      <c r="B277" s="39">
        <f>IF($A277="","",YEAR($A277)&amp;"-"&amp;RIGHT("0"&amp;MONTH($A277),2))</f>
        <v/>
      </c>
      <c r="C277" s="13" t="n"/>
      <c r="D277" s="13" t="n"/>
      <c r="E277" s="13" t="n"/>
      <c r="F277" s="13" t="n"/>
      <c r="G277" s="40" t="n"/>
      <c r="H277" s="38" t="n"/>
      <c r="I277" s="38" t="n"/>
      <c r="J277" s="38" t="n"/>
      <c r="K277" s="24">
        <f>IF($H277="","",$H277-N($J277))</f>
        <v/>
      </c>
      <c r="L277" s="25">
        <f>IFERROR($K277/$H277,"")</f>
        <v/>
      </c>
      <c r="M277" s="39">
        <f>IFERROR(INDEX('10_CLIENTI'!$B$5:$B$204,MATCH($D277,'10_CLIENTI'!$A$5:$A$204,0)),"")</f>
        <v/>
      </c>
      <c r="N277" s="39">
        <f>IFERROR(INDEX('11_PRODUSE'!$B$5:$B$104,MATCH($E277,'11_PRODUSE'!$A$5:$A$104,0)),"")</f>
        <v/>
      </c>
      <c r="O277" s="13" t="n"/>
      <c r="P277" s="13" t="n"/>
    </row>
    <row r="278">
      <c r="A278" s="35" t="n"/>
      <c r="B278" s="39">
        <f>IF($A278="","",YEAR($A278)&amp;"-"&amp;RIGHT("0"&amp;MONTH($A278),2))</f>
        <v/>
      </c>
      <c r="C278" s="13" t="n"/>
      <c r="D278" s="13" t="n"/>
      <c r="E278" s="13" t="n"/>
      <c r="F278" s="13" t="n"/>
      <c r="G278" s="40" t="n"/>
      <c r="H278" s="38" t="n"/>
      <c r="I278" s="38" t="n"/>
      <c r="J278" s="38" t="n"/>
      <c r="K278" s="24">
        <f>IF($H278="","",$H278-N($J278))</f>
        <v/>
      </c>
      <c r="L278" s="25">
        <f>IFERROR($K278/$H278,"")</f>
        <v/>
      </c>
      <c r="M278" s="39">
        <f>IFERROR(INDEX('10_CLIENTI'!$B$5:$B$204,MATCH($D278,'10_CLIENTI'!$A$5:$A$204,0)),"")</f>
        <v/>
      </c>
      <c r="N278" s="39">
        <f>IFERROR(INDEX('11_PRODUSE'!$B$5:$B$104,MATCH($E278,'11_PRODUSE'!$A$5:$A$104,0)),"")</f>
        <v/>
      </c>
      <c r="O278" s="13" t="n"/>
      <c r="P278" s="13" t="n"/>
    </row>
    <row r="279">
      <c r="A279" s="35" t="n"/>
      <c r="B279" s="39">
        <f>IF($A279="","",YEAR($A279)&amp;"-"&amp;RIGHT("0"&amp;MONTH($A279),2))</f>
        <v/>
      </c>
      <c r="C279" s="13" t="n"/>
      <c r="D279" s="13" t="n"/>
      <c r="E279" s="13" t="n"/>
      <c r="F279" s="13" t="n"/>
      <c r="G279" s="40" t="n"/>
      <c r="H279" s="38" t="n"/>
      <c r="I279" s="38" t="n"/>
      <c r="J279" s="38" t="n"/>
      <c r="K279" s="24">
        <f>IF($H279="","",$H279-N($J279))</f>
        <v/>
      </c>
      <c r="L279" s="25">
        <f>IFERROR($K279/$H279,"")</f>
        <v/>
      </c>
      <c r="M279" s="39">
        <f>IFERROR(INDEX('10_CLIENTI'!$B$5:$B$204,MATCH($D279,'10_CLIENTI'!$A$5:$A$204,0)),"")</f>
        <v/>
      </c>
      <c r="N279" s="39">
        <f>IFERROR(INDEX('11_PRODUSE'!$B$5:$B$104,MATCH($E279,'11_PRODUSE'!$A$5:$A$104,0)),"")</f>
        <v/>
      </c>
      <c r="O279" s="13" t="n"/>
      <c r="P279" s="13" t="n"/>
    </row>
    <row r="280">
      <c r="A280" s="35" t="n"/>
      <c r="B280" s="39">
        <f>IF($A280="","",YEAR($A280)&amp;"-"&amp;RIGHT("0"&amp;MONTH($A280),2))</f>
        <v/>
      </c>
      <c r="C280" s="13" t="n"/>
      <c r="D280" s="13" t="n"/>
      <c r="E280" s="13" t="n"/>
      <c r="F280" s="13" t="n"/>
      <c r="G280" s="40" t="n"/>
      <c r="H280" s="38" t="n"/>
      <c r="I280" s="38" t="n"/>
      <c r="J280" s="38" t="n"/>
      <c r="K280" s="24">
        <f>IF($H280="","",$H280-N($J280))</f>
        <v/>
      </c>
      <c r="L280" s="25">
        <f>IFERROR($K280/$H280,"")</f>
        <v/>
      </c>
      <c r="M280" s="39">
        <f>IFERROR(INDEX('10_CLIENTI'!$B$5:$B$204,MATCH($D280,'10_CLIENTI'!$A$5:$A$204,0)),"")</f>
        <v/>
      </c>
      <c r="N280" s="39">
        <f>IFERROR(INDEX('11_PRODUSE'!$B$5:$B$104,MATCH($E280,'11_PRODUSE'!$A$5:$A$104,0)),"")</f>
        <v/>
      </c>
      <c r="O280" s="13" t="n"/>
      <c r="P280" s="13" t="n"/>
    </row>
    <row r="281">
      <c r="A281" s="35" t="n"/>
      <c r="B281" s="39">
        <f>IF($A281="","",YEAR($A281)&amp;"-"&amp;RIGHT("0"&amp;MONTH($A281),2))</f>
        <v/>
      </c>
      <c r="C281" s="13" t="n"/>
      <c r="D281" s="13" t="n"/>
      <c r="E281" s="13" t="n"/>
      <c r="F281" s="13" t="n"/>
      <c r="G281" s="40" t="n"/>
      <c r="H281" s="38" t="n"/>
      <c r="I281" s="38" t="n"/>
      <c r="J281" s="38" t="n"/>
      <c r="K281" s="24">
        <f>IF($H281="","",$H281-N($J281))</f>
        <v/>
      </c>
      <c r="L281" s="25">
        <f>IFERROR($K281/$H281,"")</f>
        <v/>
      </c>
      <c r="M281" s="39">
        <f>IFERROR(INDEX('10_CLIENTI'!$B$5:$B$204,MATCH($D281,'10_CLIENTI'!$A$5:$A$204,0)),"")</f>
        <v/>
      </c>
      <c r="N281" s="39">
        <f>IFERROR(INDEX('11_PRODUSE'!$B$5:$B$104,MATCH($E281,'11_PRODUSE'!$A$5:$A$104,0)),"")</f>
        <v/>
      </c>
      <c r="O281" s="13" t="n"/>
      <c r="P281" s="13" t="n"/>
    </row>
    <row r="282">
      <c r="A282" s="35" t="n"/>
      <c r="B282" s="39">
        <f>IF($A282="","",YEAR($A282)&amp;"-"&amp;RIGHT("0"&amp;MONTH($A282),2))</f>
        <v/>
      </c>
      <c r="C282" s="13" t="n"/>
      <c r="D282" s="13" t="n"/>
      <c r="E282" s="13" t="n"/>
      <c r="F282" s="13" t="n"/>
      <c r="G282" s="40" t="n"/>
      <c r="H282" s="38" t="n"/>
      <c r="I282" s="38" t="n"/>
      <c r="J282" s="38" t="n"/>
      <c r="K282" s="24">
        <f>IF($H282="","",$H282-N($J282))</f>
        <v/>
      </c>
      <c r="L282" s="25">
        <f>IFERROR($K282/$H282,"")</f>
        <v/>
      </c>
      <c r="M282" s="39">
        <f>IFERROR(INDEX('10_CLIENTI'!$B$5:$B$204,MATCH($D282,'10_CLIENTI'!$A$5:$A$204,0)),"")</f>
        <v/>
      </c>
      <c r="N282" s="39">
        <f>IFERROR(INDEX('11_PRODUSE'!$B$5:$B$104,MATCH($E282,'11_PRODUSE'!$A$5:$A$104,0)),"")</f>
        <v/>
      </c>
      <c r="O282" s="13" t="n"/>
      <c r="P282" s="13" t="n"/>
    </row>
    <row r="283">
      <c r="A283" s="35" t="n"/>
      <c r="B283" s="39">
        <f>IF($A283="","",YEAR($A283)&amp;"-"&amp;RIGHT("0"&amp;MONTH($A283),2))</f>
        <v/>
      </c>
      <c r="C283" s="13" t="n"/>
      <c r="D283" s="13" t="n"/>
      <c r="E283" s="13" t="n"/>
      <c r="F283" s="13" t="n"/>
      <c r="G283" s="40" t="n"/>
      <c r="H283" s="38" t="n"/>
      <c r="I283" s="38" t="n"/>
      <c r="J283" s="38" t="n"/>
      <c r="K283" s="24">
        <f>IF($H283="","",$H283-N($J283))</f>
        <v/>
      </c>
      <c r="L283" s="25">
        <f>IFERROR($K283/$H283,"")</f>
        <v/>
      </c>
      <c r="M283" s="39">
        <f>IFERROR(INDEX('10_CLIENTI'!$B$5:$B$204,MATCH($D283,'10_CLIENTI'!$A$5:$A$204,0)),"")</f>
        <v/>
      </c>
      <c r="N283" s="39">
        <f>IFERROR(INDEX('11_PRODUSE'!$B$5:$B$104,MATCH($E283,'11_PRODUSE'!$A$5:$A$104,0)),"")</f>
        <v/>
      </c>
      <c r="O283" s="13" t="n"/>
      <c r="P283" s="13" t="n"/>
    </row>
    <row r="284">
      <c r="A284" s="35" t="n"/>
      <c r="B284" s="39">
        <f>IF($A284="","",YEAR($A284)&amp;"-"&amp;RIGHT("0"&amp;MONTH($A284),2))</f>
        <v/>
      </c>
      <c r="C284" s="13" t="n"/>
      <c r="D284" s="13" t="n"/>
      <c r="E284" s="13" t="n"/>
      <c r="F284" s="13" t="n"/>
      <c r="G284" s="40" t="n"/>
      <c r="H284" s="38" t="n"/>
      <c r="I284" s="38" t="n"/>
      <c r="J284" s="38" t="n"/>
      <c r="K284" s="24">
        <f>IF($H284="","",$H284-N($J284))</f>
        <v/>
      </c>
      <c r="L284" s="25">
        <f>IFERROR($K284/$H284,"")</f>
        <v/>
      </c>
      <c r="M284" s="39">
        <f>IFERROR(INDEX('10_CLIENTI'!$B$5:$B$204,MATCH($D284,'10_CLIENTI'!$A$5:$A$204,0)),"")</f>
        <v/>
      </c>
      <c r="N284" s="39">
        <f>IFERROR(INDEX('11_PRODUSE'!$B$5:$B$104,MATCH($E284,'11_PRODUSE'!$A$5:$A$104,0)),"")</f>
        <v/>
      </c>
      <c r="O284" s="13" t="n"/>
      <c r="P284" s="13" t="n"/>
    </row>
    <row r="285">
      <c r="A285" s="35" t="n"/>
      <c r="B285" s="39">
        <f>IF($A285="","",YEAR($A285)&amp;"-"&amp;RIGHT("0"&amp;MONTH($A285),2))</f>
        <v/>
      </c>
      <c r="C285" s="13" t="n"/>
      <c r="D285" s="13" t="n"/>
      <c r="E285" s="13" t="n"/>
      <c r="F285" s="13" t="n"/>
      <c r="G285" s="40" t="n"/>
      <c r="H285" s="38" t="n"/>
      <c r="I285" s="38" t="n"/>
      <c r="J285" s="38" t="n"/>
      <c r="K285" s="24">
        <f>IF($H285="","",$H285-N($J285))</f>
        <v/>
      </c>
      <c r="L285" s="25">
        <f>IFERROR($K285/$H285,"")</f>
        <v/>
      </c>
      <c r="M285" s="39">
        <f>IFERROR(INDEX('10_CLIENTI'!$B$5:$B$204,MATCH($D285,'10_CLIENTI'!$A$5:$A$204,0)),"")</f>
        <v/>
      </c>
      <c r="N285" s="39">
        <f>IFERROR(INDEX('11_PRODUSE'!$B$5:$B$104,MATCH($E285,'11_PRODUSE'!$A$5:$A$104,0)),"")</f>
        <v/>
      </c>
      <c r="O285" s="13" t="n"/>
      <c r="P285" s="13" t="n"/>
    </row>
    <row r="286">
      <c r="A286" s="35" t="n"/>
      <c r="B286" s="39">
        <f>IF($A286="","",YEAR($A286)&amp;"-"&amp;RIGHT("0"&amp;MONTH($A286),2))</f>
        <v/>
      </c>
      <c r="C286" s="13" t="n"/>
      <c r="D286" s="13" t="n"/>
      <c r="E286" s="13" t="n"/>
      <c r="F286" s="13" t="n"/>
      <c r="G286" s="40" t="n"/>
      <c r="H286" s="38" t="n"/>
      <c r="I286" s="38" t="n"/>
      <c r="J286" s="38" t="n"/>
      <c r="K286" s="24">
        <f>IF($H286="","",$H286-N($J286))</f>
        <v/>
      </c>
      <c r="L286" s="25">
        <f>IFERROR($K286/$H286,"")</f>
        <v/>
      </c>
      <c r="M286" s="39">
        <f>IFERROR(INDEX('10_CLIENTI'!$B$5:$B$204,MATCH($D286,'10_CLIENTI'!$A$5:$A$204,0)),"")</f>
        <v/>
      </c>
      <c r="N286" s="39">
        <f>IFERROR(INDEX('11_PRODUSE'!$B$5:$B$104,MATCH($E286,'11_PRODUSE'!$A$5:$A$104,0)),"")</f>
        <v/>
      </c>
      <c r="O286" s="13" t="n"/>
      <c r="P286" s="13" t="n"/>
    </row>
    <row r="287">
      <c r="A287" s="35" t="n"/>
      <c r="B287" s="39">
        <f>IF($A287="","",YEAR($A287)&amp;"-"&amp;RIGHT("0"&amp;MONTH($A287),2))</f>
        <v/>
      </c>
      <c r="C287" s="13" t="n"/>
      <c r="D287" s="13" t="n"/>
      <c r="E287" s="13" t="n"/>
      <c r="F287" s="13" t="n"/>
      <c r="G287" s="40" t="n"/>
      <c r="H287" s="38" t="n"/>
      <c r="I287" s="38" t="n"/>
      <c r="J287" s="38" t="n"/>
      <c r="K287" s="24">
        <f>IF($H287="","",$H287-N($J287))</f>
        <v/>
      </c>
      <c r="L287" s="25">
        <f>IFERROR($K287/$H287,"")</f>
        <v/>
      </c>
      <c r="M287" s="39">
        <f>IFERROR(INDEX('10_CLIENTI'!$B$5:$B$204,MATCH($D287,'10_CLIENTI'!$A$5:$A$204,0)),"")</f>
        <v/>
      </c>
      <c r="N287" s="39">
        <f>IFERROR(INDEX('11_PRODUSE'!$B$5:$B$104,MATCH($E287,'11_PRODUSE'!$A$5:$A$104,0)),"")</f>
        <v/>
      </c>
      <c r="O287" s="13" t="n"/>
      <c r="P287" s="13" t="n"/>
    </row>
    <row r="288">
      <c r="A288" s="35" t="n"/>
      <c r="B288" s="39">
        <f>IF($A288="","",YEAR($A288)&amp;"-"&amp;RIGHT("0"&amp;MONTH($A288),2))</f>
        <v/>
      </c>
      <c r="C288" s="13" t="n"/>
      <c r="D288" s="13" t="n"/>
      <c r="E288" s="13" t="n"/>
      <c r="F288" s="13" t="n"/>
      <c r="G288" s="40" t="n"/>
      <c r="H288" s="38" t="n"/>
      <c r="I288" s="38" t="n"/>
      <c r="J288" s="38" t="n"/>
      <c r="K288" s="24">
        <f>IF($H288="","",$H288-N($J288))</f>
        <v/>
      </c>
      <c r="L288" s="25">
        <f>IFERROR($K288/$H288,"")</f>
        <v/>
      </c>
      <c r="M288" s="39">
        <f>IFERROR(INDEX('10_CLIENTI'!$B$5:$B$204,MATCH($D288,'10_CLIENTI'!$A$5:$A$204,0)),"")</f>
        <v/>
      </c>
      <c r="N288" s="39">
        <f>IFERROR(INDEX('11_PRODUSE'!$B$5:$B$104,MATCH($E288,'11_PRODUSE'!$A$5:$A$104,0)),"")</f>
        <v/>
      </c>
      <c r="O288" s="13" t="n"/>
      <c r="P288" s="13" t="n"/>
    </row>
    <row r="289">
      <c r="A289" s="35" t="n"/>
      <c r="B289" s="39">
        <f>IF($A289="","",YEAR($A289)&amp;"-"&amp;RIGHT("0"&amp;MONTH($A289),2))</f>
        <v/>
      </c>
      <c r="C289" s="13" t="n"/>
      <c r="D289" s="13" t="n"/>
      <c r="E289" s="13" t="n"/>
      <c r="F289" s="13" t="n"/>
      <c r="G289" s="40" t="n"/>
      <c r="H289" s="38" t="n"/>
      <c r="I289" s="38" t="n"/>
      <c r="J289" s="38" t="n"/>
      <c r="K289" s="24">
        <f>IF($H289="","",$H289-N($J289))</f>
        <v/>
      </c>
      <c r="L289" s="25">
        <f>IFERROR($K289/$H289,"")</f>
        <v/>
      </c>
      <c r="M289" s="39">
        <f>IFERROR(INDEX('10_CLIENTI'!$B$5:$B$204,MATCH($D289,'10_CLIENTI'!$A$5:$A$204,0)),"")</f>
        <v/>
      </c>
      <c r="N289" s="39">
        <f>IFERROR(INDEX('11_PRODUSE'!$B$5:$B$104,MATCH($E289,'11_PRODUSE'!$A$5:$A$104,0)),"")</f>
        <v/>
      </c>
      <c r="O289" s="13" t="n"/>
      <c r="P289" s="13" t="n"/>
    </row>
    <row r="290">
      <c r="A290" s="35" t="n"/>
      <c r="B290" s="39">
        <f>IF($A290="","",YEAR($A290)&amp;"-"&amp;RIGHT("0"&amp;MONTH($A290),2))</f>
        <v/>
      </c>
      <c r="C290" s="13" t="n"/>
      <c r="D290" s="13" t="n"/>
      <c r="E290" s="13" t="n"/>
      <c r="F290" s="13" t="n"/>
      <c r="G290" s="40" t="n"/>
      <c r="H290" s="38" t="n"/>
      <c r="I290" s="38" t="n"/>
      <c r="J290" s="38" t="n"/>
      <c r="K290" s="24">
        <f>IF($H290="","",$H290-N($J290))</f>
        <v/>
      </c>
      <c r="L290" s="25">
        <f>IFERROR($K290/$H290,"")</f>
        <v/>
      </c>
      <c r="M290" s="39">
        <f>IFERROR(INDEX('10_CLIENTI'!$B$5:$B$204,MATCH($D290,'10_CLIENTI'!$A$5:$A$204,0)),"")</f>
        <v/>
      </c>
      <c r="N290" s="39">
        <f>IFERROR(INDEX('11_PRODUSE'!$B$5:$B$104,MATCH($E290,'11_PRODUSE'!$A$5:$A$104,0)),"")</f>
        <v/>
      </c>
      <c r="O290" s="13" t="n"/>
      <c r="P290" s="13" t="n"/>
    </row>
    <row r="291">
      <c r="A291" s="35" t="n"/>
      <c r="B291" s="39">
        <f>IF($A291="","",YEAR($A291)&amp;"-"&amp;RIGHT("0"&amp;MONTH($A291),2))</f>
        <v/>
      </c>
      <c r="C291" s="13" t="n"/>
      <c r="D291" s="13" t="n"/>
      <c r="E291" s="13" t="n"/>
      <c r="F291" s="13" t="n"/>
      <c r="G291" s="40" t="n"/>
      <c r="H291" s="38" t="n"/>
      <c r="I291" s="38" t="n"/>
      <c r="J291" s="38" t="n"/>
      <c r="K291" s="24">
        <f>IF($H291="","",$H291-N($J291))</f>
        <v/>
      </c>
      <c r="L291" s="25">
        <f>IFERROR($K291/$H291,"")</f>
        <v/>
      </c>
      <c r="M291" s="39">
        <f>IFERROR(INDEX('10_CLIENTI'!$B$5:$B$204,MATCH($D291,'10_CLIENTI'!$A$5:$A$204,0)),"")</f>
        <v/>
      </c>
      <c r="N291" s="39">
        <f>IFERROR(INDEX('11_PRODUSE'!$B$5:$B$104,MATCH($E291,'11_PRODUSE'!$A$5:$A$104,0)),"")</f>
        <v/>
      </c>
      <c r="O291" s="13" t="n"/>
      <c r="P291" s="13" t="n"/>
    </row>
    <row r="292">
      <c r="A292" s="35" t="n"/>
      <c r="B292" s="39">
        <f>IF($A292="","",YEAR($A292)&amp;"-"&amp;RIGHT("0"&amp;MONTH($A292),2))</f>
        <v/>
      </c>
      <c r="C292" s="13" t="n"/>
      <c r="D292" s="13" t="n"/>
      <c r="E292" s="13" t="n"/>
      <c r="F292" s="13" t="n"/>
      <c r="G292" s="40" t="n"/>
      <c r="H292" s="38" t="n"/>
      <c r="I292" s="38" t="n"/>
      <c r="J292" s="38" t="n"/>
      <c r="K292" s="24">
        <f>IF($H292="","",$H292-N($J292))</f>
        <v/>
      </c>
      <c r="L292" s="25">
        <f>IFERROR($K292/$H292,"")</f>
        <v/>
      </c>
      <c r="M292" s="39">
        <f>IFERROR(INDEX('10_CLIENTI'!$B$5:$B$204,MATCH($D292,'10_CLIENTI'!$A$5:$A$204,0)),"")</f>
        <v/>
      </c>
      <c r="N292" s="39">
        <f>IFERROR(INDEX('11_PRODUSE'!$B$5:$B$104,MATCH($E292,'11_PRODUSE'!$A$5:$A$104,0)),"")</f>
        <v/>
      </c>
      <c r="O292" s="13" t="n"/>
      <c r="P292" s="13" t="n"/>
    </row>
    <row r="293">
      <c r="A293" s="35" t="n"/>
      <c r="B293" s="39">
        <f>IF($A293="","",YEAR($A293)&amp;"-"&amp;RIGHT("0"&amp;MONTH($A293),2))</f>
        <v/>
      </c>
      <c r="C293" s="13" t="n"/>
      <c r="D293" s="13" t="n"/>
      <c r="E293" s="13" t="n"/>
      <c r="F293" s="13" t="n"/>
      <c r="G293" s="40" t="n"/>
      <c r="H293" s="38" t="n"/>
      <c r="I293" s="38" t="n"/>
      <c r="J293" s="38" t="n"/>
      <c r="K293" s="24">
        <f>IF($H293="","",$H293-N($J293))</f>
        <v/>
      </c>
      <c r="L293" s="25">
        <f>IFERROR($K293/$H293,"")</f>
        <v/>
      </c>
      <c r="M293" s="39">
        <f>IFERROR(INDEX('10_CLIENTI'!$B$5:$B$204,MATCH($D293,'10_CLIENTI'!$A$5:$A$204,0)),"")</f>
        <v/>
      </c>
      <c r="N293" s="39">
        <f>IFERROR(INDEX('11_PRODUSE'!$B$5:$B$104,MATCH($E293,'11_PRODUSE'!$A$5:$A$104,0)),"")</f>
        <v/>
      </c>
      <c r="O293" s="13" t="n"/>
      <c r="P293" s="13" t="n"/>
    </row>
    <row r="294">
      <c r="A294" s="35" t="n"/>
      <c r="B294" s="39">
        <f>IF($A294="","",YEAR($A294)&amp;"-"&amp;RIGHT("0"&amp;MONTH($A294),2))</f>
        <v/>
      </c>
      <c r="C294" s="13" t="n"/>
      <c r="D294" s="13" t="n"/>
      <c r="E294" s="13" t="n"/>
      <c r="F294" s="13" t="n"/>
      <c r="G294" s="40" t="n"/>
      <c r="H294" s="38" t="n"/>
      <c r="I294" s="38" t="n"/>
      <c r="J294" s="38" t="n"/>
      <c r="K294" s="24">
        <f>IF($H294="","",$H294-N($J294))</f>
        <v/>
      </c>
      <c r="L294" s="25">
        <f>IFERROR($K294/$H294,"")</f>
        <v/>
      </c>
      <c r="M294" s="39">
        <f>IFERROR(INDEX('10_CLIENTI'!$B$5:$B$204,MATCH($D294,'10_CLIENTI'!$A$5:$A$204,0)),"")</f>
        <v/>
      </c>
      <c r="N294" s="39">
        <f>IFERROR(INDEX('11_PRODUSE'!$B$5:$B$104,MATCH($E294,'11_PRODUSE'!$A$5:$A$104,0)),"")</f>
        <v/>
      </c>
      <c r="O294" s="13" t="n"/>
      <c r="P294" s="13" t="n"/>
    </row>
    <row r="295">
      <c r="A295" s="35" t="n"/>
      <c r="B295" s="39">
        <f>IF($A295="","",YEAR($A295)&amp;"-"&amp;RIGHT("0"&amp;MONTH($A295),2))</f>
        <v/>
      </c>
      <c r="C295" s="13" t="n"/>
      <c r="D295" s="13" t="n"/>
      <c r="E295" s="13" t="n"/>
      <c r="F295" s="13" t="n"/>
      <c r="G295" s="40" t="n"/>
      <c r="H295" s="38" t="n"/>
      <c r="I295" s="38" t="n"/>
      <c r="J295" s="38" t="n"/>
      <c r="K295" s="24">
        <f>IF($H295="","",$H295-N($J295))</f>
        <v/>
      </c>
      <c r="L295" s="25">
        <f>IFERROR($K295/$H295,"")</f>
        <v/>
      </c>
      <c r="M295" s="39">
        <f>IFERROR(INDEX('10_CLIENTI'!$B$5:$B$204,MATCH($D295,'10_CLIENTI'!$A$5:$A$204,0)),"")</f>
        <v/>
      </c>
      <c r="N295" s="39">
        <f>IFERROR(INDEX('11_PRODUSE'!$B$5:$B$104,MATCH($E295,'11_PRODUSE'!$A$5:$A$104,0)),"")</f>
        <v/>
      </c>
      <c r="O295" s="13" t="n"/>
      <c r="P295" s="13" t="n"/>
    </row>
    <row r="296">
      <c r="A296" s="35" t="n"/>
      <c r="B296" s="39">
        <f>IF($A296="","",YEAR($A296)&amp;"-"&amp;RIGHT("0"&amp;MONTH($A296),2))</f>
        <v/>
      </c>
      <c r="C296" s="13" t="n"/>
      <c r="D296" s="13" t="n"/>
      <c r="E296" s="13" t="n"/>
      <c r="F296" s="13" t="n"/>
      <c r="G296" s="40" t="n"/>
      <c r="H296" s="38" t="n"/>
      <c r="I296" s="38" t="n"/>
      <c r="J296" s="38" t="n"/>
      <c r="K296" s="24">
        <f>IF($H296="","",$H296-N($J296))</f>
        <v/>
      </c>
      <c r="L296" s="25">
        <f>IFERROR($K296/$H296,"")</f>
        <v/>
      </c>
      <c r="M296" s="39">
        <f>IFERROR(INDEX('10_CLIENTI'!$B$5:$B$204,MATCH($D296,'10_CLIENTI'!$A$5:$A$204,0)),"")</f>
        <v/>
      </c>
      <c r="N296" s="39">
        <f>IFERROR(INDEX('11_PRODUSE'!$B$5:$B$104,MATCH($E296,'11_PRODUSE'!$A$5:$A$104,0)),"")</f>
        <v/>
      </c>
      <c r="O296" s="13" t="n"/>
      <c r="P296" s="13" t="n"/>
    </row>
    <row r="297">
      <c r="A297" s="35" t="n"/>
      <c r="B297" s="39">
        <f>IF($A297="","",YEAR($A297)&amp;"-"&amp;RIGHT("0"&amp;MONTH($A297),2))</f>
        <v/>
      </c>
      <c r="C297" s="13" t="n"/>
      <c r="D297" s="13" t="n"/>
      <c r="E297" s="13" t="n"/>
      <c r="F297" s="13" t="n"/>
      <c r="G297" s="40" t="n"/>
      <c r="H297" s="38" t="n"/>
      <c r="I297" s="38" t="n"/>
      <c r="J297" s="38" t="n"/>
      <c r="K297" s="24">
        <f>IF($H297="","",$H297-N($J297))</f>
        <v/>
      </c>
      <c r="L297" s="25">
        <f>IFERROR($K297/$H297,"")</f>
        <v/>
      </c>
      <c r="M297" s="39">
        <f>IFERROR(INDEX('10_CLIENTI'!$B$5:$B$204,MATCH($D297,'10_CLIENTI'!$A$5:$A$204,0)),"")</f>
        <v/>
      </c>
      <c r="N297" s="39">
        <f>IFERROR(INDEX('11_PRODUSE'!$B$5:$B$104,MATCH($E297,'11_PRODUSE'!$A$5:$A$104,0)),"")</f>
        <v/>
      </c>
      <c r="O297" s="13" t="n"/>
      <c r="P297" s="13" t="n"/>
    </row>
    <row r="298">
      <c r="A298" s="35" t="n"/>
      <c r="B298" s="39">
        <f>IF($A298="","",YEAR($A298)&amp;"-"&amp;RIGHT("0"&amp;MONTH($A298),2))</f>
        <v/>
      </c>
      <c r="C298" s="13" t="n"/>
      <c r="D298" s="13" t="n"/>
      <c r="E298" s="13" t="n"/>
      <c r="F298" s="13" t="n"/>
      <c r="G298" s="40" t="n"/>
      <c r="H298" s="38" t="n"/>
      <c r="I298" s="38" t="n"/>
      <c r="J298" s="38" t="n"/>
      <c r="K298" s="24">
        <f>IF($H298="","",$H298-N($J298))</f>
        <v/>
      </c>
      <c r="L298" s="25">
        <f>IFERROR($K298/$H298,"")</f>
        <v/>
      </c>
      <c r="M298" s="39">
        <f>IFERROR(INDEX('10_CLIENTI'!$B$5:$B$204,MATCH($D298,'10_CLIENTI'!$A$5:$A$204,0)),"")</f>
        <v/>
      </c>
      <c r="N298" s="39">
        <f>IFERROR(INDEX('11_PRODUSE'!$B$5:$B$104,MATCH($E298,'11_PRODUSE'!$A$5:$A$104,0)),"")</f>
        <v/>
      </c>
      <c r="O298" s="13" t="n"/>
      <c r="P298" s="13" t="n"/>
    </row>
    <row r="299">
      <c r="A299" s="35" t="n"/>
      <c r="B299" s="39">
        <f>IF($A299="","",YEAR($A299)&amp;"-"&amp;RIGHT("0"&amp;MONTH($A299),2))</f>
        <v/>
      </c>
      <c r="C299" s="13" t="n"/>
      <c r="D299" s="13" t="n"/>
      <c r="E299" s="13" t="n"/>
      <c r="F299" s="13" t="n"/>
      <c r="G299" s="40" t="n"/>
      <c r="H299" s="38" t="n"/>
      <c r="I299" s="38" t="n"/>
      <c r="J299" s="38" t="n"/>
      <c r="K299" s="24">
        <f>IF($H299="","",$H299-N($J299))</f>
        <v/>
      </c>
      <c r="L299" s="25">
        <f>IFERROR($K299/$H299,"")</f>
        <v/>
      </c>
      <c r="M299" s="39">
        <f>IFERROR(INDEX('10_CLIENTI'!$B$5:$B$204,MATCH($D299,'10_CLIENTI'!$A$5:$A$204,0)),"")</f>
        <v/>
      </c>
      <c r="N299" s="39">
        <f>IFERROR(INDEX('11_PRODUSE'!$B$5:$B$104,MATCH($E299,'11_PRODUSE'!$A$5:$A$104,0)),"")</f>
        <v/>
      </c>
      <c r="O299" s="13" t="n"/>
      <c r="P299" s="13" t="n"/>
    </row>
    <row r="300">
      <c r="A300" s="35" t="n"/>
      <c r="B300" s="39">
        <f>IF($A300="","",YEAR($A300)&amp;"-"&amp;RIGHT("0"&amp;MONTH($A300),2))</f>
        <v/>
      </c>
      <c r="C300" s="13" t="n"/>
      <c r="D300" s="13" t="n"/>
      <c r="E300" s="13" t="n"/>
      <c r="F300" s="13" t="n"/>
      <c r="G300" s="40" t="n"/>
      <c r="H300" s="38" t="n"/>
      <c r="I300" s="38" t="n"/>
      <c r="J300" s="38" t="n"/>
      <c r="K300" s="24">
        <f>IF($H300="","",$H300-N($J300))</f>
        <v/>
      </c>
      <c r="L300" s="25">
        <f>IFERROR($K300/$H300,"")</f>
        <v/>
      </c>
      <c r="M300" s="39">
        <f>IFERROR(INDEX('10_CLIENTI'!$B$5:$B$204,MATCH($D300,'10_CLIENTI'!$A$5:$A$204,0)),"")</f>
        <v/>
      </c>
      <c r="N300" s="39">
        <f>IFERROR(INDEX('11_PRODUSE'!$B$5:$B$104,MATCH($E300,'11_PRODUSE'!$A$5:$A$104,0)),"")</f>
        <v/>
      </c>
      <c r="O300" s="13" t="n"/>
      <c r="P300" s="13" t="n"/>
    </row>
    <row r="301">
      <c r="A301" s="35" t="n"/>
      <c r="B301" s="39">
        <f>IF($A301="","",YEAR($A301)&amp;"-"&amp;RIGHT("0"&amp;MONTH($A301),2))</f>
        <v/>
      </c>
      <c r="C301" s="13" t="n"/>
      <c r="D301" s="13" t="n"/>
      <c r="E301" s="13" t="n"/>
      <c r="F301" s="13" t="n"/>
      <c r="G301" s="40" t="n"/>
      <c r="H301" s="38" t="n"/>
      <c r="I301" s="38" t="n"/>
      <c r="J301" s="38" t="n"/>
      <c r="K301" s="24">
        <f>IF($H301="","",$H301-N($J301))</f>
        <v/>
      </c>
      <c r="L301" s="25">
        <f>IFERROR($K301/$H301,"")</f>
        <v/>
      </c>
      <c r="M301" s="39">
        <f>IFERROR(INDEX('10_CLIENTI'!$B$5:$B$204,MATCH($D301,'10_CLIENTI'!$A$5:$A$204,0)),"")</f>
        <v/>
      </c>
      <c r="N301" s="39">
        <f>IFERROR(INDEX('11_PRODUSE'!$B$5:$B$104,MATCH($E301,'11_PRODUSE'!$A$5:$A$104,0)),"")</f>
        <v/>
      </c>
      <c r="O301" s="13" t="n"/>
      <c r="P301" s="13" t="n"/>
    </row>
    <row r="302">
      <c r="A302" s="35" t="n"/>
      <c r="B302" s="39">
        <f>IF($A302="","",YEAR($A302)&amp;"-"&amp;RIGHT("0"&amp;MONTH($A302),2))</f>
        <v/>
      </c>
      <c r="C302" s="13" t="n"/>
      <c r="D302" s="13" t="n"/>
      <c r="E302" s="13" t="n"/>
      <c r="F302" s="13" t="n"/>
      <c r="G302" s="40" t="n"/>
      <c r="H302" s="38" t="n"/>
      <c r="I302" s="38" t="n"/>
      <c r="J302" s="38" t="n"/>
      <c r="K302" s="24">
        <f>IF($H302="","",$H302-N($J302))</f>
        <v/>
      </c>
      <c r="L302" s="25">
        <f>IFERROR($K302/$H302,"")</f>
        <v/>
      </c>
      <c r="M302" s="39">
        <f>IFERROR(INDEX('10_CLIENTI'!$B$5:$B$204,MATCH($D302,'10_CLIENTI'!$A$5:$A$204,0)),"")</f>
        <v/>
      </c>
      <c r="N302" s="39">
        <f>IFERROR(INDEX('11_PRODUSE'!$B$5:$B$104,MATCH($E302,'11_PRODUSE'!$A$5:$A$104,0)),"")</f>
        <v/>
      </c>
      <c r="O302" s="13" t="n"/>
      <c r="P302" s="13" t="n"/>
    </row>
    <row r="303">
      <c r="A303" s="35" t="n"/>
      <c r="B303" s="39">
        <f>IF($A303="","",YEAR($A303)&amp;"-"&amp;RIGHT("0"&amp;MONTH($A303),2))</f>
        <v/>
      </c>
      <c r="C303" s="13" t="n"/>
      <c r="D303" s="13" t="n"/>
      <c r="E303" s="13" t="n"/>
      <c r="F303" s="13" t="n"/>
      <c r="G303" s="40" t="n"/>
      <c r="H303" s="38" t="n"/>
      <c r="I303" s="38" t="n"/>
      <c r="J303" s="38" t="n"/>
      <c r="K303" s="24">
        <f>IF($H303="","",$H303-N($J303))</f>
        <v/>
      </c>
      <c r="L303" s="25">
        <f>IFERROR($K303/$H303,"")</f>
        <v/>
      </c>
      <c r="M303" s="39">
        <f>IFERROR(INDEX('10_CLIENTI'!$B$5:$B$204,MATCH($D303,'10_CLIENTI'!$A$5:$A$204,0)),"")</f>
        <v/>
      </c>
      <c r="N303" s="39">
        <f>IFERROR(INDEX('11_PRODUSE'!$B$5:$B$104,MATCH($E303,'11_PRODUSE'!$A$5:$A$104,0)),"")</f>
        <v/>
      </c>
      <c r="O303" s="13" t="n"/>
      <c r="P303" s="13" t="n"/>
    </row>
    <row r="304">
      <c r="A304" s="35" t="n"/>
      <c r="B304" s="39">
        <f>IF($A304="","",YEAR($A304)&amp;"-"&amp;RIGHT("0"&amp;MONTH($A304),2))</f>
        <v/>
      </c>
      <c r="C304" s="13" t="n"/>
      <c r="D304" s="13" t="n"/>
      <c r="E304" s="13" t="n"/>
      <c r="F304" s="13" t="n"/>
      <c r="G304" s="40" t="n"/>
      <c r="H304" s="38" t="n"/>
      <c r="I304" s="38" t="n"/>
      <c r="J304" s="38" t="n"/>
      <c r="K304" s="24">
        <f>IF($H304="","",$H304-N($J304))</f>
        <v/>
      </c>
      <c r="L304" s="25">
        <f>IFERROR($K304/$H304,"")</f>
        <v/>
      </c>
      <c r="M304" s="39">
        <f>IFERROR(INDEX('10_CLIENTI'!$B$5:$B$204,MATCH($D304,'10_CLIENTI'!$A$5:$A$204,0)),"")</f>
        <v/>
      </c>
      <c r="N304" s="39">
        <f>IFERROR(INDEX('11_PRODUSE'!$B$5:$B$104,MATCH($E304,'11_PRODUSE'!$A$5:$A$104,0)),"")</f>
        <v/>
      </c>
      <c r="O304" s="13" t="n"/>
      <c r="P304" s="13" t="n"/>
    </row>
    <row r="305">
      <c r="A305" s="35" t="n"/>
      <c r="B305" s="39">
        <f>IF($A305="","",YEAR($A305)&amp;"-"&amp;RIGHT("0"&amp;MONTH($A305),2))</f>
        <v/>
      </c>
      <c r="C305" s="13" t="n"/>
      <c r="D305" s="13" t="n"/>
      <c r="E305" s="13" t="n"/>
      <c r="F305" s="13" t="n"/>
      <c r="G305" s="40" t="n"/>
      <c r="H305" s="38" t="n"/>
      <c r="I305" s="38" t="n"/>
      <c r="J305" s="38" t="n"/>
      <c r="K305" s="24">
        <f>IF($H305="","",$H305-N($J305))</f>
        <v/>
      </c>
      <c r="L305" s="25">
        <f>IFERROR($K305/$H305,"")</f>
        <v/>
      </c>
      <c r="M305" s="39">
        <f>IFERROR(INDEX('10_CLIENTI'!$B$5:$B$204,MATCH($D305,'10_CLIENTI'!$A$5:$A$204,0)),"")</f>
        <v/>
      </c>
      <c r="N305" s="39">
        <f>IFERROR(INDEX('11_PRODUSE'!$B$5:$B$104,MATCH($E305,'11_PRODUSE'!$A$5:$A$104,0)),"")</f>
        <v/>
      </c>
      <c r="O305" s="13" t="n"/>
      <c r="P305" s="13" t="n"/>
    </row>
    <row r="306">
      <c r="A306" s="35" t="n"/>
      <c r="B306" s="39">
        <f>IF($A306="","",YEAR($A306)&amp;"-"&amp;RIGHT("0"&amp;MONTH($A306),2))</f>
        <v/>
      </c>
      <c r="C306" s="13" t="n"/>
      <c r="D306" s="13" t="n"/>
      <c r="E306" s="13" t="n"/>
      <c r="F306" s="13" t="n"/>
      <c r="G306" s="40" t="n"/>
      <c r="H306" s="38" t="n"/>
      <c r="I306" s="38" t="n"/>
      <c r="J306" s="38" t="n"/>
      <c r="K306" s="24">
        <f>IF($H306="","",$H306-N($J306))</f>
        <v/>
      </c>
      <c r="L306" s="25">
        <f>IFERROR($K306/$H306,"")</f>
        <v/>
      </c>
      <c r="M306" s="39">
        <f>IFERROR(INDEX('10_CLIENTI'!$B$5:$B$204,MATCH($D306,'10_CLIENTI'!$A$5:$A$204,0)),"")</f>
        <v/>
      </c>
      <c r="N306" s="39">
        <f>IFERROR(INDEX('11_PRODUSE'!$B$5:$B$104,MATCH($E306,'11_PRODUSE'!$A$5:$A$104,0)),"")</f>
        <v/>
      </c>
      <c r="O306" s="13" t="n"/>
      <c r="P306" s="13" t="n"/>
    </row>
    <row r="307">
      <c r="A307" s="35" t="n"/>
      <c r="B307" s="39">
        <f>IF($A307="","",YEAR($A307)&amp;"-"&amp;RIGHT("0"&amp;MONTH($A307),2))</f>
        <v/>
      </c>
      <c r="C307" s="13" t="n"/>
      <c r="D307" s="13" t="n"/>
      <c r="E307" s="13" t="n"/>
      <c r="F307" s="13" t="n"/>
      <c r="G307" s="40" t="n"/>
      <c r="H307" s="38" t="n"/>
      <c r="I307" s="38" t="n"/>
      <c r="J307" s="38" t="n"/>
      <c r="K307" s="24">
        <f>IF($H307="","",$H307-N($J307))</f>
        <v/>
      </c>
      <c r="L307" s="25">
        <f>IFERROR($K307/$H307,"")</f>
        <v/>
      </c>
      <c r="M307" s="39">
        <f>IFERROR(INDEX('10_CLIENTI'!$B$5:$B$204,MATCH($D307,'10_CLIENTI'!$A$5:$A$204,0)),"")</f>
        <v/>
      </c>
      <c r="N307" s="39">
        <f>IFERROR(INDEX('11_PRODUSE'!$B$5:$B$104,MATCH($E307,'11_PRODUSE'!$A$5:$A$104,0)),"")</f>
        <v/>
      </c>
      <c r="O307" s="13" t="n"/>
      <c r="P307" s="13" t="n"/>
    </row>
    <row r="308">
      <c r="A308" s="35" t="n"/>
      <c r="B308" s="39">
        <f>IF($A308="","",YEAR($A308)&amp;"-"&amp;RIGHT("0"&amp;MONTH($A308),2))</f>
        <v/>
      </c>
      <c r="C308" s="13" t="n"/>
      <c r="D308" s="13" t="n"/>
      <c r="E308" s="13" t="n"/>
      <c r="F308" s="13" t="n"/>
      <c r="G308" s="40" t="n"/>
      <c r="H308" s="38" t="n"/>
      <c r="I308" s="38" t="n"/>
      <c r="J308" s="38" t="n"/>
      <c r="K308" s="24">
        <f>IF($H308="","",$H308-N($J308))</f>
        <v/>
      </c>
      <c r="L308" s="25">
        <f>IFERROR($K308/$H308,"")</f>
        <v/>
      </c>
      <c r="M308" s="39">
        <f>IFERROR(INDEX('10_CLIENTI'!$B$5:$B$204,MATCH($D308,'10_CLIENTI'!$A$5:$A$204,0)),"")</f>
        <v/>
      </c>
      <c r="N308" s="39">
        <f>IFERROR(INDEX('11_PRODUSE'!$B$5:$B$104,MATCH($E308,'11_PRODUSE'!$A$5:$A$104,0)),"")</f>
        <v/>
      </c>
      <c r="O308" s="13" t="n"/>
      <c r="P308" s="13" t="n"/>
    </row>
    <row r="309">
      <c r="A309" s="35" t="n"/>
      <c r="B309" s="39">
        <f>IF($A309="","",YEAR($A309)&amp;"-"&amp;RIGHT("0"&amp;MONTH($A309),2))</f>
        <v/>
      </c>
      <c r="C309" s="13" t="n"/>
      <c r="D309" s="13" t="n"/>
      <c r="E309" s="13" t="n"/>
      <c r="F309" s="13" t="n"/>
      <c r="G309" s="40" t="n"/>
      <c r="H309" s="38" t="n"/>
      <c r="I309" s="38" t="n"/>
      <c r="J309" s="38" t="n"/>
      <c r="K309" s="24">
        <f>IF($H309="","",$H309-N($J309))</f>
        <v/>
      </c>
      <c r="L309" s="25">
        <f>IFERROR($K309/$H309,"")</f>
        <v/>
      </c>
      <c r="M309" s="39">
        <f>IFERROR(INDEX('10_CLIENTI'!$B$5:$B$204,MATCH($D309,'10_CLIENTI'!$A$5:$A$204,0)),"")</f>
        <v/>
      </c>
      <c r="N309" s="39">
        <f>IFERROR(INDEX('11_PRODUSE'!$B$5:$B$104,MATCH($E309,'11_PRODUSE'!$A$5:$A$104,0)),"")</f>
        <v/>
      </c>
      <c r="O309" s="13" t="n"/>
      <c r="P309" s="13" t="n"/>
    </row>
    <row r="310">
      <c r="A310" s="35" t="n"/>
      <c r="B310" s="39">
        <f>IF($A310="","",YEAR($A310)&amp;"-"&amp;RIGHT("0"&amp;MONTH($A310),2))</f>
        <v/>
      </c>
      <c r="C310" s="13" t="n"/>
      <c r="D310" s="13" t="n"/>
      <c r="E310" s="13" t="n"/>
      <c r="F310" s="13" t="n"/>
      <c r="G310" s="40" t="n"/>
      <c r="H310" s="38" t="n"/>
      <c r="I310" s="38" t="n"/>
      <c r="J310" s="38" t="n"/>
      <c r="K310" s="24">
        <f>IF($H310="","",$H310-N($J310))</f>
        <v/>
      </c>
      <c r="L310" s="25">
        <f>IFERROR($K310/$H310,"")</f>
        <v/>
      </c>
      <c r="M310" s="39">
        <f>IFERROR(INDEX('10_CLIENTI'!$B$5:$B$204,MATCH($D310,'10_CLIENTI'!$A$5:$A$204,0)),"")</f>
        <v/>
      </c>
      <c r="N310" s="39">
        <f>IFERROR(INDEX('11_PRODUSE'!$B$5:$B$104,MATCH($E310,'11_PRODUSE'!$A$5:$A$104,0)),"")</f>
        <v/>
      </c>
      <c r="O310" s="13" t="n"/>
      <c r="P310" s="13" t="n"/>
    </row>
    <row r="311">
      <c r="A311" s="35" t="n"/>
      <c r="B311" s="39">
        <f>IF($A311="","",YEAR($A311)&amp;"-"&amp;RIGHT("0"&amp;MONTH($A311),2))</f>
        <v/>
      </c>
      <c r="C311" s="13" t="n"/>
      <c r="D311" s="13" t="n"/>
      <c r="E311" s="13" t="n"/>
      <c r="F311" s="13" t="n"/>
      <c r="G311" s="40" t="n"/>
      <c r="H311" s="38" t="n"/>
      <c r="I311" s="38" t="n"/>
      <c r="J311" s="38" t="n"/>
      <c r="K311" s="24">
        <f>IF($H311="","",$H311-N($J311))</f>
        <v/>
      </c>
      <c r="L311" s="25">
        <f>IFERROR($K311/$H311,"")</f>
        <v/>
      </c>
      <c r="M311" s="39">
        <f>IFERROR(INDEX('10_CLIENTI'!$B$5:$B$204,MATCH($D311,'10_CLIENTI'!$A$5:$A$204,0)),"")</f>
        <v/>
      </c>
      <c r="N311" s="39">
        <f>IFERROR(INDEX('11_PRODUSE'!$B$5:$B$104,MATCH($E311,'11_PRODUSE'!$A$5:$A$104,0)),"")</f>
        <v/>
      </c>
      <c r="O311" s="13" t="n"/>
      <c r="P311" s="13" t="n"/>
    </row>
    <row r="312">
      <c r="A312" s="35" t="n"/>
      <c r="B312" s="39">
        <f>IF($A312="","",YEAR($A312)&amp;"-"&amp;RIGHT("0"&amp;MONTH($A312),2))</f>
        <v/>
      </c>
      <c r="C312" s="13" t="n"/>
      <c r="D312" s="13" t="n"/>
      <c r="E312" s="13" t="n"/>
      <c r="F312" s="13" t="n"/>
      <c r="G312" s="40" t="n"/>
      <c r="H312" s="38" t="n"/>
      <c r="I312" s="38" t="n"/>
      <c r="J312" s="38" t="n"/>
      <c r="K312" s="24">
        <f>IF($H312="","",$H312-N($J312))</f>
        <v/>
      </c>
      <c r="L312" s="25">
        <f>IFERROR($K312/$H312,"")</f>
        <v/>
      </c>
      <c r="M312" s="39">
        <f>IFERROR(INDEX('10_CLIENTI'!$B$5:$B$204,MATCH($D312,'10_CLIENTI'!$A$5:$A$204,0)),"")</f>
        <v/>
      </c>
      <c r="N312" s="39">
        <f>IFERROR(INDEX('11_PRODUSE'!$B$5:$B$104,MATCH($E312,'11_PRODUSE'!$A$5:$A$104,0)),"")</f>
        <v/>
      </c>
      <c r="O312" s="13" t="n"/>
      <c r="P312" s="13" t="n"/>
    </row>
    <row r="313">
      <c r="A313" s="35" t="n"/>
      <c r="B313" s="39">
        <f>IF($A313="","",YEAR($A313)&amp;"-"&amp;RIGHT("0"&amp;MONTH($A313),2))</f>
        <v/>
      </c>
      <c r="C313" s="13" t="n"/>
      <c r="D313" s="13" t="n"/>
      <c r="E313" s="13" t="n"/>
      <c r="F313" s="13" t="n"/>
      <c r="G313" s="40" t="n"/>
      <c r="H313" s="38" t="n"/>
      <c r="I313" s="38" t="n"/>
      <c r="J313" s="38" t="n"/>
      <c r="K313" s="24">
        <f>IF($H313="","",$H313-N($J313))</f>
        <v/>
      </c>
      <c r="L313" s="25">
        <f>IFERROR($K313/$H313,"")</f>
        <v/>
      </c>
      <c r="M313" s="39">
        <f>IFERROR(INDEX('10_CLIENTI'!$B$5:$B$204,MATCH($D313,'10_CLIENTI'!$A$5:$A$204,0)),"")</f>
        <v/>
      </c>
      <c r="N313" s="39">
        <f>IFERROR(INDEX('11_PRODUSE'!$B$5:$B$104,MATCH($E313,'11_PRODUSE'!$A$5:$A$104,0)),"")</f>
        <v/>
      </c>
      <c r="O313" s="13" t="n"/>
      <c r="P313" s="13" t="n"/>
    </row>
    <row r="314">
      <c r="A314" s="35" t="n"/>
      <c r="B314" s="39">
        <f>IF($A314="","",YEAR($A314)&amp;"-"&amp;RIGHT("0"&amp;MONTH($A314),2))</f>
        <v/>
      </c>
      <c r="C314" s="13" t="n"/>
      <c r="D314" s="13" t="n"/>
      <c r="E314" s="13" t="n"/>
      <c r="F314" s="13" t="n"/>
      <c r="G314" s="40" t="n"/>
      <c r="H314" s="38" t="n"/>
      <c r="I314" s="38" t="n"/>
      <c r="J314" s="38" t="n"/>
      <c r="K314" s="24">
        <f>IF($H314="","",$H314-N($J314))</f>
        <v/>
      </c>
      <c r="L314" s="25">
        <f>IFERROR($K314/$H314,"")</f>
        <v/>
      </c>
      <c r="M314" s="39">
        <f>IFERROR(INDEX('10_CLIENTI'!$B$5:$B$204,MATCH($D314,'10_CLIENTI'!$A$5:$A$204,0)),"")</f>
        <v/>
      </c>
      <c r="N314" s="39">
        <f>IFERROR(INDEX('11_PRODUSE'!$B$5:$B$104,MATCH($E314,'11_PRODUSE'!$A$5:$A$104,0)),"")</f>
        <v/>
      </c>
      <c r="O314" s="13" t="n"/>
      <c r="P314" s="13" t="n"/>
    </row>
    <row r="315">
      <c r="A315" s="35" t="n"/>
      <c r="B315" s="39">
        <f>IF($A315="","",YEAR($A315)&amp;"-"&amp;RIGHT("0"&amp;MONTH($A315),2))</f>
        <v/>
      </c>
      <c r="C315" s="13" t="n"/>
      <c r="D315" s="13" t="n"/>
      <c r="E315" s="13" t="n"/>
      <c r="F315" s="13" t="n"/>
      <c r="G315" s="40" t="n"/>
      <c r="H315" s="38" t="n"/>
      <c r="I315" s="38" t="n"/>
      <c r="J315" s="38" t="n"/>
      <c r="K315" s="24">
        <f>IF($H315="","",$H315-N($J315))</f>
        <v/>
      </c>
      <c r="L315" s="25">
        <f>IFERROR($K315/$H315,"")</f>
        <v/>
      </c>
      <c r="M315" s="39">
        <f>IFERROR(INDEX('10_CLIENTI'!$B$5:$B$204,MATCH($D315,'10_CLIENTI'!$A$5:$A$204,0)),"")</f>
        <v/>
      </c>
      <c r="N315" s="39">
        <f>IFERROR(INDEX('11_PRODUSE'!$B$5:$B$104,MATCH($E315,'11_PRODUSE'!$A$5:$A$104,0)),"")</f>
        <v/>
      </c>
      <c r="O315" s="13" t="n"/>
      <c r="P315" s="13" t="n"/>
    </row>
    <row r="316">
      <c r="A316" s="35" t="n"/>
      <c r="B316" s="39">
        <f>IF($A316="","",YEAR($A316)&amp;"-"&amp;RIGHT("0"&amp;MONTH($A316),2))</f>
        <v/>
      </c>
      <c r="C316" s="13" t="n"/>
      <c r="D316" s="13" t="n"/>
      <c r="E316" s="13" t="n"/>
      <c r="F316" s="13" t="n"/>
      <c r="G316" s="40" t="n"/>
      <c r="H316" s="38" t="n"/>
      <c r="I316" s="38" t="n"/>
      <c r="J316" s="38" t="n"/>
      <c r="K316" s="24">
        <f>IF($H316="","",$H316-N($J316))</f>
        <v/>
      </c>
      <c r="L316" s="25">
        <f>IFERROR($K316/$H316,"")</f>
        <v/>
      </c>
      <c r="M316" s="39">
        <f>IFERROR(INDEX('10_CLIENTI'!$B$5:$B$204,MATCH($D316,'10_CLIENTI'!$A$5:$A$204,0)),"")</f>
        <v/>
      </c>
      <c r="N316" s="39">
        <f>IFERROR(INDEX('11_PRODUSE'!$B$5:$B$104,MATCH($E316,'11_PRODUSE'!$A$5:$A$104,0)),"")</f>
        <v/>
      </c>
      <c r="O316" s="13" t="n"/>
      <c r="P316" s="13" t="n"/>
    </row>
    <row r="317">
      <c r="A317" s="35" t="n"/>
      <c r="B317" s="39">
        <f>IF($A317="","",YEAR($A317)&amp;"-"&amp;RIGHT("0"&amp;MONTH($A317),2))</f>
        <v/>
      </c>
      <c r="C317" s="13" t="n"/>
      <c r="D317" s="13" t="n"/>
      <c r="E317" s="13" t="n"/>
      <c r="F317" s="13" t="n"/>
      <c r="G317" s="40" t="n"/>
      <c r="H317" s="38" t="n"/>
      <c r="I317" s="38" t="n"/>
      <c r="J317" s="38" t="n"/>
      <c r="K317" s="24">
        <f>IF($H317="","",$H317-N($J317))</f>
        <v/>
      </c>
      <c r="L317" s="25">
        <f>IFERROR($K317/$H317,"")</f>
        <v/>
      </c>
      <c r="M317" s="39">
        <f>IFERROR(INDEX('10_CLIENTI'!$B$5:$B$204,MATCH($D317,'10_CLIENTI'!$A$5:$A$204,0)),"")</f>
        <v/>
      </c>
      <c r="N317" s="39">
        <f>IFERROR(INDEX('11_PRODUSE'!$B$5:$B$104,MATCH($E317,'11_PRODUSE'!$A$5:$A$104,0)),"")</f>
        <v/>
      </c>
      <c r="O317" s="13" t="n"/>
      <c r="P317" s="13" t="n"/>
    </row>
    <row r="318">
      <c r="A318" s="35" t="n"/>
      <c r="B318" s="39">
        <f>IF($A318="","",YEAR($A318)&amp;"-"&amp;RIGHT("0"&amp;MONTH($A318),2))</f>
        <v/>
      </c>
      <c r="C318" s="13" t="n"/>
      <c r="D318" s="13" t="n"/>
      <c r="E318" s="13" t="n"/>
      <c r="F318" s="13" t="n"/>
      <c r="G318" s="40" t="n"/>
      <c r="H318" s="38" t="n"/>
      <c r="I318" s="38" t="n"/>
      <c r="J318" s="38" t="n"/>
      <c r="K318" s="24">
        <f>IF($H318="","",$H318-N($J318))</f>
        <v/>
      </c>
      <c r="L318" s="25">
        <f>IFERROR($K318/$H318,"")</f>
        <v/>
      </c>
      <c r="M318" s="39">
        <f>IFERROR(INDEX('10_CLIENTI'!$B$5:$B$204,MATCH($D318,'10_CLIENTI'!$A$5:$A$204,0)),"")</f>
        <v/>
      </c>
      <c r="N318" s="39">
        <f>IFERROR(INDEX('11_PRODUSE'!$B$5:$B$104,MATCH($E318,'11_PRODUSE'!$A$5:$A$104,0)),"")</f>
        <v/>
      </c>
      <c r="O318" s="13" t="n"/>
      <c r="P318" s="13" t="n"/>
    </row>
    <row r="319">
      <c r="A319" s="35" t="n"/>
      <c r="B319" s="39">
        <f>IF($A319="","",YEAR($A319)&amp;"-"&amp;RIGHT("0"&amp;MONTH($A319),2))</f>
        <v/>
      </c>
      <c r="C319" s="13" t="n"/>
      <c r="D319" s="13" t="n"/>
      <c r="E319" s="13" t="n"/>
      <c r="F319" s="13" t="n"/>
      <c r="G319" s="40" t="n"/>
      <c r="H319" s="38" t="n"/>
      <c r="I319" s="38" t="n"/>
      <c r="J319" s="38" t="n"/>
      <c r="K319" s="24">
        <f>IF($H319="","",$H319-N($J319))</f>
        <v/>
      </c>
      <c r="L319" s="25">
        <f>IFERROR($K319/$H319,"")</f>
        <v/>
      </c>
      <c r="M319" s="39">
        <f>IFERROR(INDEX('10_CLIENTI'!$B$5:$B$204,MATCH($D319,'10_CLIENTI'!$A$5:$A$204,0)),"")</f>
        <v/>
      </c>
      <c r="N319" s="39">
        <f>IFERROR(INDEX('11_PRODUSE'!$B$5:$B$104,MATCH($E319,'11_PRODUSE'!$A$5:$A$104,0)),"")</f>
        <v/>
      </c>
      <c r="O319" s="13" t="n"/>
      <c r="P319" s="13" t="n"/>
    </row>
    <row r="320">
      <c r="A320" s="35" t="n"/>
      <c r="B320" s="39">
        <f>IF($A320="","",YEAR($A320)&amp;"-"&amp;RIGHT("0"&amp;MONTH($A320),2))</f>
        <v/>
      </c>
      <c r="C320" s="13" t="n"/>
      <c r="D320" s="13" t="n"/>
      <c r="E320" s="13" t="n"/>
      <c r="F320" s="13" t="n"/>
      <c r="G320" s="40" t="n"/>
      <c r="H320" s="38" t="n"/>
      <c r="I320" s="38" t="n"/>
      <c r="J320" s="38" t="n"/>
      <c r="K320" s="24">
        <f>IF($H320="","",$H320-N($J320))</f>
        <v/>
      </c>
      <c r="L320" s="25">
        <f>IFERROR($K320/$H320,"")</f>
        <v/>
      </c>
      <c r="M320" s="39">
        <f>IFERROR(INDEX('10_CLIENTI'!$B$5:$B$204,MATCH($D320,'10_CLIENTI'!$A$5:$A$204,0)),"")</f>
        <v/>
      </c>
      <c r="N320" s="39">
        <f>IFERROR(INDEX('11_PRODUSE'!$B$5:$B$104,MATCH($E320,'11_PRODUSE'!$A$5:$A$104,0)),"")</f>
        <v/>
      </c>
      <c r="O320" s="13" t="n"/>
      <c r="P320" s="13" t="n"/>
    </row>
    <row r="321">
      <c r="A321" s="35" t="n"/>
      <c r="B321" s="39">
        <f>IF($A321="","",YEAR($A321)&amp;"-"&amp;RIGHT("0"&amp;MONTH($A321),2))</f>
        <v/>
      </c>
      <c r="C321" s="13" t="n"/>
      <c r="D321" s="13" t="n"/>
      <c r="E321" s="13" t="n"/>
      <c r="F321" s="13" t="n"/>
      <c r="G321" s="40" t="n"/>
      <c r="H321" s="38" t="n"/>
      <c r="I321" s="38" t="n"/>
      <c r="J321" s="38" t="n"/>
      <c r="K321" s="24">
        <f>IF($H321="","",$H321-N($J321))</f>
        <v/>
      </c>
      <c r="L321" s="25">
        <f>IFERROR($K321/$H321,"")</f>
        <v/>
      </c>
      <c r="M321" s="39">
        <f>IFERROR(INDEX('10_CLIENTI'!$B$5:$B$204,MATCH($D321,'10_CLIENTI'!$A$5:$A$204,0)),"")</f>
        <v/>
      </c>
      <c r="N321" s="39">
        <f>IFERROR(INDEX('11_PRODUSE'!$B$5:$B$104,MATCH($E321,'11_PRODUSE'!$A$5:$A$104,0)),"")</f>
        <v/>
      </c>
      <c r="O321" s="13" t="n"/>
      <c r="P321" s="13" t="n"/>
    </row>
    <row r="322">
      <c r="A322" s="35" t="n"/>
      <c r="B322" s="39">
        <f>IF($A322="","",YEAR($A322)&amp;"-"&amp;RIGHT("0"&amp;MONTH($A322),2))</f>
        <v/>
      </c>
      <c r="C322" s="13" t="n"/>
      <c r="D322" s="13" t="n"/>
      <c r="E322" s="13" t="n"/>
      <c r="F322" s="13" t="n"/>
      <c r="G322" s="40" t="n"/>
      <c r="H322" s="38" t="n"/>
      <c r="I322" s="38" t="n"/>
      <c r="J322" s="38" t="n"/>
      <c r="K322" s="24">
        <f>IF($H322="","",$H322-N($J322))</f>
        <v/>
      </c>
      <c r="L322" s="25">
        <f>IFERROR($K322/$H322,"")</f>
        <v/>
      </c>
      <c r="M322" s="39">
        <f>IFERROR(INDEX('10_CLIENTI'!$B$5:$B$204,MATCH($D322,'10_CLIENTI'!$A$5:$A$204,0)),"")</f>
        <v/>
      </c>
      <c r="N322" s="39">
        <f>IFERROR(INDEX('11_PRODUSE'!$B$5:$B$104,MATCH($E322,'11_PRODUSE'!$A$5:$A$104,0)),"")</f>
        <v/>
      </c>
      <c r="O322" s="13" t="n"/>
      <c r="P322" s="13" t="n"/>
    </row>
    <row r="323">
      <c r="A323" s="35" t="n"/>
      <c r="B323" s="39">
        <f>IF($A323="","",YEAR($A323)&amp;"-"&amp;RIGHT("0"&amp;MONTH($A323),2))</f>
        <v/>
      </c>
      <c r="C323" s="13" t="n"/>
      <c r="D323" s="13" t="n"/>
      <c r="E323" s="13" t="n"/>
      <c r="F323" s="13" t="n"/>
      <c r="G323" s="40" t="n"/>
      <c r="H323" s="38" t="n"/>
      <c r="I323" s="38" t="n"/>
      <c r="J323" s="38" t="n"/>
      <c r="K323" s="24">
        <f>IF($H323="","",$H323-N($J323))</f>
        <v/>
      </c>
      <c r="L323" s="25">
        <f>IFERROR($K323/$H323,"")</f>
        <v/>
      </c>
      <c r="M323" s="39">
        <f>IFERROR(INDEX('10_CLIENTI'!$B$5:$B$204,MATCH($D323,'10_CLIENTI'!$A$5:$A$204,0)),"")</f>
        <v/>
      </c>
      <c r="N323" s="39">
        <f>IFERROR(INDEX('11_PRODUSE'!$B$5:$B$104,MATCH($E323,'11_PRODUSE'!$A$5:$A$104,0)),"")</f>
        <v/>
      </c>
      <c r="O323" s="13" t="n"/>
      <c r="P323" s="13" t="n"/>
    </row>
    <row r="324">
      <c r="A324" s="35" t="n"/>
      <c r="B324" s="39">
        <f>IF($A324="","",YEAR($A324)&amp;"-"&amp;RIGHT("0"&amp;MONTH($A324),2))</f>
        <v/>
      </c>
      <c r="C324" s="13" t="n"/>
      <c r="D324" s="13" t="n"/>
      <c r="E324" s="13" t="n"/>
      <c r="F324" s="13" t="n"/>
      <c r="G324" s="40" t="n"/>
      <c r="H324" s="38" t="n"/>
      <c r="I324" s="38" t="n"/>
      <c r="J324" s="38" t="n"/>
      <c r="K324" s="24">
        <f>IF($H324="","",$H324-N($J324))</f>
        <v/>
      </c>
      <c r="L324" s="25">
        <f>IFERROR($K324/$H324,"")</f>
        <v/>
      </c>
      <c r="M324" s="39">
        <f>IFERROR(INDEX('10_CLIENTI'!$B$5:$B$204,MATCH($D324,'10_CLIENTI'!$A$5:$A$204,0)),"")</f>
        <v/>
      </c>
      <c r="N324" s="39">
        <f>IFERROR(INDEX('11_PRODUSE'!$B$5:$B$104,MATCH($E324,'11_PRODUSE'!$A$5:$A$104,0)),"")</f>
        <v/>
      </c>
      <c r="O324" s="13" t="n"/>
      <c r="P324" s="13" t="n"/>
    </row>
    <row r="325">
      <c r="A325" s="35" t="n"/>
      <c r="B325" s="39">
        <f>IF($A325="","",YEAR($A325)&amp;"-"&amp;RIGHT("0"&amp;MONTH($A325),2))</f>
        <v/>
      </c>
      <c r="C325" s="13" t="n"/>
      <c r="D325" s="13" t="n"/>
      <c r="E325" s="13" t="n"/>
      <c r="F325" s="13" t="n"/>
      <c r="G325" s="40" t="n"/>
      <c r="H325" s="38" t="n"/>
      <c r="I325" s="38" t="n"/>
      <c r="J325" s="38" t="n"/>
      <c r="K325" s="24">
        <f>IF($H325="","",$H325-N($J325))</f>
        <v/>
      </c>
      <c r="L325" s="25">
        <f>IFERROR($K325/$H325,"")</f>
        <v/>
      </c>
      <c r="M325" s="39">
        <f>IFERROR(INDEX('10_CLIENTI'!$B$5:$B$204,MATCH($D325,'10_CLIENTI'!$A$5:$A$204,0)),"")</f>
        <v/>
      </c>
      <c r="N325" s="39">
        <f>IFERROR(INDEX('11_PRODUSE'!$B$5:$B$104,MATCH($E325,'11_PRODUSE'!$A$5:$A$104,0)),"")</f>
        <v/>
      </c>
      <c r="O325" s="13" t="n"/>
      <c r="P325" s="13" t="n"/>
    </row>
    <row r="326">
      <c r="A326" s="35" t="n"/>
      <c r="B326" s="39">
        <f>IF($A326="","",YEAR($A326)&amp;"-"&amp;RIGHT("0"&amp;MONTH($A326),2))</f>
        <v/>
      </c>
      <c r="C326" s="13" t="n"/>
      <c r="D326" s="13" t="n"/>
      <c r="E326" s="13" t="n"/>
      <c r="F326" s="13" t="n"/>
      <c r="G326" s="40" t="n"/>
      <c r="H326" s="38" t="n"/>
      <c r="I326" s="38" t="n"/>
      <c r="J326" s="38" t="n"/>
      <c r="K326" s="24">
        <f>IF($H326="","",$H326-N($J326))</f>
        <v/>
      </c>
      <c r="L326" s="25">
        <f>IFERROR($K326/$H326,"")</f>
        <v/>
      </c>
      <c r="M326" s="39">
        <f>IFERROR(INDEX('10_CLIENTI'!$B$5:$B$204,MATCH($D326,'10_CLIENTI'!$A$5:$A$204,0)),"")</f>
        <v/>
      </c>
      <c r="N326" s="39">
        <f>IFERROR(INDEX('11_PRODUSE'!$B$5:$B$104,MATCH($E326,'11_PRODUSE'!$A$5:$A$104,0)),"")</f>
        <v/>
      </c>
      <c r="O326" s="13" t="n"/>
      <c r="P326" s="13" t="n"/>
    </row>
    <row r="327">
      <c r="A327" s="35" t="n"/>
      <c r="B327" s="39">
        <f>IF($A327="","",YEAR($A327)&amp;"-"&amp;RIGHT("0"&amp;MONTH($A327),2))</f>
        <v/>
      </c>
      <c r="C327" s="13" t="n"/>
      <c r="D327" s="13" t="n"/>
      <c r="E327" s="13" t="n"/>
      <c r="F327" s="13" t="n"/>
      <c r="G327" s="40" t="n"/>
      <c r="H327" s="38" t="n"/>
      <c r="I327" s="38" t="n"/>
      <c r="J327" s="38" t="n"/>
      <c r="K327" s="24">
        <f>IF($H327="","",$H327-N($J327))</f>
        <v/>
      </c>
      <c r="L327" s="25">
        <f>IFERROR($K327/$H327,"")</f>
        <v/>
      </c>
      <c r="M327" s="39">
        <f>IFERROR(INDEX('10_CLIENTI'!$B$5:$B$204,MATCH($D327,'10_CLIENTI'!$A$5:$A$204,0)),"")</f>
        <v/>
      </c>
      <c r="N327" s="39">
        <f>IFERROR(INDEX('11_PRODUSE'!$B$5:$B$104,MATCH($E327,'11_PRODUSE'!$A$5:$A$104,0)),"")</f>
        <v/>
      </c>
      <c r="O327" s="13" t="n"/>
      <c r="P327" s="13" t="n"/>
    </row>
    <row r="328">
      <c r="A328" s="35" t="n"/>
      <c r="B328" s="39">
        <f>IF($A328="","",YEAR($A328)&amp;"-"&amp;RIGHT("0"&amp;MONTH($A328),2))</f>
        <v/>
      </c>
      <c r="C328" s="13" t="n"/>
      <c r="D328" s="13" t="n"/>
      <c r="E328" s="13" t="n"/>
      <c r="F328" s="13" t="n"/>
      <c r="G328" s="40" t="n"/>
      <c r="H328" s="38" t="n"/>
      <c r="I328" s="38" t="n"/>
      <c r="J328" s="38" t="n"/>
      <c r="K328" s="24">
        <f>IF($H328="","",$H328-N($J328))</f>
        <v/>
      </c>
      <c r="L328" s="25">
        <f>IFERROR($K328/$H328,"")</f>
        <v/>
      </c>
      <c r="M328" s="39">
        <f>IFERROR(INDEX('10_CLIENTI'!$B$5:$B$204,MATCH($D328,'10_CLIENTI'!$A$5:$A$204,0)),"")</f>
        <v/>
      </c>
      <c r="N328" s="39">
        <f>IFERROR(INDEX('11_PRODUSE'!$B$5:$B$104,MATCH($E328,'11_PRODUSE'!$A$5:$A$104,0)),"")</f>
        <v/>
      </c>
      <c r="O328" s="13" t="n"/>
      <c r="P328" s="13" t="n"/>
    </row>
    <row r="329">
      <c r="A329" s="35" t="n"/>
      <c r="B329" s="39">
        <f>IF($A329="","",YEAR($A329)&amp;"-"&amp;RIGHT("0"&amp;MONTH($A329),2))</f>
        <v/>
      </c>
      <c r="C329" s="13" t="n"/>
      <c r="D329" s="13" t="n"/>
      <c r="E329" s="13" t="n"/>
      <c r="F329" s="13" t="n"/>
      <c r="G329" s="40" t="n"/>
      <c r="H329" s="38" t="n"/>
      <c r="I329" s="38" t="n"/>
      <c r="J329" s="38" t="n"/>
      <c r="K329" s="24">
        <f>IF($H329="","",$H329-N($J329))</f>
        <v/>
      </c>
      <c r="L329" s="25">
        <f>IFERROR($K329/$H329,"")</f>
        <v/>
      </c>
      <c r="M329" s="39">
        <f>IFERROR(INDEX('10_CLIENTI'!$B$5:$B$204,MATCH($D329,'10_CLIENTI'!$A$5:$A$204,0)),"")</f>
        <v/>
      </c>
      <c r="N329" s="39">
        <f>IFERROR(INDEX('11_PRODUSE'!$B$5:$B$104,MATCH($E329,'11_PRODUSE'!$A$5:$A$104,0)),"")</f>
        <v/>
      </c>
      <c r="O329" s="13" t="n"/>
      <c r="P329" s="13" t="n"/>
    </row>
    <row r="330">
      <c r="A330" s="35" t="n"/>
      <c r="B330" s="39">
        <f>IF($A330="","",YEAR($A330)&amp;"-"&amp;RIGHT("0"&amp;MONTH($A330),2))</f>
        <v/>
      </c>
      <c r="C330" s="13" t="n"/>
      <c r="D330" s="13" t="n"/>
      <c r="E330" s="13" t="n"/>
      <c r="F330" s="13" t="n"/>
      <c r="G330" s="40" t="n"/>
      <c r="H330" s="38" t="n"/>
      <c r="I330" s="38" t="n"/>
      <c r="J330" s="38" t="n"/>
      <c r="K330" s="24">
        <f>IF($H330="","",$H330-N($J330))</f>
        <v/>
      </c>
      <c r="L330" s="25">
        <f>IFERROR($K330/$H330,"")</f>
        <v/>
      </c>
      <c r="M330" s="39">
        <f>IFERROR(INDEX('10_CLIENTI'!$B$5:$B$204,MATCH($D330,'10_CLIENTI'!$A$5:$A$204,0)),"")</f>
        <v/>
      </c>
      <c r="N330" s="39">
        <f>IFERROR(INDEX('11_PRODUSE'!$B$5:$B$104,MATCH($E330,'11_PRODUSE'!$A$5:$A$104,0)),"")</f>
        <v/>
      </c>
      <c r="O330" s="13" t="n"/>
      <c r="P330" s="13" t="n"/>
    </row>
    <row r="331">
      <c r="A331" s="35" t="n"/>
      <c r="B331" s="39">
        <f>IF($A331="","",YEAR($A331)&amp;"-"&amp;RIGHT("0"&amp;MONTH($A331),2))</f>
        <v/>
      </c>
      <c r="C331" s="13" t="n"/>
      <c r="D331" s="13" t="n"/>
      <c r="E331" s="13" t="n"/>
      <c r="F331" s="13" t="n"/>
      <c r="G331" s="40" t="n"/>
      <c r="H331" s="38" t="n"/>
      <c r="I331" s="38" t="n"/>
      <c r="J331" s="38" t="n"/>
      <c r="K331" s="24">
        <f>IF($H331="","",$H331-N($J331))</f>
        <v/>
      </c>
      <c r="L331" s="25">
        <f>IFERROR($K331/$H331,"")</f>
        <v/>
      </c>
      <c r="M331" s="39">
        <f>IFERROR(INDEX('10_CLIENTI'!$B$5:$B$204,MATCH($D331,'10_CLIENTI'!$A$5:$A$204,0)),"")</f>
        <v/>
      </c>
      <c r="N331" s="39">
        <f>IFERROR(INDEX('11_PRODUSE'!$B$5:$B$104,MATCH($E331,'11_PRODUSE'!$A$5:$A$104,0)),"")</f>
        <v/>
      </c>
      <c r="O331" s="13" t="n"/>
      <c r="P331" s="13" t="n"/>
    </row>
    <row r="332">
      <c r="A332" s="35" t="n"/>
      <c r="B332" s="39">
        <f>IF($A332="","",YEAR($A332)&amp;"-"&amp;RIGHT("0"&amp;MONTH($A332),2))</f>
        <v/>
      </c>
      <c r="C332" s="13" t="n"/>
      <c r="D332" s="13" t="n"/>
      <c r="E332" s="13" t="n"/>
      <c r="F332" s="13" t="n"/>
      <c r="G332" s="40" t="n"/>
      <c r="H332" s="38" t="n"/>
      <c r="I332" s="38" t="n"/>
      <c r="J332" s="38" t="n"/>
      <c r="K332" s="24">
        <f>IF($H332="","",$H332-N($J332))</f>
        <v/>
      </c>
      <c r="L332" s="25">
        <f>IFERROR($K332/$H332,"")</f>
        <v/>
      </c>
      <c r="M332" s="39">
        <f>IFERROR(INDEX('10_CLIENTI'!$B$5:$B$204,MATCH($D332,'10_CLIENTI'!$A$5:$A$204,0)),"")</f>
        <v/>
      </c>
      <c r="N332" s="39">
        <f>IFERROR(INDEX('11_PRODUSE'!$B$5:$B$104,MATCH($E332,'11_PRODUSE'!$A$5:$A$104,0)),"")</f>
        <v/>
      </c>
      <c r="O332" s="13" t="n"/>
      <c r="P332" s="13" t="n"/>
    </row>
    <row r="333">
      <c r="A333" s="35" t="n"/>
      <c r="B333" s="39">
        <f>IF($A333="","",YEAR($A333)&amp;"-"&amp;RIGHT("0"&amp;MONTH($A333),2))</f>
        <v/>
      </c>
      <c r="C333" s="13" t="n"/>
      <c r="D333" s="13" t="n"/>
      <c r="E333" s="13" t="n"/>
      <c r="F333" s="13" t="n"/>
      <c r="G333" s="40" t="n"/>
      <c r="H333" s="38" t="n"/>
      <c r="I333" s="38" t="n"/>
      <c r="J333" s="38" t="n"/>
      <c r="K333" s="24">
        <f>IF($H333="","",$H333-N($J333))</f>
        <v/>
      </c>
      <c r="L333" s="25">
        <f>IFERROR($K333/$H333,"")</f>
        <v/>
      </c>
      <c r="M333" s="39">
        <f>IFERROR(INDEX('10_CLIENTI'!$B$5:$B$204,MATCH($D333,'10_CLIENTI'!$A$5:$A$204,0)),"")</f>
        <v/>
      </c>
      <c r="N333" s="39">
        <f>IFERROR(INDEX('11_PRODUSE'!$B$5:$B$104,MATCH($E333,'11_PRODUSE'!$A$5:$A$104,0)),"")</f>
        <v/>
      </c>
      <c r="O333" s="13" t="n"/>
      <c r="P333" s="13" t="n"/>
    </row>
    <row r="334">
      <c r="A334" s="35" t="n"/>
      <c r="B334" s="39">
        <f>IF($A334="","",YEAR($A334)&amp;"-"&amp;RIGHT("0"&amp;MONTH($A334),2))</f>
        <v/>
      </c>
      <c r="C334" s="13" t="n"/>
      <c r="D334" s="13" t="n"/>
      <c r="E334" s="13" t="n"/>
      <c r="F334" s="13" t="n"/>
      <c r="G334" s="40" t="n"/>
      <c r="H334" s="38" t="n"/>
      <c r="I334" s="38" t="n"/>
      <c r="J334" s="38" t="n"/>
      <c r="K334" s="24">
        <f>IF($H334="","",$H334-N($J334))</f>
        <v/>
      </c>
      <c r="L334" s="25">
        <f>IFERROR($K334/$H334,"")</f>
        <v/>
      </c>
      <c r="M334" s="39">
        <f>IFERROR(INDEX('10_CLIENTI'!$B$5:$B$204,MATCH($D334,'10_CLIENTI'!$A$5:$A$204,0)),"")</f>
        <v/>
      </c>
      <c r="N334" s="39">
        <f>IFERROR(INDEX('11_PRODUSE'!$B$5:$B$104,MATCH($E334,'11_PRODUSE'!$A$5:$A$104,0)),"")</f>
        <v/>
      </c>
      <c r="O334" s="13" t="n"/>
      <c r="P334" s="13" t="n"/>
    </row>
    <row r="335">
      <c r="A335" s="35" t="n"/>
      <c r="B335" s="39">
        <f>IF($A335="","",YEAR($A335)&amp;"-"&amp;RIGHT("0"&amp;MONTH($A335),2))</f>
        <v/>
      </c>
      <c r="C335" s="13" t="n"/>
      <c r="D335" s="13" t="n"/>
      <c r="E335" s="13" t="n"/>
      <c r="F335" s="13" t="n"/>
      <c r="G335" s="40" t="n"/>
      <c r="H335" s="38" t="n"/>
      <c r="I335" s="38" t="n"/>
      <c r="J335" s="38" t="n"/>
      <c r="K335" s="24">
        <f>IF($H335="","",$H335-N($J335))</f>
        <v/>
      </c>
      <c r="L335" s="25">
        <f>IFERROR($K335/$H335,"")</f>
        <v/>
      </c>
      <c r="M335" s="39">
        <f>IFERROR(INDEX('10_CLIENTI'!$B$5:$B$204,MATCH($D335,'10_CLIENTI'!$A$5:$A$204,0)),"")</f>
        <v/>
      </c>
      <c r="N335" s="39">
        <f>IFERROR(INDEX('11_PRODUSE'!$B$5:$B$104,MATCH($E335,'11_PRODUSE'!$A$5:$A$104,0)),"")</f>
        <v/>
      </c>
      <c r="O335" s="13" t="n"/>
      <c r="P335" s="13" t="n"/>
    </row>
    <row r="336">
      <c r="A336" s="35" t="n"/>
      <c r="B336" s="39">
        <f>IF($A336="","",YEAR($A336)&amp;"-"&amp;RIGHT("0"&amp;MONTH($A336),2))</f>
        <v/>
      </c>
      <c r="C336" s="13" t="n"/>
      <c r="D336" s="13" t="n"/>
      <c r="E336" s="13" t="n"/>
      <c r="F336" s="13" t="n"/>
      <c r="G336" s="40" t="n"/>
      <c r="H336" s="38" t="n"/>
      <c r="I336" s="38" t="n"/>
      <c r="J336" s="38" t="n"/>
      <c r="K336" s="24">
        <f>IF($H336="","",$H336-N($J336))</f>
        <v/>
      </c>
      <c r="L336" s="25">
        <f>IFERROR($K336/$H336,"")</f>
        <v/>
      </c>
      <c r="M336" s="39">
        <f>IFERROR(INDEX('10_CLIENTI'!$B$5:$B$204,MATCH($D336,'10_CLIENTI'!$A$5:$A$204,0)),"")</f>
        <v/>
      </c>
      <c r="N336" s="39">
        <f>IFERROR(INDEX('11_PRODUSE'!$B$5:$B$104,MATCH($E336,'11_PRODUSE'!$A$5:$A$104,0)),"")</f>
        <v/>
      </c>
      <c r="O336" s="13" t="n"/>
      <c r="P336" s="13" t="n"/>
    </row>
    <row r="337">
      <c r="A337" s="35" t="n"/>
      <c r="B337" s="39">
        <f>IF($A337="","",YEAR($A337)&amp;"-"&amp;RIGHT("0"&amp;MONTH($A337),2))</f>
        <v/>
      </c>
      <c r="C337" s="13" t="n"/>
      <c r="D337" s="13" t="n"/>
      <c r="E337" s="13" t="n"/>
      <c r="F337" s="13" t="n"/>
      <c r="G337" s="40" t="n"/>
      <c r="H337" s="38" t="n"/>
      <c r="I337" s="38" t="n"/>
      <c r="J337" s="38" t="n"/>
      <c r="K337" s="24">
        <f>IF($H337="","",$H337-N($J337))</f>
        <v/>
      </c>
      <c r="L337" s="25">
        <f>IFERROR($K337/$H337,"")</f>
        <v/>
      </c>
      <c r="M337" s="39">
        <f>IFERROR(INDEX('10_CLIENTI'!$B$5:$B$204,MATCH($D337,'10_CLIENTI'!$A$5:$A$204,0)),"")</f>
        <v/>
      </c>
      <c r="N337" s="39">
        <f>IFERROR(INDEX('11_PRODUSE'!$B$5:$B$104,MATCH($E337,'11_PRODUSE'!$A$5:$A$104,0)),"")</f>
        <v/>
      </c>
      <c r="O337" s="13" t="n"/>
      <c r="P337" s="13" t="n"/>
    </row>
    <row r="338">
      <c r="A338" s="35" t="n"/>
      <c r="B338" s="39">
        <f>IF($A338="","",YEAR($A338)&amp;"-"&amp;RIGHT("0"&amp;MONTH($A338),2))</f>
        <v/>
      </c>
      <c r="C338" s="13" t="n"/>
      <c r="D338" s="13" t="n"/>
      <c r="E338" s="13" t="n"/>
      <c r="F338" s="13" t="n"/>
      <c r="G338" s="40" t="n"/>
      <c r="H338" s="38" t="n"/>
      <c r="I338" s="38" t="n"/>
      <c r="J338" s="38" t="n"/>
      <c r="K338" s="24">
        <f>IF($H338="","",$H338-N($J338))</f>
        <v/>
      </c>
      <c r="L338" s="25">
        <f>IFERROR($K338/$H338,"")</f>
        <v/>
      </c>
      <c r="M338" s="39">
        <f>IFERROR(INDEX('10_CLIENTI'!$B$5:$B$204,MATCH($D338,'10_CLIENTI'!$A$5:$A$204,0)),"")</f>
        <v/>
      </c>
      <c r="N338" s="39">
        <f>IFERROR(INDEX('11_PRODUSE'!$B$5:$B$104,MATCH($E338,'11_PRODUSE'!$A$5:$A$104,0)),"")</f>
        <v/>
      </c>
      <c r="O338" s="13" t="n"/>
      <c r="P338" s="13" t="n"/>
    </row>
    <row r="339">
      <c r="A339" s="35" t="n"/>
      <c r="B339" s="39">
        <f>IF($A339="","",YEAR($A339)&amp;"-"&amp;RIGHT("0"&amp;MONTH($A339),2))</f>
        <v/>
      </c>
      <c r="C339" s="13" t="n"/>
      <c r="D339" s="13" t="n"/>
      <c r="E339" s="13" t="n"/>
      <c r="F339" s="13" t="n"/>
      <c r="G339" s="40" t="n"/>
      <c r="H339" s="38" t="n"/>
      <c r="I339" s="38" t="n"/>
      <c r="J339" s="38" t="n"/>
      <c r="K339" s="24">
        <f>IF($H339="","",$H339-N($J339))</f>
        <v/>
      </c>
      <c r="L339" s="25">
        <f>IFERROR($K339/$H339,"")</f>
        <v/>
      </c>
      <c r="M339" s="39">
        <f>IFERROR(INDEX('10_CLIENTI'!$B$5:$B$204,MATCH($D339,'10_CLIENTI'!$A$5:$A$204,0)),"")</f>
        <v/>
      </c>
      <c r="N339" s="39">
        <f>IFERROR(INDEX('11_PRODUSE'!$B$5:$B$104,MATCH($E339,'11_PRODUSE'!$A$5:$A$104,0)),"")</f>
        <v/>
      </c>
      <c r="O339" s="13" t="n"/>
      <c r="P339" s="13" t="n"/>
    </row>
    <row r="340">
      <c r="A340" s="35" t="n"/>
      <c r="B340" s="39">
        <f>IF($A340="","",YEAR($A340)&amp;"-"&amp;RIGHT("0"&amp;MONTH($A340),2))</f>
        <v/>
      </c>
      <c r="C340" s="13" t="n"/>
      <c r="D340" s="13" t="n"/>
      <c r="E340" s="13" t="n"/>
      <c r="F340" s="13" t="n"/>
      <c r="G340" s="40" t="n"/>
      <c r="H340" s="38" t="n"/>
      <c r="I340" s="38" t="n"/>
      <c r="J340" s="38" t="n"/>
      <c r="K340" s="24">
        <f>IF($H340="","",$H340-N($J340))</f>
        <v/>
      </c>
      <c r="L340" s="25">
        <f>IFERROR($K340/$H340,"")</f>
        <v/>
      </c>
      <c r="M340" s="39">
        <f>IFERROR(INDEX('10_CLIENTI'!$B$5:$B$204,MATCH($D340,'10_CLIENTI'!$A$5:$A$204,0)),"")</f>
        <v/>
      </c>
      <c r="N340" s="39">
        <f>IFERROR(INDEX('11_PRODUSE'!$B$5:$B$104,MATCH($E340,'11_PRODUSE'!$A$5:$A$104,0)),"")</f>
        <v/>
      </c>
      <c r="O340" s="13" t="n"/>
      <c r="P340" s="13" t="n"/>
    </row>
    <row r="341">
      <c r="A341" s="35" t="n"/>
      <c r="B341" s="39">
        <f>IF($A341="","",YEAR($A341)&amp;"-"&amp;RIGHT("0"&amp;MONTH($A341),2))</f>
        <v/>
      </c>
      <c r="C341" s="13" t="n"/>
      <c r="D341" s="13" t="n"/>
      <c r="E341" s="13" t="n"/>
      <c r="F341" s="13" t="n"/>
      <c r="G341" s="40" t="n"/>
      <c r="H341" s="38" t="n"/>
      <c r="I341" s="38" t="n"/>
      <c r="J341" s="38" t="n"/>
      <c r="K341" s="24">
        <f>IF($H341="","",$H341-N($J341))</f>
        <v/>
      </c>
      <c r="L341" s="25">
        <f>IFERROR($K341/$H341,"")</f>
        <v/>
      </c>
      <c r="M341" s="39">
        <f>IFERROR(INDEX('10_CLIENTI'!$B$5:$B$204,MATCH($D341,'10_CLIENTI'!$A$5:$A$204,0)),"")</f>
        <v/>
      </c>
      <c r="N341" s="39">
        <f>IFERROR(INDEX('11_PRODUSE'!$B$5:$B$104,MATCH($E341,'11_PRODUSE'!$A$5:$A$104,0)),"")</f>
        <v/>
      </c>
      <c r="O341" s="13" t="n"/>
      <c r="P341" s="13" t="n"/>
    </row>
    <row r="342">
      <c r="A342" s="35" t="n"/>
      <c r="B342" s="39">
        <f>IF($A342="","",YEAR($A342)&amp;"-"&amp;RIGHT("0"&amp;MONTH($A342),2))</f>
        <v/>
      </c>
      <c r="C342" s="13" t="n"/>
      <c r="D342" s="13" t="n"/>
      <c r="E342" s="13" t="n"/>
      <c r="F342" s="13" t="n"/>
      <c r="G342" s="40" t="n"/>
      <c r="H342" s="38" t="n"/>
      <c r="I342" s="38" t="n"/>
      <c r="J342" s="38" t="n"/>
      <c r="K342" s="24">
        <f>IF($H342="","",$H342-N($J342))</f>
        <v/>
      </c>
      <c r="L342" s="25">
        <f>IFERROR($K342/$H342,"")</f>
        <v/>
      </c>
      <c r="M342" s="39">
        <f>IFERROR(INDEX('10_CLIENTI'!$B$5:$B$204,MATCH($D342,'10_CLIENTI'!$A$5:$A$204,0)),"")</f>
        <v/>
      </c>
      <c r="N342" s="39">
        <f>IFERROR(INDEX('11_PRODUSE'!$B$5:$B$104,MATCH($E342,'11_PRODUSE'!$A$5:$A$104,0)),"")</f>
        <v/>
      </c>
      <c r="O342" s="13" t="n"/>
      <c r="P342" s="13" t="n"/>
    </row>
    <row r="343">
      <c r="A343" s="35" t="n"/>
      <c r="B343" s="39">
        <f>IF($A343="","",YEAR($A343)&amp;"-"&amp;RIGHT("0"&amp;MONTH($A343),2))</f>
        <v/>
      </c>
      <c r="C343" s="13" t="n"/>
      <c r="D343" s="13" t="n"/>
      <c r="E343" s="13" t="n"/>
      <c r="F343" s="13" t="n"/>
      <c r="G343" s="40" t="n"/>
      <c r="H343" s="38" t="n"/>
      <c r="I343" s="38" t="n"/>
      <c r="J343" s="38" t="n"/>
      <c r="K343" s="24">
        <f>IF($H343="","",$H343-N($J343))</f>
        <v/>
      </c>
      <c r="L343" s="25">
        <f>IFERROR($K343/$H343,"")</f>
        <v/>
      </c>
      <c r="M343" s="39">
        <f>IFERROR(INDEX('10_CLIENTI'!$B$5:$B$204,MATCH($D343,'10_CLIENTI'!$A$5:$A$204,0)),"")</f>
        <v/>
      </c>
      <c r="N343" s="39">
        <f>IFERROR(INDEX('11_PRODUSE'!$B$5:$B$104,MATCH($E343,'11_PRODUSE'!$A$5:$A$104,0)),"")</f>
        <v/>
      </c>
      <c r="O343" s="13" t="n"/>
      <c r="P343" s="13" t="n"/>
    </row>
    <row r="344">
      <c r="A344" s="35" t="n"/>
      <c r="B344" s="39">
        <f>IF($A344="","",YEAR($A344)&amp;"-"&amp;RIGHT("0"&amp;MONTH($A344),2))</f>
        <v/>
      </c>
      <c r="C344" s="13" t="n"/>
      <c r="D344" s="13" t="n"/>
      <c r="E344" s="13" t="n"/>
      <c r="F344" s="13" t="n"/>
      <c r="G344" s="40" t="n"/>
      <c r="H344" s="38" t="n"/>
      <c r="I344" s="38" t="n"/>
      <c r="J344" s="38" t="n"/>
      <c r="K344" s="24">
        <f>IF($H344="","",$H344-N($J344))</f>
        <v/>
      </c>
      <c r="L344" s="25">
        <f>IFERROR($K344/$H344,"")</f>
        <v/>
      </c>
      <c r="M344" s="39">
        <f>IFERROR(INDEX('10_CLIENTI'!$B$5:$B$204,MATCH($D344,'10_CLIENTI'!$A$5:$A$204,0)),"")</f>
        <v/>
      </c>
      <c r="N344" s="39">
        <f>IFERROR(INDEX('11_PRODUSE'!$B$5:$B$104,MATCH($E344,'11_PRODUSE'!$A$5:$A$104,0)),"")</f>
        <v/>
      </c>
      <c r="O344" s="13" t="n"/>
      <c r="P344" s="13" t="n"/>
    </row>
    <row r="345">
      <c r="A345" s="35" t="n"/>
      <c r="B345" s="39">
        <f>IF($A345="","",YEAR($A345)&amp;"-"&amp;RIGHT("0"&amp;MONTH($A345),2))</f>
        <v/>
      </c>
      <c r="C345" s="13" t="n"/>
      <c r="D345" s="13" t="n"/>
      <c r="E345" s="13" t="n"/>
      <c r="F345" s="13" t="n"/>
      <c r="G345" s="40" t="n"/>
      <c r="H345" s="38" t="n"/>
      <c r="I345" s="38" t="n"/>
      <c r="J345" s="38" t="n"/>
      <c r="K345" s="24">
        <f>IF($H345="","",$H345-N($J345))</f>
        <v/>
      </c>
      <c r="L345" s="25">
        <f>IFERROR($K345/$H345,"")</f>
        <v/>
      </c>
      <c r="M345" s="39">
        <f>IFERROR(INDEX('10_CLIENTI'!$B$5:$B$204,MATCH($D345,'10_CLIENTI'!$A$5:$A$204,0)),"")</f>
        <v/>
      </c>
      <c r="N345" s="39">
        <f>IFERROR(INDEX('11_PRODUSE'!$B$5:$B$104,MATCH($E345,'11_PRODUSE'!$A$5:$A$104,0)),"")</f>
        <v/>
      </c>
      <c r="O345" s="13" t="n"/>
      <c r="P345" s="13" t="n"/>
    </row>
    <row r="346">
      <c r="A346" s="35" t="n"/>
      <c r="B346" s="39">
        <f>IF($A346="","",YEAR($A346)&amp;"-"&amp;RIGHT("0"&amp;MONTH($A346),2))</f>
        <v/>
      </c>
      <c r="C346" s="13" t="n"/>
      <c r="D346" s="13" t="n"/>
      <c r="E346" s="13" t="n"/>
      <c r="F346" s="13" t="n"/>
      <c r="G346" s="40" t="n"/>
      <c r="H346" s="38" t="n"/>
      <c r="I346" s="38" t="n"/>
      <c r="J346" s="38" t="n"/>
      <c r="K346" s="24">
        <f>IF($H346="","",$H346-N($J346))</f>
        <v/>
      </c>
      <c r="L346" s="25">
        <f>IFERROR($K346/$H346,"")</f>
        <v/>
      </c>
      <c r="M346" s="39">
        <f>IFERROR(INDEX('10_CLIENTI'!$B$5:$B$204,MATCH($D346,'10_CLIENTI'!$A$5:$A$204,0)),"")</f>
        <v/>
      </c>
      <c r="N346" s="39">
        <f>IFERROR(INDEX('11_PRODUSE'!$B$5:$B$104,MATCH($E346,'11_PRODUSE'!$A$5:$A$104,0)),"")</f>
        <v/>
      </c>
      <c r="O346" s="13" t="n"/>
      <c r="P346" s="13" t="n"/>
    </row>
    <row r="347">
      <c r="A347" s="35" t="n"/>
      <c r="B347" s="39">
        <f>IF($A347="","",YEAR($A347)&amp;"-"&amp;RIGHT("0"&amp;MONTH($A347),2))</f>
        <v/>
      </c>
      <c r="C347" s="13" t="n"/>
      <c r="D347" s="13" t="n"/>
      <c r="E347" s="13" t="n"/>
      <c r="F347" s="13" t="n"/>
      <c r="G347" s="40" t="n"/>
      <c r="H347" s="38" t="n"/>
      <c r="I347" s="38" t="n"/>
      <c r="J347" s="38" t="n"/>
      <c r="K347" s="24">
        <f>IF($H347="","",$H347-N($J347))</f>
        <v/>
      </c>
      <c r="L347" s="25">
        <f>IFERROR($K347/$H347,"")</f>
        <v/>
      </c>
      <c r="M347" s="39">
        <f>IFERROR(INDEX('10_CLIENTI'!$B$5:$B$204,MATCH($D347,'10_CLIENTI'!$A$5:$A$204,0)),"")</f>
        <v/>
      </c>
      <c r="N347" s="39">
        <f>IFERROR(INDEX('11_PRODUSE'!$B$5:$B$104,MATCH($E347,'11_PRODUSE'!$A$5:$A$104,0)),"")</f>
        <v/>
      </c>
      <c r="O347" s="13" t="n"/>
      <c r="P347" s="13" t="n"/>
    </row>
    <row r="348">
      <c r="A348" s="35" t="n"/>
      <c r="B348" s="39">
        <f>IF($A348="","",YEAR($A348)&amp;"-"&amp;RIGHT("0"&amp;MONTH($A348),2))</f>
        <v/>
      </c>
      <c r="C348" s="13" t="n"/>
      <c r="D348" s="13" t="n"/>
      <c r="E348" s="13" t="n"/>
      <c r="F348" s="13" t="n"/>
      <c r="G348" s="40" t="n"/>
      <c r="H348" s="38" t="n"/>
      <c r="I348" s="38" t="n"/>
      <c r="J348" s="38" t="n"/>
      <c r="K348" s="24">
        <f>IF($H348="","",$H348-N($J348))</f>
        <v/>
      </c>
      <c r="L348" s="25">
        <f>IFERROR($K348/$H348,"")</f>
        <v/>
      </c>
      <c r="M348" s="39">
        <f>IFERROR(INDEX('10_CLIENTI'!$B$5:$B$204,MATCH($D348,'10_CLIENTI'!$A$5:$A$204,0)),"")</f>
        <v/>
      </c>
      <c r="N348" s="39">
        <f>IFERROR(INDEX('11_PRODUSE'!$B$5:$B$104,MATCH($E348,'11_PRODUSE'!$A$5:$A$104,0)),"")</f>
        <v/>
      </c>
      <c r="O348" s="13" t="n"/>
      <c r="P348" s="13" t="n"/>
    </row>
    <row r="349">
      <c r="A349" s="35" t="n"/>
      <c r="B349" s="39">
        <f>IF($A349="","",YEAR($A349)&amp;"-"&amp;RIGHT("0"&amp;MONTH($A349),2))</f>
        <v/>
      </c>
      <c r="C349" s="13" t="n"/>
      <c r="D349" s="13" t="n"/>
      <c r="E349" s="13" t="n"/>
      <c r="F349" s="13" t="n"/>
      <c r="G349" s="40" t="n"/>
      <c r="H349" s="38" t="n"/>
      <c r="I349" s="38" t="n"/>
      <c r="J349" s="38" t="n"/>
      <c r="K349" s="24">
        <f>IF($H349="","",$H349-N($J349))</f>
        <v/>
      </c>
      <c r="L349" s="25">
        <f>IFERROR($K349/$H349,"")</f>
        <v/>
      </c>
      <c r="M349" s="39">
        <f>IFERROR(INDEX('10_CLIENTI'!$B$5:$B$204,MATCH($D349,'10_CLIENTI'!$A$5:$A$204,0)),"")</f>
        <v/>
      </c>
      <c r="N349" s="39">
        <f>IFERROR(INDEX('11_PRODUSE'!$B$5:$B$104,MATCH($E349,'11_PRODUSE'!$A$5:$A$104,0)),"")</f>
        <v/>
      </c>
      <c r="O349" s="13" t="n"/>
      <c r="P349" s="13" t="n"/>
    </row>
    <row r="350">
      <c r="A350" s="35" t="n"/>
      <c r="B350" s="39">
        <f>IF($A350="","",YEAR($A350)&amp;"-"&amp;RIGHT("0"&amp;MONTH($A350),2))</f>
        <v/>
      </c>
      <c r="C350" s="13" t="n"/>
      <c r="D350" s="13" t="n"/>
      <c r="E350" s="13" t="n"/>
      <c r="F350" s="13" t="n"/>
      <c r="G350" s="40" t="n"/>
      <c r="H350" s="38" t="n"/>
      <c r="I350" s="38" t="n"/>
      <c r="J350" s="38" t="n"/>
      <c r="K350" s="24">
        <f>IF($H350="","",$H350-N($J350))</f>
        <v/>
      </c>
      <c r="L350" s="25">
        <f>IFERROR($K350/$H350,"")</f>
        <v/>
      </c>
      <c r="M350" s="39">
        <f>IFERROR(INDEX('10_CLIENTI'!$B$5:$B$204,MATCH($D350,'10_CLIENTI'!$A$5:$A$204,0)),"")</f>
        <v/>
      </c>
      <c r="N350" s="39">
        <f>IFERROR(INDEX('11_PRODUSE'!$B$5:$B$104,MATCH($E350,'11_PRODUSE'!$A$5:$A$104,0)),"")</f>
        <v/>
      </c>
      <c r="O350" s="13" t="n"/>
      <c r="P350" s="13" t="n"/>
    </row>
    <row r="351">
      <c r="A351" s="35" t="n"/>
      <c r="B351" s="39">
        <f>IF($A351="","",YEAR($A351)&amp;"-"&amp;RIGHT("0"&amp;MONTH($A351),2))</f>
        <v/>
      </c>
      <c r="C351" s="13" t="n"/>
      <c r="D351" s="13" t="n"/>
      <c r="E351" s="13" t="n"/>
      <c r="F351" s="13" t="n"/>
      <c r="G351" s="40" t="n"/>
      <c r="H351" s="38" t="n"/>
      <c r="I351" s="38" t="n"/>
      <c r="J351" s="38" t="n"/>
      <c r="K351" s="24">
        <f>IF($H351="","",$H351-N($J351))</f>
        <v/>
      </c>
      <c r="L351" s="25">
        <f>IFERROR($K351/$H351,"")</f>
        <v/>
      </c>
      <c r="M351" s="39">
        <f>IFERROR(INDEX('10_CLIENTI'!$B$5:$B$204,MATCH($D351,'10_CLIENTI'!$A$5:$A$204,0)),"")</f>
        <v/>
      </c>
      <c r="N351" s="39">
        <f>IFERROR(INDEX('11_PRODUSE'!$B$5:$B$104,MATCH($E351,'11_PRODUSE'!$A$5:$A$104,0)),"")</f>
        <v/>
      </c>
      <c r="O351" s="13" t="n"/>
      <c r="P351" s="13" t="n"/>
    </row>
    <row r="352">
      <c r="A352" s="35" t="n"/>
      <c r="B352" s="39">
        <f>IF($A352="","",YEAR($A352)&amp;"-"&amp;RIGHT("0"&amp;MONTH($A352),2))</f>
        <v/>
      </c>
      <c r="C352" s="13" t="n"/>
      <c r="D352" s="13" t="n"/>
      <c r="E352" s="13" t="n"/>
      <c r="F352" s="13" t="n"/>
      <c r="G352" s="40" t="n"/>
      <c r="H352" s="38" t="n"/>
      <c r="I352" s="38" t="n"/>
      <c r="J352" s="38" t="n"/>
      <c r="K352" s="24">
        <f>IF($H352="","",$H352-N($J352))</f>
        <v/>
      </c>
      <c r="L352" s="25">
        <f>IFERROR($K352/$H352,"")</f>
        <v/>
      </c>
      <c r="M352" s="39">
        <f>IFERROR(INDEX('10_CLIENTI'!$B$5:$B$204,MATCH($D352,'10_CLIENTI'!$A$5:$A$204,0)),"")</f>
        <v/>
      </c>
      <c r="N352" s="39">
        <f>IFERROR(INDEX('11_PRODUSE'!$B$5:$B$104,MATCH($E352,'11_PRODUSE'!$A$5:$A$104,0)),"")</f>
        <v/>
      </c>
      <c r="O352" s="13" t="n"/>
      <c r="P352" s="13" t="n"/>
    </row>
    <row r="353">
      <c r="A353" s="35" t="n"/>
      <c r="B353" s="39">
        <f>IF($A353="","",YEAR($A353)&amp;"-"&amp;RIGHT("0"&amp;MONTH($A353),2))</f>
        <v/>
      </c>
      <c r="C353" s="13" t="n"/>
      <c r="D353" s="13" t="n"/>
      <c r="E353" s="13" t="n"/>
      <c r="F353" s="13" t="n"/>
      <c r="G353" s="40" t="n"/>
      <c r="H353" s="38" t="n"/>
      <c r="I353" s="38" t="n"/>
      <c r="J353" s="38" t="n"/>
      <c r="K353" s="24">
        <f>IF($H353="","",$H353-N($J353))</f>
        <v/>
      </c>
      <c r="L353" s="25">
        <f>IFERROR($K353/$H353,"")</f>
        <v/>
      </c>
      <c r="M353" s="39">
        <f>IFERROR(INDEX('10_CLIENTI'!$B$5:$B$204,MATCH($D353,'10_CLIENTI'!$A$5:$A$204,0)),"")</f>
        <v/>
      </c>
      <c r="N353" s="39">
        <f>IFERROR(INDEX('11_PRODUSE'!$B$5:$B$104,MATCH($E353,'11_PRODUSE'!$A$5:$A$104,0)),"")</f>
        <v/>
      </c>
      <c r="O353" s="13" t="n"/>
      <c r="P353" s="13" t="n"/>
    </row>
    <row r="354">
      <c r="A354" s="35" t="n"/>
      <c r="B354" s="39">
        <f>IF($A354="","",YEAR($A354)&amp;"-"&amp;RIGHT("0"&amp;MONTH($A354),2))</f>
        <v/>
      </c>
      <c r="C354" s="13" t="n"/>
      <c r="D354" s="13" t="n"/>
      <c r="E354" s="13" t="n"/>
      <c r="F354" s="13" t="n"/>
      <c r="G354" s="40" t="n"/>
      <c r="H354" s="38" t="n"/>
      <c r="I354" s="38" t="n"/>
      <c r="J354" s="38" t="n"/>
      <c r="K354" s="24">
        <f>IF($H354="","",$H354-N($J354))</f>
        <v/>
      </c>
      <c r="L354" s="25">
        <f>IFERROR($K354/$H354,"")</f>
        <v/>
      </c>
      <c r="M354" s="39">
        <f>IFERROR(INDEX('10_CLIENTI'!$B$5:$B$204,MATCH($D354,'10_CLIENTI'!$A$5:$A$204,0)),"")</f>
        <v/>
      </c>
      <c r="N354" s="39">
        <f>IFERROR(INDEX('11_PRODUSE'!$B$5:$B$104,MATCH($E354,'11_PRODUSE'!$A$5:$A$104,0)),"")</f>
        <v/>
      </c>
      <c r="O354" s="13" t="n"/>
      <c r="P354" s="13" t="n"/>
    </row>
    <row r="355">
      <c r="A355" s="35" t="n"/>
      <c r="B355" s="39">
        <f>IF($A355="","",YEAR($A355)&amp;"-"&amp;RIGHT("0"&amp;MONTH($A355),2))</f>
        <v/>
      </c>
      <c r="C355" s="13" t="n"/>
      <c r="D355" s="13" t="n"/>
      <c r="E355" s="13" t="n"/>
      <c r="F355" s="13" t="n"/>
      <c r="G355" s="40" t="n"/>
      <c r="H355" s="38" t="n"/>
      <c r="I355" s="38" t="n"/>
      <c r="J355" s="38" t="n"/>
      <c r="K355" s="24">
        <f>IF($H355="","",$H355-N($J355))</f>
        <v/>
      </c>
      <c r="L355" s="25">
        <f>IFERROR($K355/$H355,"")</f>
        <v/>
      </c>
      <c r="M355" s="39">
        <f>IFERROR(INDEX('10_CLIENTI'!$B$5:$B$204,MATCH($D355,'10_CLIENTI'!$A$5:$A$204,0)),"")</f>
        <v/>
      </c>
      <c r="N355" s="39">
        <f>IFERROR(INDEX('11_PRODUSE'!$B$5:$B$104,MATCH($E355,'11_PRODUSE'!$A$5:$A$104,0)),"")</f>
        <v/>
      </c>
      <c r="O355" s="13" t="n"/>
      <c r="P355" s="13" t="n"/>
    </row>
    <row r="356">
      <c r="A356" s="35" t="n"/>
      <c r="B356" s="39">
        <f>IF($A356="","",YEAR($A356)&amp;"-"&amp;RIGHT("0"&amp;MONTH($A356),2))</f>
        <v/>
      </c>
      <c r="C356" s="13" t="n"/>
      <c r="D356" s="13" t="n"/>
      <c r="E356" s="13" t="n"/>
      <c r="F356" s="13" t="n"/>
      <c r="G356" s="40" t="n"/>
      <c r="H356" s="38" t="n"/>
      <c r="I356" s="38" t="n"/>
      <c r="J356" s="38" t="n"/>
      <c r="K356" s="24">
        <f>IF($H356="","",$H356-N($J356))</f>
        <v/>
      </c>
      <c r="L356" s="25">
        <f>IFERROR($K356/$H356,"")</f>
        <v/>
      </c>
      <c r="M356" s="39">
        <f>IFERROR(INDEX('10_CLIENTI'!$B$5:$B$204,MATCH($D356,'10_CLIENTI'!$A$5:$A$204,0)),"")</f>
        <v/>
      </c>
      <c r="N356" s="39">
        <f>IFERROR(INDEX('11_PRODUSE'!$B$5:$B$104,MATCH($E356,'11_PRODUSE'!$A$5:$A$104,0)),"")</f>
        <v/>
      </c>
      <c r="O356" s="13" t="n"/>
      <c r="P356" s="13" t="n"/>
    </row>
    <row r="357">
      <c r="A357" s="35" t="n"/>
      <c r="B357" s="39">
        <f>IF($A357="","",YEAR($A357)&amp;"-"&amp;RIGHT("0"&amp;MONTH($A357),2))</f>
        <v/>
      </c>
      <c r="C357" s="13" t="n"/>
      <c r="D357" s="13" t="n"/>
      <c r="E357" s="13" t="n"/>
      <c r="F357" s="13" t="n"/>
      <c r="G357" s="40" t="n"/>
      <c r="H357" s="38" t="n"/>
      <c r="I357" s="38" t="n"/>
      <c r="J357" s="38" t="n"/>
      <c r="K357" s="24">
        <f>IF($H357="","",$H357-N($J357))</f>
        <v/>
      </c>
      <c r="L357" s="25">
        <f>IFERROR($K357/$H357,"")</f>
        <v/>
      </c>
      <c r="M357" s="39">
        <f>IFERROR(INDEX('10_CLIENTI'!$B$5:$B$204,MATCH($D357,'10_CLIENTI'!$A$5:$A$204,0)),"")</f>
        <v/>
      </c>
      <c r="N357" s="39">
        <f>IFERROR(INDEX('11_PRODUSE'!$B$5:$B$104,MATCH($E357,'11_PRODUSE'!$A$5:$A$104,0)),"")</f>
        <v/>
      </c>
      <c r="O357" s="13" t="n"/>
      <c r="P357" s="13" t="n"/>
    </row>
    <row r="358">
      <c r="A358" s="35" t="n"/>
      <c r="B358" s="39">
        <f>IF($A358="","",YEAR($A358)&amp;"-"&amp;RIGHT("0"&amp;MONTH($A358),2))</f>
        <v/>
      </c>
      <c r="C358" s="13" t="n"/>
      <c r="D358" s="13" t="n"/>
      <c r="E358" s="13" t="n"/>
      <c r="F358" s="13" t="n"/>
      <c r="G358" s="40" t="n"/>
      <c r="H358" s="38" t="n"/>
      <c r="I358" s="38" t="n"/>
      <c r="J358" s="38" t="n"/>
      <c r="K358" s="24">
        <f>IF($H358="","",$H358-N($J358))</f>
        <v/>
      </c>
      <c r="L358" s="25">
        <f>IFERROR($K358/$H358,"")</f>
        <v/>
      </c>
      <c r="M358" s="39">
        <f>IFERROR(INDEX('10_CLIENTI'!$B$5:$B$204,MATCH($D358,'10_CLIENTI'!$A$5:$A$204,0)),"")</f>
        <v/>
      </c>
      <c r="N358" s="39">
        <f>IFERROR(INDEX('11_PRODUSE'!$B$5:$B$104,MATCH($E358,'11_PRODUSE'!$A$5:$A$104,0)),"")</f>
        <v/>
      </c>
      <c r="O358" s="13" t="n"/>
      <c r="P358" s="13" t="n"/>
    </row>
    <row r="359">
      <c r="A359" s="35" t="n"/>
      <c r="B359" s="39">
        <f>IF($A359="","",YEAR($A359)&amp;"-"&amp;RIGHT("0"&amp;MONTH($A359),2))</f>
        <v/>
      </c>
      <c r="C359" s="13" t="n"/>
      <c r="D359" s="13" t="n"/>
      <c r="E359" s="13" t="n"/>
      <c r="F359" s="13" t="n"/>
      <c r="G359" s="40" t="n"/>
      <c r="H359" s="38" t="n"/>
      <c r="I359" s="38" t="n"/>
      <c r="J359" s="38" t="n"/>
      <c r="K359" s="24">
        <f>IF($H359="","",$H359-N($J359))</f>
        <v/>
      </c>
      <c r="L359" s="25">
        <f>IFERROR($K359/$H359,"")</f>
        <v/>
      </c>
      <c r="M359" s="39">
        <f>IFERROR(INDEX('10_CLIENTI'!$B$5:$B$204,MATCH($D359,'10_CLIENTI'!$A$5:$A$204,0)),"")</f>
        <v/>
      </c>
      <c r="N359" s="39">
        <f>IFERROR(INDEX('11_PRODUSE'!$B$5:$B$104,MATCH($E359,'11_PRODUSE'!$A$5:$A$104,0)),"")</f>
        <v/>
      </c>
      <c r="O359" s="13" t="n"/>
      <c r="P359" s="13" t="n"/>
    </row>
    <row r="360">
      <c r="A360" s="35" t="n"/>
      <c r="B360" s="39">
        <f>IF($A360="","",YEAR($A360)&amp;"-"&amp;RIGHT("0"&amp;MONTH($A360),2))</f>
        <v/>
      </c>
      <c r="C360" s="13" t="n"/>
      <c r="D360" s="13" t="n"/>
      <c r="E360" s="13" t="n"/>
      <c r="F360" s="13" t="n"/>
      <c r="G360" s="40" t="n"/>
      <c r="H360" s="38" t="n"/>
      <c r="I360" s="38" t="n"/>
      <c r="J360" s="38" t="n"/>
      <c r="K360" s="24">
        <f>IF($H360="","",$H360-N($J360))</f>
        <v/>
      </c>
      <c r="L360" s="25">
        <f>IFERROR($K360/$H360,"")</f>
        <v/>
      </c>
      <c r="M360" s="39">
        <f>IFERROR(INDEX('10_CLIENTI'!$B$5:$B$204,MATCH($D360,'10_CLIENTI'!$A$5:$A$204,0)),"")</f>
        <v/>
      </c>
      <c r="N360" s="39">
        <f>IFERROR(INDEX('11_PRODUSE'!$B$5:$B$104,MATCH($E360,'11_PRODUSE'!$A$5:$A$104,0)),"")</f>
        <v/>
      </c>
      <c r="O360" s="13" t="n"/>
      <c r="P360" s="13" t="n"/>
    </row>
    <row r="361">
      <c r="A361" s="35" t="n"/>
      <c r="B361" s="39">
        <f>IF($A361="","",YEAR($A361)&amp;"-"&amp;RIGHT("0"&amp;MONTH($A361),2))</f>
        <v/>
      </c>
      <c r="C361" s="13" t="n"/>
      <c r="D361" s="13" t="n"/>
      <c r="E361" s="13" t="n"/>
      <c r="F361" s="13" t="n"/>
      <c r="G361" s="40" t="n"/>
      <c r="H361" s="38" t="n"/>
      <c r="I361" s="38" t="n"/>
      <c r="J361" s="38" t="n"/>
      <c r="K361" s="24">
        <f>IF($H361="","",$H361-N($J361))</f>
        <v/>
      </c>
      <c r="L361" s="25">
        <f>IFERROR($K361/$H361,"")</f>
        <v/>
      </c>
      <c r="M361" s="39">
        <f>IFERROR(INDEX('10_CLIENTI'!$B$5:$B$204,MATCH($D361,'10_CLIENTI'!$A$5:$A$204,0)),"")</f>
        <v/>
      </c>
      <c r="N361" s="39">
        <f>IFERROR(INDEX('11_PRODUSE'!$B$5:$B$104,MATCH($E361,'11_PRODUSE'!$A$5:$A$104,0)),"")</f>
        <v/>
      </c>
      <c r="O361" s="13" t="n"/>
      <c r="P361" s="13" t="n"/>
    </row>
    <row r="362">
      <c r="A362" s="35" t="n"/>
      <c r="B362" s="39">
        <f>IF($A362="","",YEAR($A362)&amp;"-"&amp;RIGHT("0"&amp;MONTH($A362),2))</f>
        <v/>
      </c>
      <c r="C362" s="13" t="n"/>
      <c r="D362" s="13" t="n"/>
      <c r="E362" s="13" t="n"/>
      <c r="F362" s="13" t="n"/>
      <c r="G362" s="40" t="n"/>
      <c r="H362" s="38" t="n"/>
      <c r="I362" s="38" t="n"/>
      <c r="J362" s="38" t="n"/>
      <c r="K362" s="24">
        <f>IF($H362="","",$H362-N($J362))</f>
        <v/>
      </c>
      <c r="L362" s="25">
        <f>IFERROR($K362/$H362,"")</f>
        <v/>
      </c>
      <c r="M362" s="39">
        <f>IFERROR(INDEX('10_CLIENTI'!$B$5:$B$204,MATCH($D362,'10_CLIENTI'!$A$5:$A$204,0)),"")</f>
        <v/>
      </c>
      <c r="N362" s="39">
        <f>IFERROR(INDEX('11_PRODUSE'!$B$5:$B$104,MATCH($E362,'11_PRODUSE'!$A$5:$A$104,0)),"")</f>
        <v/>
      </c>
      <c r="O362" s="13" t="n"/>
      <c r="P362" s="13" t="n"/>
    </row>
    <row r="363">
      <c r="A363" s="35" t="n"/>
      <c r="B363" s="39">
        <f>IF($A363="","",YEAR($A363)&amp;"-"&amp;RIGHT("0"&amp;MONTH($A363),2))</f>
        <v/>
      </c>
      <c r="C363" s="13" t="n"/>
      <c r="D363" s="13" t="n"/>
      <c r="E363" s="13" t="n"/>
      <c r="F363" s="13" t="n"/>
      <c r="G363" s="40" t="n"/>
      <c r="H363" s="38" t="n"/>
      <c r="I363" s="38" t="n"/>
      <c r="J363" s="38" t="n"/>
      <c r="K363" s="24">
        <f>IF($H363="","",$H363-N($J363))</f>
        <v/>
      </c>
      <c r="L363" s="25">
        <f>IFERROR($K363/$H363,"")</f>
        <v/>
      </c>
      <c r="M363" s="39">
        <f>IFERROR(INDEX('10_CLIENTI'!$B$5:$B$204,MATCH($D363,'10_CLIENTI'!$A$5:$A$204,0)),"")</f>
        <v/>
      </c>
      <c r="N363" s="39">
        <f>IFERROR(INDEX('11_PRODUSE'!$B$5:$B$104,MATCH($E363,'11_PRODUSE'!$A$5:$A$104,0)),"")</f>
        <v/>
      </c>
      <c r="O363" s="13" t="n"/>
      <c r="P363" s="13" t="n"/>
    </row>
    <row r="364">
      <c r="A364" s="35" t="n"/>
      <c r="B364" s="39">
        <f>IF($A364="","",YEAR($A364)&amp;"-"&amp;RIGHT("0"&amp;MONTH($A364),2))</f>
        <v/>
      </c>
      <c r="C364" s="13" t="n"/>
      <c r="D364" s="13" t="n"/>
      <c r="E364" s="13" t="n"/>
      <c r="F364" s="13" t="n"/>
      <c r="G364" s="40" t="n"/>
      <c r="H364" s="38" t="n"/>
      <c r="I364" s="38" t="n"/>
      <c r="J364" s="38" t="n"/>
      <c r="K364" s="24">
        <f>IF($H364="","",$H364-N($J364))</f>
        <v/>
      </c>
      <c r="L364" s="25">
        <f>IFERROR($K364/$H364,"")</f>
        <v/>
      </c>
      <c r="M364" s="39">
        <f>IFERROR(INDEX('10_CLIENTI'!$B$5:$B$204,MATCH($D364,'10_CLIENTI'!$A$5:$A$204,0)),"")</f>
        <v/>
      </c>
      <c r="N364" s="39">
        <f>IFERROR(INDEX('11_PRODUSE'!$B$5:$B$104,MATCH($E364,'11_PRODUSE'!$A$5:$A$104,0)),"")</f>
        <v/>
      </c>
      <c r="O364" s="13" t="n"/>
      <c r="P364" s="13" t="n"/>
    </row>
    <row r="365">
      <c r="A365" s="35" t="n"/>
      <c r="B365" s="39">
        <f>IF($A365="","",YEAR($A365)&amp;"-"&amp;RIGHT("0"&amp;MONTH($A365),2))</f>
        <v/>
      </c>
      <c r="C365" s="13" t="n"/>
      <c r="D365" s="13" t="n"/>
      <c r="E365" s="13" t="n"/>
      <c r="F365" s="13" t="n"/>
      <c r="G365" s="40" t="n"/>
      <c r="H365" s="38" t="n"/>
      <c r="I365" s="38" t="n"/>
      <c r="J365" s="38" t="n"/>
      <c r="K365" s="24">
        <f>IF($H365="","",$H365-N($J365))</f>
        <v/>
      </c>
      <c r="L365" s="25">
        <f>IFERROR($K365/$H365,"")</f>
        <v/>
      </c>
      <c r="M365" s="39">
        <f>IFERROR(INDEX('10_CLIENTI'!$B$5:$B$204,MATCH($D365,'10_CLIENTI'!$A$5:$A$204,0)),"")</f>
        <v/>
      </c>
      <c r="N365" s="39">
        <f>IFERROR(INDEX('11_PRODUSE'!$B$5:$B$104,MATCH($E365,'11_PRODUSE'!$A$5:$A$104,0)),"")</f>
        <v/>
      </c>
      <c r="O365" s="13" t="n"/>
      <c r="P365" s="13" t="n"/>
    </row>
    <row r="366">
      <c r="A366" s="35" t="n"/>
      <c r="B366" s="39">
        <f>IF($A366="","",YEAR($A366)&amp;"-"&amp;RIGHT("0"&amp;MONTH($A366),2))</f>
        <v/>
      </c>
      <c r="C366" s="13" t="n"/>
      <c r="D366" s="13" t="n"/>
      <c r="E366" s="13" t="n"/>
      <c r="F366" s="13" t="n"/>
      <c r="G366" s="40" t="n"/>
      <c r="H366" s="38" t="n"/>
      <c r="I366" s="38" t="n"/>
      <c r="J366" s="38" t="n"/>
      <c r="K366" s="24">
        <f>IF($H366="","",$H366-N($J366))</f>
        <v/>
      </c>
      <c r="L366" s="25">
        <f>IFERROR($K366/$H366,"")</f>
        <v/>
      </c>
      <c r="M366" s="39">
        <f>IFERROR(INDEX('10_CLIENTI'!$B$5:$B$204,MATCH($D366,'10_CLIENTI'!$A$5:$A$204,0)),"")</f>
        <v/>
      </c>
      <c r="N366" s="39">
        <f>IFERROR(INDEX('11_PRODUSE'!$B$5:$B$104,MATCH($E366,'11_PRODUSE'!$A$5:$A$104,0)),"")</f>
        <v/>
      </c>
      <c r="O366" s="13" t="n"/>
      <c r="P366" s="13" t="n"/>
    </row>
    <row r="367">
      <c r="A367" s="35" t="n"/>
      <c r="B367" s="39">
        <f>IF($A367="","",YEAR($A367)&amp;"-"&amp;RIGHT("0"&amp;MONTH($A367),2))</f>
        <v/>
      </c>
      <c r="C367" s="13" t="n"/>
      <c r="D367" s="13" t="n"/>
      <c r="E367" s="13" t="n"/>
      <c r="F367" s="13" t="n"/>
      <c r="G367" s="40" t="n"/>
      <c r="H367" s="38" t="n"/>
      <c r="I367" s="38" t="n"/>
      <c r="J367" s="38" t="n"/>
      <c r="K367" s="24">
        <f>IF($H367="","",$H367-N($J367))</f>
        <v/>
      </c>
      <c r="L367" s="25">
        <f>IFERROR($K367/$H367,"")</f>
        <v/>
      </c>
      <c r="M367" s="39">
        <f>IFERROR(INDEX('10_CLIENTI'!$B$5:$B$204,MATCH($D367,'10_CLIENTI'!$A$5:$A$204,0)),"")</f>
        <v/>
      </c>
      <c r="N367" s="39">
        <f>IFERROR(INDEX('11_PRODUSE'!$B$5:$B$104,MATCH($E367,'11_PRODUSE'!$A$5:$A$104,0)),"")</f>
        <v/>
      </c>
      <c r="O367" s="13" t="n"/>
      <c r="P367" s="13" t="n"/>
    </row>
    <row r="368">
      <c r="A368" s="35" t="n"/>
      <c r="B368" s="39">
        <f>IF($A368="","",YEAR($A368)&amp;"-"&amp;RIGHT("0"&amp;MONTH($A368),2))</f>
        <v/>
      </c>
      <c r="C368" s="13" t="n"/>
      <c r="D368" s="13" t="n"/>
      <c r="E368" s="13" t="n"/>
      <c r="F368" s="13" t="n"/>
      <c r="G368" s="40" t="n"/>
      <c r="H368" s="38" t="n"/>
      <c r="I368" s="38" t="n"/>
      <c r="J368" s="38" t="n"/>
      <c r="K368" s="24">
        <f>IF($H368="","",$H368-N($J368))</f>
        <v/>
      </c>
      <c r="L368" s="25">
        <f>IFERROR($K368/$H368,"")</f>
        <v/>
      </c>
      <c r="M368" s="39">
        <f>IFERROR(INDEX('10_CLIENTI'!$B$5:$B$204,MATCH($D368,'10_CLIENTI'!$A$5:$A$204,0)),"")</f>
        <v/>
      </c>
      <c r="N368" s="39">
        <f>IFERROR(INDEX('11_PRODUSE'!$B$5:$B$104,MATCH($E368,'11_PRODUSE'!$A$5:$A$104,0)),"")</f>
        <v/>
      </c>
      <c r="O368" s="13" t="n"/>
      <c r="P368" s="13" t="n"/>
    </row>
    <row r="369">
      <c r="A369" s="35" t="n"/>
      <c r="B369" s="39">
        <f>IF($A369="","",YEAR($A369)&amp;"-"&amp;RIGHT("0"&amp;MONTH($A369),2))</f>
        <v/>
      </c>
      <c r="C369" s="13" t="n"/>
      <c r="D369" s="13" t="n"/>
      <c r="E369" s="13" t="n"/>
      <c r="F369" s="13" t="n"/>
      <c r="G369" s="40" t="n"/>
      <c r="H369" s="38" t="n"/>
      <c r="I369" s="38" t="n"/>
      <c r="J369" s="38" t="n"/>
      <c r="K369" s="24">
        <f>IF($H369="","",$H369-N($J369))</f>
        <v/>
      </c>
      <c r="L369" s="25">
        <f>IFERROR($K369/$H369,"")</f>
        <v/>
      </c>
      <c r="M369" s="39">
        <f>IFERROR(INDEX('10_CLIENTI'!$B$5:$B$204,MATCH($D369,'10_CLIENTI'!$A$5:$A$204,0)),"")</f>
        <v/>
      </c>
      <c r="N369" s="39">
        <f>IFERROR(INDEX('11_PRODUSE'!$B$5:$B$104,MATCH($E369,'11_PRODUSE'!$A$5:$A$104,0)),"")</f>
        <v/>
      </c>
      <c r="O369" s="13" t="n"/>
      <c r="P369" s="13" t="n"/>
    </row>
    <row r="370">
      <c r="A370" s="35" t="n"/>
      <c r="B370" s="39">
        <f>IF($A370="","",YEAR($A370)&amp;"-"&amp;RIGHT("0"&amp;MONTH($A370),2))</f>
        <v/>
      </c>
      <c r="C370" s="13" t="n"/>
      <c r="D370" s="13" t="n"/>
      <c r="E370" s="13" t="n"/>
      <c r="F370" s="13" t="n"/>
      <c r="G370" s="40" t="n"/>
      <c r="H370" s="38" t="n"/>
      <c r="I370" s="38" t="n"/>
      <c r="J370" s="38" t="n"/>
      <c r="K370" s="24">
        <f>IF($H370="","",$H370-N($J370))</f>
        <v/>
      </c>
      <c r="L370" s="25">
        <f>IFERROR($K370/$H370,"")</f>
        <v/>
      </c>
      <c r="M370" s="39">
        <f>IFERROR(INDEX('10_CLIENTI'!$B$5:$B$204,MATCH($D370,'10_CLIENTI'!$A$5:$A$204,0)),"")</f>
        <v/>
      </c>
      <c r="N370" s="39">
        <f>IFERROR(INDEX('11_PRODUSE'!$B$5:$B$104,MATCH($E370,'11_PRODUSE'!$A$5:$A$104,0)),"")</f>
        <v/>
      </c>
      <c r="O370" s="13" t="n"/>
      <c r="P370" s="13" t="n"/>
    </row>
    <row r="371">
      <c r="A371" s="35" t="n"/>
      <c r="B371" s="39">
        <f>IF($A371="","",YEAR($A371)&amp;"-"&amp;RIGHT("0"&amp;MONTH($A371),2))</f>
        <v/>
      </c>
      <c r="C371" s="13" t="n"/>
      <c r="D371" s="13" t="n"/>
      <c r="E371" s="13" t="n"/>
      <c r="F371" s="13" t="n"/>
      <c r="G371" s="40" t="n"/>
      <c r="H371" s="38" t="n"/>
      <c r="I371" s="38" t="n"/>
      <c r="J371" s="38" t="n"/>
      <c r="K371" s="24">
        <f>IF($H371="","",$H371-N($J371))</f>
        <v/>
      </c>
      <c r="L371" s="25">
        <f>IFERROR($K371/$H371,"")</f>
        <v/>
      </c>
      <c r="M371" s="39">
        <f>IFERROR(INDEX('10_CLIENTI'!$B$5:$B$204,MATCH($D371,'10_CLIENTI'!$A$5:$A$204,0)),"")</f>
        <v/>
      </c>
      <c r="N371" s="39">
        <f>IFERROR(INDEX('11_PRODUSE'!$B$5:$B$104,MATCH($E371,'11_PRODUSE'!$A$5:$A$104,0)),"")</f>
        <v/>
      </c>
      <c r="O371" s="13" t="n"/>
      <c r="P371" s="13" t="n"/>
    </row>
    <row r="372">
      <c r="A372" s="35" t="n"/>
      <c r="B372" s="39">
        <f>IF($A372="","",YEAR($A372)&amp;"-"&amp;RIGHT("0"&amp;MONTH($A372),2))</f>
        <v/>
      </c>
      <c r="C372" s="13" t="n"/>
      <c r="D372" s="13" t="n"/>
      <c r="E372" s="13" t="n"/>
      <c r="F372" s="13" t="n"/>
      <c r="G372" s="40" t="n"/>
      <c r="H372" s="38" t="n"/>
      <c r="I372" s="38" t="n"/>
      <c r="J372" s="38" t="n"/>
      <c r="K372" s="24">
        <f>IF($H372="","",$H372-N($J372))</f>
        <v/>
      </c>
      <c r="L372" s="25">
        <f>IFERROR($K372/$H372,"")</f>
        <v/>
      </c>
      <c r="M372" s="39">
        <f>IFERROR(INDEX('10_CLIENTI'!$B$5:$B$204,MATCH($D372,'10_CLIENTI'!$A$5:$A$204,0)),"")</f>
        <v/>
      </c>
      <c r="N372" s="39">
        <f>IFERROR(INDEX('11_PRODUSE'!$B$5:$B$104,MATCH($E372,'11_PRODUSE'!$A$5:$A$104,0)),"")</f>
        <v/>
      </c>
      <c r="O372" s="13" t="n"/>
      <c r="P372" s="13" t="n"/>
    </row>
    <row r="373">
      <c r="A373" s="35" t="n"/>
      <c r="B373" s="39">
        <f>IF($A373="","",YEAR($A373)&amp;"-"&amp;RIGHT("0"&amp;MONTH($A373),2))</f>
        <v/>
      </c>
      <c r="C373" s="13" t="n"/>
      <c r="D373" s="13" t="n"/>
      <c r="E373" s="13" t="n"/>
      <c r="F373" s="13" t="n"/>
      <c r="G373" s="40" t="n"/>
      <c r="H373" s="38" t="n"/>
      <c r="I373" s="38" t="n"/>
      <c r="J373" s="38" t="n"/>
      <c r="K373" s="24">
        <f>IF($H373="","",$H373-N($J373))</f>
        <v/>
      </c>
      <c r="L373" s="25">
        <f>IFERROR($K373/$H373,"")</f>
        <v/>
      </c>
      <c r="M373" s="39">
        <f>IFERROR(INDEX('10_CLIENTI'!$B$5:$B$204,MATCH($D373,'10_CLIENTI'!$A$5:$A$204,0)),"")</f>
        <v/>
      </c>
      <c r="N373" s="39">
        <f>IFERROR(INDEX('11_PRODUSE'!$B$5:$B$104,MATCH($E373,'11_PRODUSE'!$A$5:$A$104,0)),"")</f>
        <v/>
      </c>
      <c r="O373" s="13" t="n"/>
      <c r="P373" s="13" t="n"/>
    </row>
    <row r="374">
      <c r="A374" s="35" t="n"/>
      <c r="B374" s="39">
        <f>IF($A374="","",YEAR($A374)&amp;"-"&amp;RIGHT("0"&amp;MONTH($A374),2))</f>
        <v/>
      </c>
      <c r="C374" s="13" t="n"/>
      <c r="D374" s="13" t="n"/>
      <c r="E374" s="13" t="n"/>
      <c r="F374" s="13" t="n"/>
      <c r="G374" s="40" t="n"/>
      <c r="H374" s="38" t="n"/>
      <c r="I374" s="38" t="n"/>
      <c r="J374" s="38" t="n"/>
      <c r="K374" s="24">
        <f>IF($H374="","",$H374-N($J374))</f>
        <v/>
      </c>
      <c r="L374" s="25">
        <f>IFERROR($K374/$H374,"")</f>
        <v/>
      </c>
      <c r="M374" s="39">
        <f>IFERROR(INDEX('10_CLIENTI'!$B$5:$B$204,MATCH($D374,'10_CLIENTI'!$A$5:$A$204,0)),"")</f>
        <v/>
      </c>
      <c r="N374" s="39">
        <f>IFERROR(INDEX('11_PRODUSE'!$B$5:$B$104,MATCH($E374,'11_PRODUSE'!$A$5:$A$104,0)),"")</f>
        <v/>
      </c>
      <c r="O374" s="13" t="n"/>
      <c r="P374" s="13" t="n"/>
    </row>
    <row r="375">
      <c r="A375" s="35" t="n"/>
      <c r="B375" s="39">
        <f>IF($A375="","",YEAR($A375)&amp;"-"&amp;RIGHT("0"&amp;MONTH($A375),2))</f>
        <v/>
      </c>
      <c r="C375" s="13" t="n"/>
      <c r="D375" s="13" t="n"/>
      <c r="E375" s="13" t="n"/>
      <c r="F375" s="13" t="n"/>
      <c r="G375" s="40" t="n"/>
      <c r="H375" s="38" t="n"/>
      <c r="I375" s="38" t="n"/>
      <c r="J375" s="38" t="n"/>
      <c r="K375" s="24">
        <f>IF($H375="","",$H375-N($J375))</f>
        <v/>
      </c>
      <c r="L375" s="25">
        <f>IFERROR($K375/$H375,"")</f>
        <v/>
      </c>
      <c r="M375" s="39">
        <f>IFERROR(INDEX('10_CLIENTI'!$B$5:$B$204,MATCH($D375,'10_CLIENTI'!$A$5:$A$204,0)),"")</f>
        <v/>
      </c>
      <c r="N375" s="39">
        <f>IFERROR(INDEX('11_PRODUSE'!$B$5:$B$104,MATCH($E375,'11_PRODUSE'!$A$5:$A$104,0)),"")</f>
        <v/>
      </c>
      <c r="O375" s="13" t="n"/>
      <c r="P375" s="13" t="n"/>
    </row>
    <row r="376">
      <c r="A376" s="35" t="n"/>
      <c r="B376" s="39">
        <f>IF($A376="","",YEAR($A376)&amp;"-"&amp;RIGHT("0"&amp;MONTH($A376),2))</f>
        <v/>
      </c>
      <c r="C376" s="13" t="n"/>
      <c r="D376" s="13" t="n"/>
      <c r="E376" s="13" t="n"/>
      <c r="F376" s="13" t="n"/>
      <c r="G376" s="40" t="n"/>
      <c r="H376" s="38" t="n"/>
      <c r="I376" s="38" t="n"/>
      <c r="J376" s="38" t="n"/>
      <c r="K376" s="24">
        <f>IF($H376="","",$H376-N($J376))</f>
        <v/>
      </c>
      <c r="L376" s="25">
        <f>IFERROR($K376/$H376,"")</f>
        <v/>
      </c>
      <c r="M376" s="39">
        <f>IFERROR(INDEX('10_CLIENTI'!$B$5:$B$204,MATCH($D376,'10_CLIENTI'!$A$5:$A$204,0)),"")</f>
        <v/>
      </c>
      <c r="N376" s="39">
        <f>IFERROR(INDEX('11_PRODUSE'!$B$5:$B$104,MATCH($E376,'11_PRODUSE'!$A$5:$A$104,0)),"")</f>
        <v/>
      </c>
      <c r="O376" s="13" t="n"/>
      <c r="P376" s="13" t="n"/>
    </row>
    <row r="377">
      <c r="A377" s="35" t="n"/>
      <c r="B377" s="39">
        <f>IF($A377="","",YEAR($A377)&amp;"-"&amp;RIGHT("0"&amp;MONTH($A377),2))</f>
        <v/>
      </c>
      <c r="C377" s="13" t="n"/>
      <c r="D377" s="13" t="n"/>
      <c r="E377" s="13" t="n"/>
      <c r="F377" s="13" t="n"/>
      <c r="G377" s="40" t="n"/>
      <c r="H377" s="38" t="n"/>
      <c r="I377" s="38" t="n"/>
      <c r="J377" s="38" t="n"/>
      <c r="K377" s="24">
        <f>IF($H377="","",$H377-N($J377))</f>
        <v/>
      </c>
      <c r="L377" s="25">
        <f>IFERROR($K377/$H377,"")</f>
        <v/>
      </c>
      <c r="M377" s="39">
        <f>IFERROR(INDEX('10_CLIENTI'!$B$5:$B$204,MATCH($D377,'10_CLIENTI'!$A$5:$A$204,0)),"")</f>
        <v/>
      </c>
      <c r="N377" s="39">
        <f>IFERROR(INDEX('11_PRODUSE'!$B$5:$B$104,MATCH($E377,'11_PRODUSE'!$A$5:$A$104,0)),"")</f>
        <v/>
      </c>
      <c r="O377" s="13" t="n"/>
      <c r="P377" s="13" t="n"/>
    </row>
    <row r="378">
      <c r="A378" s="35" t="n"/>
      <c r="B378" s="39">
        <f>IF($A378="","",YEAR($A378)&amp;"-"&amp;RIGHT("0"&amp;MONTH($A378),2))</f>
        <v/>
      </c>
      <c r="C378" s="13" t="n"/>
      <c r="D378" s="13" t="n"/>
      <c r="E378" s="13" t="n"/>
      <c r="F378" s="13" t="n"/>
      <c r="G378" s="40" t="n"/>
      <c r="H378" s="38" t="n"/>
      <c r="I378" s="38" t="n"/>
      <c r="J378" s="38" t="n"/>
      <c r="K378" s="24">
        <f>IF($H378="","",$H378-N($J378))</f>
        <v/>
      </c>
      <c r="L378" s="25">
        <f>IFERROR($K378/$H378,"")</f>
        <v/>
      </c>
      <c r="M378" s="39">
        <f>IFERROR(INDEX('10_CLIENTI'!$B$5:$B$204,MATCH($D378,'10_CLIENTI'!$A$5:$A$204,0)),"")</f>
        <v/>
      </c>
      <c r="N378" s="39">
        <f>IFERROR(INDEX('11_PRODUSE'!$B$5:$B$104,MATCH($E378,'11_PRODUSE'!$A$5:$A$104,0)),"")</f>
        <v/>
      </c>
      <c r="O378" s="13" t="n"/>
      <c r="P378" s="13" t="n"/>
    </row>
    <row r="379">
      <c r="A379" s="35" t="n"/>
      <c r="B379" s="39">
        <f>IF($A379="","",YEAR($A379)&amp;"-"&amp;RIGHT("0"&amp;MONTH($A379),2))</f>
        <v/>
      </c>
      <c r="C379" s="13" t="n"/>
      <c r="D379" s="13" t="n"/>
      <c r="E379" s="13" t="n"/>
      <c r="F379" s="13" t="n"/>
      <c r="G379" s="40" t="n"/>
      <c r="H379" s="38" t="n"/>
      <c r="I379" s="38" t="n"/>
      <c r="J379" s="38" t="n"/>
      <c r="K379" s="24">
        <f>IF($H379="","",$H379-N($J379))</f>
        <v/>
      </c>
      <c r="L379" s="25">
        <f>IFERROR($K379/$H379,"")</f>
        <v/>
      </c>
      <c r="M379" s="39">
        <f>IFERROR(INDEX('10_CLIENTI'!$B$5:$B$204,MATCH($D379,'10_CLIENTI'!$A$5:$A$204,0)),"")</f>
        <v/>
      </c>
      <c r="N379" s="39">
        <f>IFERROR(INDEX('11_PRODUSE'!$B$5:$B$104,MATCH($E379,'11_PRODUSE'!$A$5:$A$104,0)),"")</f>
        <v/>
      </c>
      <c r="O379" s="13" t="n"/>
      <c r="P379" s="13" t="n"/>
    </row>
    <row r="380">
      <c r="A380" s="35" t="n"/>
      <c r="B380" s="39">
        <f>IF($A380="","",YEAR($A380)&amp;"-"&amp;RIGHT("0"&amp;MONTH($A380),2))</f>
        <v/>
      </c>
      <c r="C380" s="13" t="n"/>
      <c r="D380" s="13" t="n"/>
      <c r="E380" s="13" t="n"/>
      <c r="F380" s="13" t="n"/>
      <c r="G380" s="40" t="n"/>
      <c r="H380" s="38" t="n"/>
      <c r="I380" s="38" t="n"/>
      <c r="J380" s="38" t="n"/>
      <c r="K380" s="24">
        <f>IF($H380="","",$H380-N($J380))</f>
        <v/>
      </c>
      <c r="L380" s="25">
        <f>IFERROR($K380/$H380,"")</f>
        <v/>
      </c>
      <c r="M380" s="39">
        <f>IFERROR(INDEX('10_CLIENTI'!$B$5:$B$204,MATCH($D380,'10_CLIENTI'!$A$5:$A$204,0)),"")</f>
        <v/>
      </c>
      <c r="N380" s="39">
        <f>IFERROR(INDEX('11_PRODUSE'!$B$5:$B$104,MATCH($E380,'11_PRODUSE'!$A$5:$A$104,0)),"")</f>
        <v/>
      </c>
      <c r="O380" s="13" t="n"/>
      <c r="P380" s="13" t="n"/>
    </row>
    <row r="381">
      <c r="A381" s="35" t="n"/>
      <c r="B381" s="39">
        <f>IF($A381="","",YEAR($A381)&amp;"-"&amp;RIGHT("0"&amp;MONTH($A381),2))</f>
        <v/>
      </c>
      <c r="C381" s="13" t="n"/>
      <c r="D381" s="13" t="n"/>
      <c r="E381" s="13" t="n"/>
      <c r="F381" s="13" t="n"/>
      <c r="G381" s="40" t="n"/>
      <c r="H381" s="38" t="n"/>
      <c r="I381" s="38" t="n"/>
      <c r="J381" s="38" t="n"/>
      <c r="K381" s="24">
        <f>IF($H381="","",$H381-N($J381))</f>
        <v/>
      </c>
      <c r="L381" s="25">
        <f>IFERROR($K381/$H381,"")</f>
        <v/>
      </c>
      <c r="M381" s="39">
        <f>IFERROR(INDEX('10_CLIENTI'!$B$5:$B$204,MATCH($D381,'10_CLIENTI'!$A$5:$A$204,0)),"")</f>
        <v/>
      </c>
      <c r="N381" s="39">
        <f>IFERROR(INDEX('11_PRODUSE'!$B$5:$B$104,MATCH($E381,'11_PRODUSE'!$A$5:$A$104,0)),"")</f>
        <v/>
      </c>
      <c r="O381" s="13" t="n"/>
      <c r="P381" s="13" t="n"/>
    </row>
    <row r="382">
      <c r="A382" s="35" t="n"/>
      <c r="B382" s="39">
        <f>IF($A382="","",YEAR($A382)&amp;"-"&amp;RIGHT("0"&amp;MONTH($A382),2))</f>
        <v/>
      </c>
      <c r="C382" s="13" t="n"/>
      <c r="D382" s="13" t="n"/>
      <c r="E382" s="13" t="n"/>
      <c r="F382" s="13" t="n"/>
      <c r="G382" s="40" t="n"/>
      <c r="H382" s="38" t="n"/>
      <c r="I382" s="38" t="n"/>
      <c r="J382" s="38" t="n"/>
      <c r="K382" s="24">
        <f>IF($H382="","",$H382-N($J382))</f>
        <v/>
      </c>
      <c r="L382" s="25">
        <f>IFERROR($K382/$H382,"")</f>
        <v/>
      </c>
      <c r="M382" s="39">
        <f>IFERROR(INDEX('10_CLIENTI'!$B$5:$B$204,MATCH($D382,'10_CLIENTI'!$A$5:$A$204,0)),"")</f>
        <v/>
      </c>
      <c r="N382" s="39">
        <f>IFERROR(INDEX('11_PRODUSE'!$B$5:$B$104,MATCH($E382,'11_PRODUSE'!$A$5:$A$104,0)),"")</f>
        <v/>
      </c>
      <c r="O382" s="13" t="n"/>
      <c r="P382" s="13" t="n"/>
    </row>
    <row r="383">
      <c r="A383" s="35" t="n"/>
      <c r="B383" s="39">
        <f>IF($A383="","",YEAR($A383)&amp;"-"&amp;RIGHT("0"&amp;MONTH($A383),2))</f>
        <v/>
      </c>
      <c r="C383" s="13" t="n"/>
      <c r="D383" s="13" t="n"/>
      <c r="E383" s="13" t="n"/>
      <c r="F383" s="13" t="n"/>
      <c r="G383" s="40" t="n"/>
      <c r="H383" s="38" t="n"/>
      <c r="I383" s="38" t="n"/>
      <c r="J383" s="38" t="n"/>
      <c r="K383" s="24">
        <f>IF($H383="","",$H383-N($J383))</f>
        <v/>
      </c>
      <c r="L383" s="25">
        <f>IFERROR($K383/$H383,"")</f>
        <v/>
      </c>
      <c r="M383" s="39">
        <f>IFERROR(INDEX('10_CLIENTI'!$B$5:$B$204,MATCH($D383,'10_CLIENTI'!$A$5:$A$204,0)),"")</f>
        <v/>
      </c>
      <c r="N383" s="39">
        <f>IFERROR(INDEX('11_PRODUSE'!$B$5:$B$104,MATCH($E383,'11_PRODUSE'!$A$5:$A$104,0)),"")</f>
        <v/>
      </c>
      <c r="O383" s="13" t="n"/>
      <c r="P383" s="13" t="n"/>
    </row>
    <row r="384">
      <c r="A384" s="35" t="n"/>
      <c r="B384" s="39">
        <f>IF($A384="","",YEAR($A384)&amp;"-"&amp;RIGHT("0"&amp;MONTH($A384),2))</f>
        <v/>
      </c>
      <c r="C384" s="13" t="n"/>
      <c r="D384" s="13" t="n"/>
      <c r="E384" s="13" t="n"/>
      <c r="F384" s="13" t="n"/>
      <c r="G384" s="40" t="n"/>
      <c r="H384" s="38" t="n"/>
      <c r="I384" s="38" t="n"/>
      <c r="J384" s="38" t="n"/>
      <c r="K384" s="24">
        <f>IF($H384="","",$H384-N($J384))</f>
        <v/>
      </c>
      <c r="L384" s="25">
        <f>IFERROR($K384/$H384,"")</f>
        <v/>
      </c>
      <c r="M384" s="39">
        <f>IFERROR(INDEX('10_CLIENTI'!$B$5:$B$204,MATCH($D384,'10_CLIENTI'!$A$5:$A$204,0)),"")</f>
        <v/>
      </c>
      <c r="N384" s="39">
        <f>IFERROR(INDEX('11_PRODUSE'!$B$5:$B$104,MATCH($E384,'11_PRODUSE'!$A$5:$A$104,0)),"")</f>
        <v/>
      </c>
      <c r="O384" s="13" t="n"/>
      <c r="P384" s="13" t="n"/>
    </row>
    <row r="385">
      <c r="A385" s="35" t="n"/>
      <c r="B385" s="39">
        <f>IF($A385="","",YEAR($A385)&amp;"-"&amp;RIGHT("0"&amp;MONTH($A385),2))</f>
        <v/>
      </c>
      <c r="C385" s="13" t="n"/>
      <c r="D385" s="13" t="n"/>
      <c r="E385" s="13" t="n"/>
      <c r="F385" s="13" t="n"/>
      <c r="G385" s="40" t="n"/>
      <c r="H385" s="38" t="n"/>
      <c r="I385" s="38" t="n"/>
      <c r="J385" s="38" t="n"/>
      <c r="K385" s="24">
        <f>IF($H385="","",$H385-N($J385))</f>
        <v/>
      </c>
      <c r="L385" s="25">
        <f>IFERROR($K385/$H385,"")</f>
        <v/>
      </c>
      <c r="M385" s="39">
        <f>IFERROR(INDEX('10_CLIENTI'!$B$5:$B$204,MATCH($D385,'10_CLIENTI'!$A$5:$A$204,0)),"")</f>
        <v/>
      </c>
      <c r="N385" s="39">
        <f>IFERROR(INDEX('11_PRODUSE'!$B$5:$B$104,MATCH($E385,'11_PRODUSE'!$A$5:$A$104,0)),"")</f>
        <v/>
      </c>
      <c r="O385" s="13" t="n"/>
      <c r="P385" s="13" t="n"/>
    </row>
    <row r="386">
      <c r="A386" s="35" t="n"/>
      <c r="B386" s="39">
        <f>IF($A386="","",YEAR($A386)&amp;"-"&amp;RIGHT("0"&amp;MONTH($A386),2))</f>
        <v/>
      </c>
      <c r="C386" s="13" t="n"/>
      <c r="D386" s="13" t="n"/>
      <c r="E386" s="13" t="n"/>
      <c r="F386" s="13" t="n"/>
      <c r="G386" s="40" t="n"/>
      <c r="H386" s="38" t="n"/>
      <c r="I386" s="38" t="n"/>
      <c r="J386" s="38" t="n"/>
      <c r="K386" s="24">
        <f>IF($H386="","",$H386-N($J386))</f>
        <v/>
      </c>
      <c r="L386" s="25">
        <f>IFERROR($K386/$H386,"")</f>
        <v/>
      </c>
      <c r="M386" s="39">
        <f>IFERROR(INDEX('10_CLIENTI'!$B$5:$B$204,MATCH($D386,'10_CLIENTI'!$A$5:$A$204,0)),"")</f>
        <v/>
      </c>
      <c r="N386" s="39">
        <f>IFERROR(INDEX('11_PRODUSE'!$B$5:$B$104,MATCH($E386,'11_PRODUSE'!$A$5:$A$104,0)),"")</f>
        <v/>
      </c>
      <c r="O386" s="13" t="n"/>
      <c r="P386" s="13" t="n"/>
    </row>
    <row r="387">
      <c r="A387" s="35" t="n"/>
      <c r="B387" s="39">
        <f>IF($A387="","",YEAR($A387)&amp;"-"&amp;RIGHT("0"&amp;MONTH($A387),2))</f>
        <v/>
      </c>
      <c r="C387" s="13" t="n"/>
      <c r="D387" s="13" t="n"/>
      <c r="E387" s="13" t="n"/>
      <c r="F387" s="13" t="n"/>
      <c r="G387" s="40" t="n"/>
      <c r="H387" s="38" t="n"/>
      <c r="I387" s="38" t="n"/>
      <c r="J387" s="38" t="n"/>
      <c r="K387" s="24">
        <f>IF($H387="","",$H387-N($J387))</f>
        <v/>
      </c>
      <c r="L387" s="25">
        <f>IFERROR($K387/$H387,"")</f>
        <v/>
      </c>
      <c r="M387" s="39">
        <f>IFERROR(INDEX('10_CLIENTI'!$B$5:$B$204,MATCH($D387,'10_CLIENTI'!$A$5:$A$204,0)),"")</f>
        <v/>
      </c>
      <c r="N387" s="39">
        <f>IFERROR(INDEX('11_PRODUSE'!$B$5:$B$104,MATCH($E387,'11_PRODUSE'!$A$5:$A$104,0)),"")</f>
        <v/>
      </c>
      <c r="O387" s="13" t="n"/>
      <c r="P387" s="13" t="n"/>
    </row>
    <row r="388">
      <c r="A388" s="35" t="n"/>
      <c r="B388" s="39">
        <f>IF($A388="","",YEAR($A388)&amp;"-"&amp;RIGHT("0"&amp;MONTH($A388),2))</f>
        <v/>
      </c>
      <c r="C388" s="13" t="n"/>
      <c r="D388" s="13" t="n"/>
      <c r="E388" s="13" t="n"/>
      <c r="F388" s="13" t="n"/>
      <c r="G388" s="40" t="n"/>
      <c r="H388" s="38" t="n"/>
      <c r="I388" s="38" t="n"/>
      <c r="J388" s="38" t="n"/>
      <c r="K388" s="24">
        <f>IF($H388="","",$H388-N($J388))</f>
        <v/>
      </c>
      <c r="L388" s="25">
        <f>IFERROR($K388/$H388,"")</f>
        <v/>
      </c>
      <c r="M388" s="39">
        <f>IFERROR(INDEX('10_CLIENTI'!$B$5:$B$204,MATCH($D388,'10_CLIENTI'!$A$5:$A$204,0)),"")</f>
        <v/>
      </c>
      <c r="N388" s="39">
        <f>IFERROR(INDEX('11_PRODUSE'!$B$5:$B$104,MATCH($E388,'11_PRODUSE'!$A$5:$A$104,0)),"")</f>
        <v/>
      </c>
      <c r="O388" s="13" t="n"/>
      <c r="P388" s="13" t="n"/>
    </row>
    <row r="389">
      <c r="A389" s="35" t="n"/>
      <c r="B389" s="39">
        <f>IF($A389="","",YEAR($A389)&amp;"-"&amp;RIGHT("0"&amp;MONTH($A389),2))</f>
        <v/>
      </c>
      <c r="C389" s="13" t="n"/>
      <c r="D389" s="13" t="n"/>
      <c r="E389" s="13" t="n"/>
      <c r="F389" s="13" t="n"/>
      <c r="G389" s="40" t="n"/>
      <c r="H389" s="38" t="n"/>
      <c r="I389" s="38" t="n"/>
      <c r="J389" s="38" t="n"/>
      <c r="K389" s="24">
        <f>IF($H389="","",$H389-N($J389))</f>
        <v/>
      </c>
      <c r="L389" s="25">
        <f>IFERROR($K389/$H389,"")</f>
        <v/>
      </c>
      <c r="M389" s="39">
        <f>IFERROR(INDEX('10_CLIENTI'!$B$5:$B$204,MATCH($D389,'10_CLIENTI'!$A$5:$A$204,0)),"")</f>
        <v/>
      </c>
      <c r="N389" s="39">
        <f>IFERROR(INDEX('11_PRODUSE'!$B$5:$B$104,MATCH($E389,'11_PRODUSE'!$A$5:$A$104,0)),"")</f>
        <v/>
      </c>
      <c r="O389" s="13" t="n"/>
      <c r="P389" s="13" t="n"/>
    </row>
    <row r="390">
      <c r="A390" s="35" t="n"/>
      <c r="B390" s="39">
        <f>IF($A390="","",YEAR($A390)&amp;"-"&amp;RIGHT("0"&amp;MONTH($A390),2))</f>
        <v/>
      </c>
      <c r="C390" s="13" t="n"/>
      <c r="D390" s="13" t="n"/>
      <c r="E390" s="13" t="n"/>
      <c r="F390" s="13" t="n"/>
      <c r="G390" s="40" t="n"/>
      <c r="H390" s="38" t="n"/>
      <c r="I390" s="38" t="n"/>
      <c r="J390" s="38" t="n"/>
      <c r="K390" s="24">
        <f>IF($H390="","",$H390-N($J390))</f>
        <v/>
      </c>
      <c r="L390" s="25">
        <f>IFERROR($K390/$H390,"")</f>
        <v/>
      </c>
      <c r="M390" s="39">
        <f>IFERROR(INDEX('10_CLIENTI'!$B$5:$B$204,MATCH($D390,'10_CLIENTI'!$A$5:$A$204,0)),"")</f>
        <v/>
      </c>
      <c r="N390" s="39">
        <f>IFERROR(INDEX('11_PRODUSE'!$B$5:$B$104,MATCH($E390,'11_PRODUSE'!$A$5:$A$104,0)),"")</f>
        <v/>
      </c>
      <c r="O390" s="13" t="n"/>
      <c r="P390" s="13" t="n"/>
    </row>
    <row r="391">
      <c r="A391" s="35" t="n"/>
      <c r="B391" s="39">
        <f>IF($A391="","",YEAR($A391)&amp;"-"&amp;RIGHT("0"&amp;MONTH($A391),2))</f>
        <v/>
      </c>
      <c r="C391" s="13" t="n"/>
      <c r="D391" s="13" t="n"/>
      <c r="E391" s="13" t="n"/>
      <c r="F391" s="13" t="n"/>
      <c r="G391" s="40" t="n"/>
      <c r="H391" s="38" t="n"/>
      <c r="I391" s="38" t="n"/>
      <c r="J391" s="38" t="n"/>
      <c r="K391" s="24">
        <f>IF($H391="","",$H391-N($J391))</f>
        <v/>
      </c>
      <c r="L391" s="25">
        <f>IFERROR($K391/$H391,"")</f>
        <v/>
      </c>
      <c r="M391" s="39">
        <f>IFERROR(INDEX('10_CLIENTI'!$B$5:$B$204,MATCH($D391,'10_CLIENTI'!$A$5:$A$204,0)),"")</f>
        <v/>
      </c>
      <c r="N391" s="39">
        <f>IFERROR(INDEX('11_PRODUSE'!$B$5:$B$104,MATCH($E391,'11_PRODUSE'!$A$5:$A$104,0)),"")</f>
        <v/>
      </c>
      <c r="O391" s="13" t="n"/>
      <c r="P391" s="13" t="n"/>
    </row>
    <row r="392">
      <c r="A392" s="35" t="n"/>
      <c r="B392" s="39">
        <f>IF($A392="","",YEAR($A392)&amp;"-"&amp;RIGHT("0"&amp;MONTH($A392),2))</f>
        <v/>
      </c>
      <c r="C392" s="13" t="n"/>
      <c r="D392" s="13" t="n"/>
      <c r="E392" s="13" t="n"/>
      <c r="F392" s="13" t="n"/>
      <c r="G392" s="40" t="n"/>
      <c r="H392" s="38" t="n"/>
      <c r="I392" s="38" t="n"/>
      <c r="J392" s="38" t="n"/>
      <c r="K392" s="24">
        <f>IF($H392="","",$H392-N($J392))</f>
        <v/>
      </c>
      <c r="L392" s="25">
        <f>IFERROR($K392/$H392,"")</f>
        <v/>
      </c>
      <c r="M392" s="39">
        <f>IFERROR(INDEX('10_CLIENTI'!$B$5:$B$204,MATCH($D392,'10_CLIENTI'!$A$5:$A$204,0)),"")</f>
        <v/>
      </c>
      <c r="N392" s="39">
        <f>IFERROR(INDEX('11_PRODUSE'!$B$5:$B$104,MATCH($E392,'11_PRODUSE'!$A$5:$A$104,0)),"")</f>
        <v/>
      </c>
      <c r="O392" s="13" t="n"/>
      <c r="P392" s="13" t="n"/>
    </row>
    <row r="393">
      <c r="A393" s="35" t="n"/>
      <c r="B393" s="39">
        <f>IF($A393="","",YEAR($A393)&amp;"-"&amp;RIGHT("0"&amp;MONTH($A393),2))</f>
        <v/>
      </c>
      <c r="C393" s="13" t="n"/>
      <c r="D393" s="13" t="n"/>
      <c r="E393" s="13" t="n"/>
      <c r="F393" s="13" t="n"/>
      <c r="G393" s="40" t="n"/>
      <c r="H393" s="38" t="n"/>
      <c r="I393" s="38" t="n"/>
      <c r="J393" s="38" t="n"/>
      <c r="K393" s="24">
        <f>IF($H393="","",$H393-N($J393))</f>
        <v/>
      </c>
      <c r="L393" s="25">
        <f>IFERROR($K393/$H393,"")</f>
        <v/>
      </c>
      <c r="M393" s="39">
        <f>IFERROR(INDEX('10_CLIENTI'!$B$5:$B$204,MATCH($D393,'10_CLIENTI'!$A$5:$A$204,0)),"")</f>
        <v/>
      </c>
      <c r="N393" s="39">
        <f>IFERROR(INDEX('11_PRODUSE'!$B$5:$B$104,MATCH($E393,'11_PRODUSE'!$A$5:$A$104,0)),"")</f>
        <v/>
      </c>
      <c r="O393" s="13" t="n"/>
      <c r="P393" s="13" t="n"/>
    </row>
    <row r="394">
      <c r="A394" s="35" t="n"/>
      <c r="B394" s="39">
        <f>IF($A394="","",YEAR($A394)&amp;"-"&amp;RIGHT("0"&amp;MONTH($A394),2))</f>
        <v/>
      </c>
      <c r="C394" s="13" t="n"/>
      <c r="D394" s="13" t="n"/>
      <c r="E394" s="13" t="n"/>
      <c r="F394" s="13" t="n"/>
      <c r="G394" s="40" t="n"/>
      <c r="H394" s="38" t="n"/>
      <c r="I394" s="38" t="n"/>
      <c r="J394" s="38" t="n"/>
      <c r="K394" s="24">
        <f>IF($H394="","",$H394-N($J394))</f>
        <v/>
      </c>
      <c r="L394" s="25">
        <f>IFERROR($K394/$H394,"")</f>
        <v/>
      </c>
      <c r="M394" s="39">
        <f>IFERROR(INDEX('10_CLIENTI'!$B$5:$B$204,MATCH($D394,'10_CLIENTI'!$A$5:$A$204,0)),"")</f>
        <v/>
      </c>
      <c r="N394" s="39">
        <f>IFERROR(INDEX('11_PRODUSE'!$B$5:$B$104,MATCH($E394,'11_PRODUSE'!$A$5:$A$104,0)),"")</f>
        <v/>
      </c>
      <c r="O394" s="13" t="n"/>
      <c r="P394" s="13" t="n"/>
    </row>
    <row r="395">
      <c r="A395" s="35" t="n"/>
      <c r="B395" s="39">
        <f>IF($A395="","",YEAR($A395)&amp;"-"&amp;RIGHT("0"&amp;MONTH($A395),2))</f>
        <v/>
      </c>
      <c r="C395" s="13" t="n"/>
      <c r="D395" s="13" t="n"/>
      <c r="E395" s="13" t="n"/>
      <c r="F395" s="13" t="n"/>
      <c r="G395" s="40" t="n"/>
      <c r="H395" s="38" t="n"/>
      <c r="I395" s="38" t="n"/>
      <c r="J395" s="38" t="n"/>
      <c r="K395" s="24">
        <f>IF($H395="","",$H395-N($J395))</f>
        <v/>
      </c>
      <c r="L395" s="25">
        <f>IFERROR($K395/$H395,"")</f>
        <v/>
      </c>
      <c r="M395" s="39">
        <f>IFERROR(INDEX('10_CLIENTI'!$B$5:$B$204,MATCH($D395,'10_CLIENTI'!$A$5:$A$204,0)),"")</f>
        <v/>
      </c>
      <c r="N395" s="39">
        <f>IFERROR(INDEX('11_PRODUSE'!$B$5:$B$104,MATCH($E395,'11_PRODUSE'!$A$5:$A$104,0)),"")</f>
        <v/>
      </c>
      <c r="O395" s="13" t="n"/>
      <c r="P395" s="13" t="n"/>
    </row>
    <row r="396">
      <c r="A396" s="35" t="n"/>
      <c r="B396" s="39">
        <f>IF($A396="","",YEAR($A396)&amp;"-"&amp;RIGHT("0"&amp;MONTH($A396),2))</f>
        <v/>
      </c>
      <c r="C396" s="13" t="n"/>
      <c r="D396" s="13" t="n"/>
      <c r="E396" s="13" t="n"/>
      <c r="F396" s="13" t="n"/>
      <c r="G396" s="40" t="n"/>
      <c r="H396" s="38" t="n"/>
      <c r="I396" s="38" t="n"/>
      <c r="J396" s="38" t="n"/>
      <c r="K396" s="24">
        <f>IF($H396="","",$H396-N($J396))</f>
        <v/>
      </c>
      <c r="L396" s="25">
        <f>IFERROR($K396/$H396,"")</f>
        <v/>
      </c>
      <c r="M396" s="39">
        <f>IFERROR(INDEX('10_CLIENTI'!$B$5:$B$204,MATCH($D396,'10_CLIENTI'!$A$5:$A$204,0)),"")</f>
        <v/>
      </c>
      <c r="N396" s="39">
        <f>IFERROR(INDEX('11_PRODUSE'!$B$5:$B$104,MATCH($E396,'11_PRODUSE'!$A$5:$A$104,0)),"")</f>
        <v/>
      </c>
      <c r="O396" s="13" t="n"/>
      <c r="P396" s="13" t="n"/>
    </row>
    <row r="397">
      <c r="A397" s="35" t="n"/>
      <c r="B397" s="39">
        <f>IF($A397="","",YEAR($A397)&amp;"-"&amp;RIGHT("0"&amp;MONTH($A397),2))</f>
        <v/>
      </c>
      <c r="C397" s="13" t="n"/>
      <c r="D397" s="13" t="n"/>
      <c r="E397" s="13" t="n"/>
      <c r="F397" s="13" t="n"/>
      <c r="G397" s="40" t="n"/>
      <c r="H397" s="38" t="n"/>
      <c r="I397" s="38" t="n"/>
      <c r="J397" s="38" t="n"/>
      <c r="K397" s="24">
        <f>IF($H397="","",$H397-N($J397))</f>
        <v/>
      </c>
      <c r="L397" s="25">
        <f>IFERROR($K397/$H397,"")</f>
        <v/>
      </c>
      <c r="M397" s="39">
        <f>IFERROR(INDEX('10_CLIENTI'!$B$5:$B$204,MATCH($D397,'10_CLIENTI'!$A$5:$A$204,0)),"")</f>
        <v/>
      </c>
      <c r="N397" s="39">
        <f>IFERROR(INDEX('11_PRODUSE'!$B$5:$B$104,MATCH($E397,'11_PRODUSE'!$A$5:$A$104,0)),"")</f>
        <v/>
      </c>
      <c r="O397" s="13" t="n"/>
      <c r="P397" s="13" t="n"/>
    </row>
    <row r="398">
      <c r="A398" s="35" t="n"/>
      <c r="B398" s="39">
        <f>IF($A398="","",YEAR($A398)&amp;"-"&amp;RIGHT("0"&amp;MONTH($A398),2))</f>
        <v/>
      </c>
      <c r="C398" s="13" t="n"/>
      <c r="D398" s="13" t="n"/>
      <c r="E398" s="13" t="n"/>
      <c r="F398" s="13" t="n"/>
      <c r="G398" s="40" t="n"/>
      <c r="H398" s="38" t="n"/>
      <c r="I398" s="38" t="n"/>
      <c r="J398" s="38" t="n"/>
      <c r="K398" s="24">
        <f>IF($H398="","",$H398-N($J398))</f>
        <v/>
      </c>
      <c r="L398" s="25">
        <f>IFERROR($K398/$H398,"")</f>
        <v/>
      </c>
      <c r="M398" s="39">
        <f>IFERROR(INDEX('10_CLIENTI'!$B$5:$B$204,MATCH($D398,'10_CLIENTI'!$A$5:$A$204,0)),"")</f>
        <v/>
      </c>
      <c r="N398" s="39">
        <f>IFERROR(INDEX('11_PRODUSE'!$B$5:$B$104,MATCH($E398,'11_PRODUSE'!$A$5:$A$104,0)),"")</f>
        <v/>
      </c>
      <c r="O398" s="13" t="n"/>
      <c r="P398" s="13" t="n"/>
    </row>
    <row r="399">
      <c r="A399" s="35" t="n"/>
      <c r="B399" s="39">
        <f>IF($A399="","",YEAR($A399)&amp;"-"&amp;RIGHT("0"&amp;MONTH($A399),2))</f>
        <v/>
      </c>
      <c r="C399" s="13" t="n"/>
      <c r="D399" s="13" t="n"/>
      <c r="E399" s="13" t="n"/>
      <c r="F399" s="13" t="n"/>
      <c r="G399" s="40" t="n"/>
      <c r="H399" s="38" t="n"/>
      <c r="I399" s="38" t="n"/>
      <c r="J399" s="38" t="n"/>
      <c r="K399" s="24">
        <f>IF($H399="","",$H399-N($J399))</f>
        <v/>
      </c>
      <c r="L399" s="25">
        <f>IFERROR($K399/$H399,"")</f>
        <v/>
      </c>
      <c r="M399" s="39">
        <f>IFERROR(INDEX('10_CLIENTI'!$B$5:$B$204,MATCH($D399,'10_CLIENTI'!$A$5:$A$204,0)),"")</f>
        <v/>
      </c>
      <c r="N399" s="39">
        <f>IFERROR(INDEX('11_PRODUSE'!$B$5:$B$104,MATCH($E399,'11_PRODUSE'!$A$5:$A$104,0)),"")</f>
        <v/>
      </c>
      <c r="O399" s="13" t="n"/>
      <c r="P399" s="13" t="n"/>
    </row>
    <row r="400">
      <c r="A400" s="35" t="n"/>
      <c r="B400" s="39">
        <f>IF($A400="","",YEAR($A400)&amp;"-"&amp;RIGHT("0"&amp;MONTH($A400),2))</f>
        <v/>
      </c>
      <c r="C400" s="13" t="n"/>
      <c r="D400" s="13" t="n"/>
      <c r="E400" s="13" t="n"/>
      <c r="F400" s="13" t="n"/>
      <c r="G400" s="40" t="n"/>
      <c r="H400" s="38" t="n"/>
      <c r="I400" s="38" t="n"/>
      <c r="J400" s="38" t="n"/>
      <c r="K400" s="24">
        <f>IF($H400="","",$H400-N($J400))</f>
        <v/>
      </c>
      <c r="L400" s="25">
        <f>IFERROR($K400/$H400,"")</f>
        <v/>
      </c>
      <c r="M400" s="39">
        <f>IFERROR(INDEX('10_CLIENTI'!$B$5:$B$204,MATCH($D400,'10_CLIENTI'!$A$5:$A$204,0)),"")</f>
        <v/>
      </c>
      <c r="N400" s="39">
        <f>IFERROR(INDEX('11_PRODUSE'!$B$5:$B$104,MATCH($E400,'11_PRODUSE'!$A$5:$A$104,0)),"")</f>
        <v/>
      </c>
      <c r="O400" s="13" t="n"/>
      <c r="P400" s="13" t="n"/>
    </row>
    <row r="401">
      <c r="A401" s="35" t="n"/>
      <c r="B401" s="39">
        <f>IF($A401="","",YEAR($A401)&amp;"-"&amp;RIGHT("0"&amp;MONTH($A401),2))</f>
        <v/>
      </c>
      <c r="C401" s="13" t="n"/>
      <c r="D401" s="13" t="n"/>
      <c r="E401" s="13" t="n"/>
      <c r="F401" s="13" t="n"/>
      <c r="G401" s="40" t="n"/>
      <c r="H401" s="38" t="n"/>
      <c r="I401" s="38" t="n"/>
      <c r="J401" s="38" t="n"/>
      <c r="K401" s="24">
        <f>IF($H401="","",$H401-N($J401))</f>
        <v/>
      </c>
      <c r="L401" s="25">
        <f>IFERROR($K401/$H401,"")</f>
        <v/>
      </c>
      <c r="M401" s="39">
        <f>IFERROR(INDEX('10_CLIENTI'!$B$5:$B$204,MATCH($D401,'10_CLIENTI'!$A$5:$A$204,0)),"")</f>
        <v/>
      </c>
      <c r="N401" s="39">
        <f>IFERROR(INDEX('11_PRODUSE'!$B$5:$B$104,MATCH($E401,'11_PRODUSE'!$A$5:$A$104,0)),"")</f>
        <v/>
      </c>
      <c r="O401" s="13" t="n"/>
      <c r="P401" s="13" t="n"/>
    </row>
    <row r="402">
      <c r="A402" s="35" t="n"/>
      <c r="B402" s="39">
        <f>IF($A402="","",YEAR($A402)&amp;"-"&amp;RIGHT("0"&amp;MONTH($A402),2))</f>
        <v/>
      </c>
      <c r="C402" s="13" t="n"/>
      <c r="D402" s="13" t="n"/>
      <c r="E402" s="13" t="n"/>
      <c r="F402" s="13" t="n"/>
      <c r="G402" s="40" t="n"/>
      <c r="H402" s="38" t="n"/>
      <c r="I402" s="38" t="n"/>
      <c r="J402" s="38" t="n"/>
      <c r="K402" s="24">
        <f>IF($H402="","",$H402-N($J402))</f>
        <v/>
      </c>
      <c r="L402" s="25">
        <f>IFERROR($K402/$H402,"")</f>
        <v/>
      </c>
      <c r="M402" s="39">
        <f>IFERROR(INDEX('10_CLIENTI'!$B$5:$B$204,MATCH($D402,'10_CLIENTI'!$A$5:$A$204,0)),"")</f>
        <v/>
      </c>
      <c r="N402" s="39">
        <f>IFERROR(INDEX('11_PRODUSE'!$B$5:$B$104,MATCH($E402,'11_PRODUSE'!$A$5:$A$104,0)),"")</f>
        <v/>
      </c>
      <c r="O402" s="13" t="n"/>
      <c r="P402" s="13" t="n"/>
    </row>
    <row r="403">
      <c r="A403" s="35" t="n"/>
      <c r="B403" s="39">
        <f>IF($A403="","",YEAR($A403)&amp;"-"&amp;RIGHT("0"&amp;MONTH($A403),2))</f>
        <v/>
      </c>
      <c r="C403" s="13" t="n"/>
      <c r="D403" s="13" t="n"/>
      <c r="E403" s="13" t="n"/>
      <c r="F403" s="13" t="n"/>
      <c r="G403" s="40" t="n"/>
      <c r="H403" s="38" t="n"/>
      <c r="I403" s="38" t="n"/>
      <c r="J403" s="38" t="n"/>
      <c r="K403" s="24">
        <f>IF($H403="","",$H403-N($J403))</f>
        <v/>
      </c>
      <c r="L403" s="25">
        <f>IFERROR($K403/$H403,"")</f>
        <v/>
      </c>
      <c r="M403" s="39">
        <f>IFERROR(INDEX('10_CLIENTI'!$B$5:$B$204,MATCH($D403,'10_CLIENTI'!$A$5:$A$204,0)),"")</f>
        <v/>
      </c>
      <c r="N403" s="39">
        <f>IFERROR(INDEX('11_PRODUSE'!$B$5:$B$104,MATCH($E403,'11_PRODUSE'!$A$5:$A$104,0)),"")</f>
        <v/>
      </c>
      <c r="O403" s="13" t="n"/>
      <c r="P403" s="13" t="n"/>
    </row>
    <row r="404">
      <c r="A404" s="35" t="n"/>
      <c r="B404" s="39">
        <f>IF($A404="","",YEAR($A404)&amp;"-"&amp;RIGHT("0"&amp;MONTH($A404),2))</f>
        <v/>
      </c>
      <c r="C404" s="13" t="n"/>
      <c r="D404" s="13" t="n"/>
      <c r="E404" s="13" t="n"/>
      <c r="F404" s="13" t="n"/>
      <c r="G404" s="40" t="n"/>
      <c r="H404" s="38" t="n"/>
      <c r="I404" s="38" t="n"/>
      <c r="J404" s="38" t="n"/>
      <c r="K404" s="24">
        <f>IF($H404="","",$H404-N($J404))</f>
        <v/>
      </c>
      <c r="L404" s="25">
        <f>IFERROR($K404/$H404,"")</f>
        <v/>
      </c>
      <c r="M404" s="39">
        <f>IFERROR(INDEX('10_CLIENTI'!$B$5:$B$204,MATCH($D404,'10_CLIENTI'!$A$5:$A$204,0)),"")</f>
        <v/>
      </c>
      <c r="N404" s="39">
        <f>IFERROR(INDEX('11_PRODUSE'!$B$5:$B$104,MATCH($E404,'11_PRODUSE'!$A$5:$A$104,0)),"")</f>
        <v/>
      </c>
      <c r="O404" s="13" t="n"/>
      <c r="P404" s="13" t="n"/>
    </row>
    <row r="405">
      <c r="A405" s="35" t="n"/>
      <c r="B405" s="39">
        <f>IF($A405="","",YEAR($A405)&amp;"-"&amp;RIGHT("0"&amp;MONTH($A405),2))</f>
        <v/>
      </c>
      <c r="C405" s="13" t="n"/>
      <c r="D405" s="13" t="n"/>
      <c r="E405" s="13" t="n"/>
      <c r="F405" s="13" t="n"/>
      <c r="G405" s="40" t="n"/>
      <c r="H405" s="38" t="n"/>
      <c r="I405" s="38" t="n"/>
      <c r="J405" s="38" t="n"/>
      <c r="K405" s="24">
        <f>IF($H405="","",$H405-N($J405))</f>
        <v/>
      </c>
      <c r="L405" s="25">
        <f>IFERROR($K405/$H405,"")</f>
        <v/>
      </c>
      <c r="M405" s="39">
        <f>IFERROR(INDEX('10_CLIENTI'!$B$5:$B$204,MATCH($D405,'10_CLIENTI'!$A$5:$A$204,0)),"")</f>
        <v/>
      </c>
      <c r="N405" s="39">
        <f>IFERROR(INDEX('11_PRODUSE'!$B$5:$B$104,MATCH($E405,'11_PRODUSE'!$A$5:$A$104,0)),"")</f>
        <v/>
      </c>
      <c r="O405" s="13" t="n"/>
      <c r="P405" s="13" t="n"/>
    </row>
    <row r="406">
      <c r="A406" s="35" t="n"/>
      <c r="B406" s="39">
        <f>IF($A406="","",YEAR($A406)&amp;"-"&amp;RIGHT("0"&amp;MONTH($A406),2))</f>
        <v/>
      </c>
      <c r="C406" s="13" t="n"/>
      <c r="D406" s="13" t="n"/>
      <c r="E406" s="13" t="n"/>
      <c r="F406" s="13" t="n"/>
      <c r="G406" s="40" t="n"/>
      <c r="H406" s="38" t="n"/>
      <c r="I406" s="38" t="n"/>
      <c r="J406" s="38" t="n"/>
      <c r="K406" s="24">
        <f>IF($H406="","",$H406-N($J406))</f>
        <v/>
      </c>
      <c r="L406" s="25">
        <f>IFERROR($K406/$H406,"")</f>
        <v/>
      </c>
      <c r="M406" s="39">
        <f>IFERROR(INDEX('10_CLIENTI'!$B$5:$B$204,MATCH($D406,'10_CLIENTI'!$A$5:$A$204,0)),"")</f>
        <v/>
      </c>
      <c r="N406" s="39">
        <f>IFERROR(INDEX('11_PRODUSE'!$B$5:$B$104,MATCH($E406,'11_PRODUSE'!$A$5:$A$104,0)),"")</f>
        <v/>
      </c>
      <c r="O406" s="13" t="n"/>
      <c r="P406" s="13" t="n"/>
    </row>
    <row r="407">
      <c r="A407" s="35" t="n"/>
      <c r="B407" s="39">
        <f>IF($A407="","",YEAR($A407)&amp;"-"&amp;RIGHT("0"&amp;MONTH($A407),2))</f>
        <v/>
      </c>
      <c r="C407" s="13" t="n"/>
      <c r="D407" s="13" t="n"/>
      <c r="E407" s="13" t="n"/>
      <c r="F407" s="13" t="n"/>
      <c r="G407" s="40" t="n"/>
      <c r="H407" s="38" t="n"/>
      <c r="I407" s="38" t="n"/>
      <c r="J407" s="38" t="n"/>
      <c r="K407" s="24">
        <f>IF($H407="","",$H407-N($J407))</f>
        <v/>
      </c>
      <c r="L407" s="25">
        <f>IFERROR($K407/$H407,"")</f>
        <v/>
      </c>
      <c r="M407" s="39">
        <f>IFERROR(INDEX('10_CLIENTI'!$B$5:$B$204,MATCH($D407,'10_CLIENTI'!$A$5:$A$204,0)),"")</f>
        <v/>
      </c>
      <c r="N407" s="39">
        <f>IFERROR(INDEX('11_PRODUSE'!$B$5:$B$104,MATCH($E407,'11_PRODUSE'!$A$5:$A$104,0)),"")</f>
        <v/>
      </c>
      <c r="O407" s="13" t="n"/>
      <c r="P407" s="13" t="n"/>
    </row>
    <row r="408">
      <c r="A408" s="35" t="n"/>
      <c r="B408" s="39">
        <f>IF($A408="","",YEAR($A408)&amp;"-"&amp;RIGHT("0"&amp;MONTH($A408),2))</f>
        <v/>
      </c>
      <c r="C408" s="13" t="n"/>
      <c r="D408" s="13" t="n"/>
      <c r="E408" s="13" t="n"/>
      <c r="F408" s="13" t="n"/>
      <c r="G408" s="40" t="n"/>
      <c r="H408" s="38" t="n"/>
      <c r="I408" s="38" t="n"/>
      <c r="J408" s="38" t="n"/>
      <c r="K408" s="24">
        <f>IF($H408="","",$H408-N($J408))</f>
        <v/>
      </c>
      <c r="L408" s="25">
        <f>IFERROR($K408/$H408,"")</f>
        <v/>
      </c>
      <c r="M408" s="39">
        <f>IFERROR(INDEX('10_CLIENTI'!$B$5:$B$204,MATCH($D408,'10_CLIENTI'!$A$5:$A$204,0)),"")</f>
        <v/>
      </c>
      <c r="N408" s="39">
        <f>IFERROR(INDEX('11_PRODUSE'!$B$5:$B$104,MATCH($E408,'11_PRODUSE'!$A$5:$A$104,0)),"")</f>
        <v/>
      </c>
      <c r="O408" s="13" t="n"/>
      <c r="P408" s="13" t="n"/>
    </row>
    <row r="409">
      <c r="A409" s="35" t="n"/>
      <c r="B409" s="39">
        <f>IF($A409="","",YEAR($A409)&amp;"-"&amp;RIGHT("0"&amp;MONTH($A409),2))</f>
        <v/>
      </c>
      <c r="C409" s="13" t="n"/>
      <c r="D409" s="13" t="n"/>
      <c r="E409" s="13" t="n"/>
      <c r="F409" s="13" t="n"/>
      <c r="G409" s="40" t="n"/>
      <c r="H409" s="38" t="n"/>
      <c r="I409" s="38" t="n"/>
      <c r="J409" s="38" t="n"/>
      <c r="K409" s="24">
        <f>IF($H409="","",$H409-N($J409))</f>
        <v/>
      </c>
      <c r="L409" s="25">
        <f>IFERROR($K409/$H409,"")</f>
        <v/>
      </c>
      <c r="M409" s="39">
        <f>IFERROR(INDEX('10_CLIENTI'!$B$5:$B$204,MATCH($D409,'10_CLIENTI'!$A$5:$A$204,0)),"")</f>
        <v/>
      </c>
      <c r="N409" s="39">
        <f>IFERROR(INDEX('11_PRODUSE'!$B$5:$B$104,MATCH($E409,'11_PRODUSE'!$A$5:$A$104,0)),"")</f>
        <v/>
      </c>
      <c r="O409" s="13" t="n"/>
      <c r="P409" s="13" t="n"/>
    </row>
    <row r="410">
      <c r="A410" s="35" t="n"/>
      <c r="B410" s="39">
        <f>IF($A410="","",YEAR($A410)&amp;"-"&amp;RIGHT("0"&amp;MONTH($A410),2))</f>
        <v/>
      </c>
      <c r="C410" s="13" t="n"/>
      <c r="D410" s="13" t="n"/>
      <c r="E410" s="13" t="n"/>
      <c r="F410" s="13" t="n"/>
      <c r="G410" s="40" t="n"/>
      <c r="H410" s="38" t="n"/>
      <c r="I410" s="38" t="n"/>
      <c r="J410" s="38" t="n"/>
      <c r="K410" s="24">
        <f>IF($H410="","",$H410-N($J410))</f>
        <v/>
      </c>
      <c r="L410" s="25">
        <f>IFERROR($K410/$H410,"")</f>
        <v/>
      </c>
      <c r="M410" s="39">
        <f>IFERROR(INDEX('10_CLIENTI'!$B$5:$B$204,MATCH($D410,'10_CLIENTI'!$A$5:$A$204,0)),"")</f>
        <v/>
      </c>
      <c r="N410" s="39">
        <f>IFERROR(INDEX('11_PRODUSE'!$B$5:$B$104,MATCH($E410,'11_PRODUSE'!$A$5:$A$104,0)),"")</f>
        <v/>
      </c>
      <c r="O410" s="13" t="n"/>
      <c r="P410" s="13" t="n"/>
    </row>
    <row r="411">
      <c r="A411" s="35" t="n"/>
      <c r="B411" s="39">
        <f>IF($A411="","",YEAR($A411)&amp;"-"&amp;RIGHT("0"&amp;MONTH($A411),2))</f>
        <v/>
      </c>
      <c r="C411" s="13" t="n"/>
      <c r="D411" s="13" t="n"/>
      <c r="E411" s="13" t="n"/>
      <c r="F411" s="13" t="n"/>
      <c r="G411" s="40" t="n"/>
      <c r="H411" s="38" t="n"/>
      <c r="I411" s="38" t="n"/>
      <c r="J411" s="38" t="n"/>
      <c r="K411" s="24">
        <f>IF($H411="","",$H411-N($J411))</f>
        <v/>
      </c>
      <c r="L411" s="25">
        <f>IFERROR($K411/$H411,"")</f>
        <v/>
      </c>
      <c r="M411" s="39">
        <f>IFERROR(INDEX('10_CLIENTI'!$B$5:$B$204,MATCH($D411,'10_CLIENTI'!$A$5:$A$204,0)),"")</f>
        <v/>
      </c>
      <c r="N411" s="39">
        <f>IFERROR(INDEX('11_PRODUSE'!$B$5:$B$104,MATCH($E411,'11_PRODUSE'!$A$5:$A$104,0)),"")</f>
        <v/>
      </c>
      <c r="O411" s="13" t="n"/>
      <c r="P411" s="13" t="n"/>
    </row>
    <row r="412">
      <c r="A412" s="35" t="n"/>
      <c r="B412" s="39">
        <f>IF($A412="","",YEAR($A412)&amp;"-"&amp;RIGHT("0"&amp;MONTH($A412),2))</f>
        <v/>
      </c>
      <c r="C412" s="13" t="n"/>
      <c r="D412" s="13" t="n"/>
      <c r="E412" s="13" t="n"/>
      <c r="F412" s="13" t="n"/>
      <c r="G412" s="40" t="n"/>
      <c r="H412" s="38" t="n"/>
      <c r="I412" s="38" t="n"/>
      <c r="J412" s="38" t="n"/>
      <c r="K412" s="24">
        <f>IF($H412="","",$H412-N($J412))</f>
        <v/>
      </c>
      <c r="L412" s="25">
        <f>IFERROR($K412/$H412,"")</f>
        <v/>
      </c>
      <c r="M412" s="39">
        <f>IFERROR(INDEX('10_CLIENTI'!$B$5:$B$204,MATCH($D412,'10_CLIENTI'!$A$5:$A$204,0)),"")</f>
        <v/>
      </c>
      <c r="N412" s="39">
        <f>IFERROR(INDEX('11_PRODUSE'!$B$5:$B$104,MATCH($E412,'11_PRODUSE'!$A$5:$A$104,0)),"")</f>
        <v/>
      </c>
      <c r="O412" s="13" t="n"/>
      <c r="P412" s="13" t="n"/>
    </row>
    <row r="413">
      <c r="A413" s="35" t="n"/>
      <c r="B413" s="39">
        <f>IF($A413="","",YEAR($A413)&amp;"-"&amp;RIGHT("0"&amp;MONTH($A413),2))</f>
        <v/>
      </c>
      <c r="C413" s="13" t="n"/>
      <c r="D413" s="13" t="n"/>
      <c r="E413" s="13" t="n"/>
      <c r="F413" s="13" t="n"/>
      <c r="G413" s="40" t="n"/>
      <c r="H413" s="38" t="n"/>
      <c r="I413" s="38" t="n"/>
      <c r="J413" s="38" t="n"/>
      <c r="K413" s="24">
        <f>IF($H413="","",$H413-N($J413))</f>
        <v/>
      </c>
      <c r="L413" s="25">
        <f>IFERROR($K413/$H413,"")</f>
        <v/>
      </c>
      <c r="M413" s="39">
        <f>IFERROR(INDEX('10_CLIENTI'!$B$5:$B$204,MATCH($D413,'10_CLIENTI'!$A$5:$A$204,0)),"")</f>
        <v/>
      </c>
      <c r="N413" s="39">
        <f>IFERROR(INDEX('11_PRODUSE'!$B$5:$B$104,MATCH($E413,'11_PRODUSE'!$A$5:$A$104,0)),"")</f>
        <v/>
      </c>
      <c r="O413" s="13" t="n"/>
      <c r="P413" s="13" t="n"/>
    </row>
    <row r="414">
      <c r="A414" s="35" t="n"/>
      <c r="B414" s="39">
        <f>IF($A414="","",YEAR($A414)&amp;"-"&amp;RIGHT("0"&amp;MONTH($A414),2))</f>
        <v/>
      </c>
      <c r="C414" s="13" t="n"/>
      <c r="D414" s="13" t="n"/>
      <c r="E414" s="13" t="n"/>
      <c r="F414" s="13" t="n"/>
      <c r="G414" s="40" t="n"/>
      <c r="H414" s="38" t="n"/>
      <c r="I414" s="38" t="n"/>
      <c r="J414" s="38" t="n"/>
      <c r="K414" s="24">
        <f>IF($H414="","",$H414-N($J414))</f>
        <v/>
      </c>
      <c r="L414" s="25">
        <f>IFERROR($K414/$H414,"")</f>
        <v/>
      </c>
      <c r="M414" s="39">
        <f>IFERROR(INDEX('10_CLIENTI'!$B$5:$B$204,MATCH($D414,'10_CLIENTI'!$A$5:$A$204,0)),"")</f>
        <v/>
      </c>
      <c r="N414" s="39">
        <f>IFERROR(INDEX('11_PRODUSE'!$B$5:$B$104,MATCH($E414,'11_PRODUSE'!$A$5:$A$104,0)),"")</f>
        <v/>
      </c>
      <c r="O414" s="13" t="n"/>
      <c r="P414" s="13" t="n"/>
    </row>
    <row r="415">
      <c r="A415" s="35" t="n"/>
      <c r="B415" s="39">
        <f>IF($A415="","",YEAR($A415)&amp;"-"&amp;RIGHT("0"&amp;MONTH($A415),2))</f>
        <v/>
      </c>
      <c r="C415" s="13" t="n"/>
      <c r="D415" s="13" t="n"/>
      <c r="E415" s="13" t="n"/>
      <c r="F415" s="13" t="n"/>
      <c r="G415" s="40" t="n"/>
      <c r="H415" s="38" t="n"/>
      <c r="I415" s="38" t="n"/>
      <c r="J415" s="38" t="n"/>
      <c r="K415" s="24">
        <f>IF($H415="","",$H415-N($J415))</f>
        <v/>
      </c>
      <c r="L415" s="25">
        <f>IFERROR($K415/$H415,"")</f>
        <v/>
      </c>
      <c r="M415" s="39">
        <f>IFERROR(INDEX('10_CLIENTI'!$B$5:$B$204,MATCH($D415,'10_CLIENTI'!$A$5:$A$204,0)),"")</f>
        <v/>
      </c>
      <c r="N415" s="39">
        <f>IFERROR(INDEX('11_PRODUSE'!$B$5:$B$104,MATCH($E415,'11_PRODUSE'!$A$5:$A$104,0)),"")</f>
        <v/>
      </c>
      <c r="O415" s="13" t="n"/>
      <c r="P415" s="13" t="n"/>
    </row>
    <row r="416">
      <c r="A416" s="35" t="n"/>
      <c r="B416" s="39">
        <f>IF($A416="","",YEAR($A416)&amp;"-"&amp;RIGHT("0"&amp;MONTH($A416),2))</f>
        <v/>
      </c>
      <c r="C416" s="13" t="n"/>
      <c r="D416" s="13" t="n"/>
      <c r="E416" s="13" t="n"/>
      <c r="F416" s="13" t="n"/>
      <c r="G416" s="40" t="n"/>
      <c r="H416" s="38" t="n"/>
      <c r="I416" s="38" t="n"/>
      <c r="J416" s="38" t="n"/>
      <c r="K416" s="24">
        <f>IF($H416="","",$H416-N($J416))</f>
        <v/>
      </c>
      <c r="L416" s="25">
        <f>IFERROR($K416/$H416,"")</f>
        <v/>
      </c>
      <c r="M416" s="39">
        <f>IFERROR(INDEX('10_CLIENTI'!$B$5:$B$204,MATCH($D416,'10_CLIENTI'!$A$5:$A$204,0)),"")</f>
        <v/>
      </c>
      <c r="N416" s="39">
        <f>IFERROR(INDEX('11_PRODUSE'!$B$5:$B$104,MATCH($E416,'11_PRODUSE'!$A$5:$A$104,0)),"")</f>
        <v/>
      </c>
      <c r="O416" s="13" t="n"/>
      <c r="P416" s="13" t="n"/>
    </row>
    <row r="417">
      <c r="A417" s="35" t="n"/>
      <c r="B417" s="39">
        <f>IF($A417="","",YEAR($A417)&amp;"-"&amp;RIGHT("0"&amp;MONTH($A417),2))</f>
        <v/>
      </c>
      <c r="C417" s="13" t="n"/>
      <c r="D417" s="13" t="n"/>
      <c r="E417" s="13" t="n"/>
      <c r="F417" s="13" t="n"/>
      <c r="G417" s="40" t="n"/>
      <c r="H417" s="38" t="n"/>
      <c r="I417" s="38" t="n"/>
      <c r="J417" s="38" t="n"/>
      <c r="K417" s="24">
        <f>IF($H417="","",$H417-N($J417))</f>
        <v/>
      </c>
      <c r="L417" s="25">
        <f>IFERROR($K417/$H417,"")</f>
        <v/>
      </c>
      <c r="M417" s="39">
        <f>IFERROR(INDEX('10_CLIENTI'!$B$5:$B$204,MATCH($D417,'10_CLIENTI'!$A$5:$A$204,0)),"")</f>
        <v/>
      </c>
      <c r="N417" s="39">
        <f>IFERROR(INDEX('11_PRODUSE'!$B$5:$B$104,MATCH($E417,'11_PRODUSE'!$A$5:$A$104,0)),"")</f>
        <v/>
      </c>
      <c r="O417" s="13" t="n"/>
      <c r="P417" s="13" t="n"/>
    </row>
    <row r="418">
      <c r="A418" s="35" t="n"/>
      <c r="B418" s="39">
        <f>IF($A418="","",YEAR($A418)&amp;"-"&amp;RIGHT("0"&amp;MONTH($A418),2))</f>
        <v/>
      </c>
      <c r="C418" s="13" t="n"/>
      <c r="D418" s="13" t="n"/>
      <c r="E418" s="13" t="n"/>
      <c r="F418" s="13" t="n"/>
      <c r="G418" s="40" t="n"/>
      <c r="H418" s="38" t="n"/>
      <c r="I418" s="38" t="n"/>
      <c r="J418" s="38" t="n"/>
      <c r="K418" s="24">
        <f>IF($H418="","",$H418-N($J418))</f>
        <v/>
      </c>
      <c r="L418" s="25">
        <f>IFERROR($K418/$H418,"")</f>
        <v/>
      </c>
      <c r="M418" s="39">
        <f>IFERROR(INDEX('10_CLIENTI'!$B$5:$B$204,MATCH($D418,'10_CLIENTI'!$A$5:$A$204,0)),"")</f>
        <v/>
      </c>
      <c r="N418" s="39">
        <f>IFERROR(INDEX('11_PRODUSE'!$B$5:$B$104,MATCH($E418,'11_PRODUSE'!$A$5:$A$104,0)),"")</f>
        <v/>
      </c>
      <c r="O418" s="13" t="n"/>
      <c r="P418" s="13" t="n"/>
    </row>
    <row r="419">
      <c r="A419" s="35" t="n"/>
      <c r="B419" s="39">
        <f>IF($A419="","",YEAR($A419)&amp;"-"&amp;RIGHT("0"&amp;MONTH($A419),2))</f>
        <v/>
      </c>
      <c r="C419" s="13" t="n"/>
      <c r="D419" s="13" t="n"/>
      <c r="E419" s="13" t="n"/>
      <c r="F419" s="13" t="n"/>
      <c r="G419" s="40" t="n"/>
      <c r="H419" s="38" t="n"/>
      <c r="I419" s="38" t="n"/>
      <c r="J419" s="38" t="n"/>
      <c r="K419" s="24">
        <f>IF($H419="","",$H419-N($J419))</f>
        <v/>
      </c>
      <c r="L419" s="25">
        <f>IFERROR($K419/$H419,"")</f>
        <v/>
      </c>
      <c r="M419" s="39">
        <f>IFERROR(INDEX('10_CLIENTI'!$B$5:$B$204,MATCH($D419,'10_CLIENTI'!$A$5:$A$204,0)),"")</f>
        <v/>
      </c>
      <c r="N419" s="39">
        <f>IFERROR(INDEX('11_PRODUSE'!$B$5:$B$104,MATCH($E419,'11_PRODUSE'!$A$5:$A$104,0)),"")</f>
        <v/>
      </c>
      <c r="O419" s="13" t="n"/>
      <c r="P419" s="13" t="n"/>
    </row>
    <row r="420">
      <c r="A420" s="35" t="n"/>
      <c r="B420" s="39">
        <f>IF($A420="","",YEAR($A420)&amp;"-"&amp;RIGHT("0"&amp;MONTH($A420),2))</f>
        <v/>
      </c>
      <c r="C420" s="13" t="n"/>
      <c r="D420" s="13" t="n"/>
      <c r="E420" s="13" t="n"/>
      <c r="F420" s="13" t="n"/>
      <c r="G420" s="40" t="n"/>
      <c r="H420" s="38" t="n"/>
      <c r="I420" s="38" t="n"/>
      <c r="J420" s="38" t="n"/>
      <c r="K420" s="24">
        <f>IF($H420="","",$H420-N($J420))</f>
        <v/>
      </c>
      <c r="L420" s="25">
        <f>IFERROR($K420/$H420,"")</f>
        <v/>
      </c>
      <c r="M420" s="39">
        <f>IFERROR(INDEX('10_CLIENTI'!$B$5:$B$204,MATCH($D420,'10_CLIENTI'!$A$5:$A$204,0)),"")</f>
        <v/>
      </c>
      <c r="N420" s="39">
        <f>IFERROR(INDEX('11_PRODUSE'!$B$5:$B$104,MATCH($E420,'11_PRODUSE'!$A$5:$A$104,0)),"")</f>
        <v/>
      </c>
      <c r="O420" s="13" t="n"/>
      <c r="P420" s="13" t="n"/>
    </row>
    <row r="421">
      <c r="A421" s="35" t="n"/>
      <c r="B421" s="39">
        <f>IF($A421="","",YEAR($A421)&amp;"-"&amp;RIGHT("0"&amp;MONTH($A421),2))</f>
        <v/>
      </c>
      <c r="C421" s="13" t="n"/>
      <c r="D421" s="13" t="n"/>
      <c r="E421" s="13" t="n"/>
      <c r="F421" s="13" t="n"/>
      <c r="G421" s="40" t="n"/>
      <c r="H421" s="38" t="n"/>
      <c r="I421" s="38" t="n"/>
      <c r="J421" s="38" t="n"/>
      <c r="K421" s="24">
        <f>IF($H421="","",$H421-N($J421))</f>
        <v/>
      </c>
      <c r="L421" s="25">
        <f>IFERROR($K421/$H421,"")</f>
        <v/>
      </c>
      <c r="M421" s="39">
        <f>IFERROR(INDEX('10_CLIENTI'!$B$5:$B$204,MATCH($D421,'10_CLIENTI'!$A$5:$A$204,0)),"")</f>
        <v/>
      </c>
      <c r="N421" s="39">
        <f>IFERROR(INDEX('11_PRODUSE'!$B$5:$B$104,MATCH($E421,'11_PRODUSE'!$A$5:$A$104,0)),"")</f>
        <v/>
      </c>
      <c r="O421" s="13" t="n"/>
      <c r="P421" s="13" t="n"/>
    </row>
    <row r="422">
      <c r="A422" s="35" t="n"/>
      <c r="B422" s="39">
        <f>IF($A422="","",YEAR($A422)&amp;"-"&amp;RIGHT("0"&amp;MONTH($A422),2))</f>
        <v/>
      </c>
      <c r="C422" s="13" t="n"/>
      <c r="D422" s="13" t="n"/>
      <c r="E422" s="13" t="n"/>
      <c r="F422" s="13" t="n"/>
      <c r="G422" s="40" t="n"/>
      <c r="H422" s="38" t="n"/>
      <c r="I422" s="38" t="n"/>
      <c r="J422" s="38" t="n"/>
      <c r="K422" s="24">
        <f>IF($H422="","",$H422-N($J422))</f>
        <v/>
      </c>
      <c r="L422" s="25">
        <f>IFERROR($K422/$H422,"")</f>
        <v/>
      </c>
      <c r="M422" s="39">
        <f>IFERROR(INDEX('10_CLIENTI'!$B$5:$B$204,MATCH($D422,'10_CLIENTI'!$A$5:$A$204,0)),"")</f>
        <v/>
      </c>
      <c r="N422" s="39">
        <f>IFERROR(INDEX('11_PRODUSE'!$B$5:$B$104,MATCH($E422,'11_PRODUSE'!$A$5:$A$104,0)),"")</f>
        <v/>
      </c>
      <c r="O422" s="13" t="n"/>
      <c r="P422" s="13" t="n"/>
    </row>
    <row r="423">
      <c r="A423" s="35" t="n"/>
      <c r="B423" s="39">
        <f>IF($A423="","",YEAR($A423)&amp;"-"&amp;RIGHT("0"&amp;MONTH($A423),2))</f>
        <v/>
      </c>
      <c r="C423" s="13" t="n"/>
      <c r="D423" s="13" t="n"/>
      <c r="E423" s="13" t="n"/>
      <c r="F423" s="13" t="n"/>
      <c r="G423" s="40" t="n"/>
      <c r="H423" s="38" t="n"/>
      <c r="I423" s="38" t="n"/>
      <c r="J423" s="38" t="n"/>
      <c r="K423" s="24">
        <f>IF($H423="","",$H423-N($J423))</f>
        <v/>
      </c>
      <c r="L423" s="25">
        <f>IFERROR($K423/$H423,"")</f>
        <v/>
      </c>
      <c r="M423" s="39">
        <f>IFERROR(INDEX('10_CLIENTI'!$B$5:$B$204,MATCH($D423,'10_CLIENTI'!$A$5:$A$204,0)),"")</f>
        <v/>
      </c>
      <c r="N423" s="39">
        <f>IFERROR(INDEX('11_PRODUSE'!$B$5:$B$104,MATCH($E423,'11_PRODUSE'!$A$5:$A$104,0)),"")</f>
        <v/>
      </c>
      <c r="O423" s="13" t="n"/>
      <c r="P423" s="13" t="n"/>
    </row>
    <row r="424">
      <c r="A424" s="35" t="n"/>
      <c r="B424" s="39">
        <f>IF($A424="","",YEAR($A424)&amp;"-"&amp;RIGHT("0"&amp;MONTH($A424),2))</f>
        <v/>
      </c>
      <c r="C424" s="13" t="n"/>
      <c r="D424" s="13" t="n"/>
      <c r="E424" s="13" t="n"/>
      <c r="F424" s="13" t="n"/>
      <c r="G424" s="40" t="n"/>
      <c r="H424" s="38" t="n"/>
      <c r="I424" s="38" t="n"/>
      <c r="J424" s="38" t="n"/>
      <c r="K424" s="24">
        <f>IF($H424="","",$H424-N($J424))</f>
        <v/>
      </c>
      <c r="L424" s="25">
        <f>IFERROR($K424/$H424,"")</f>
        <v/>
      </c>
      <c r="M424" s="39">
        <f>IFERROR(INDEX('10_CLIENTI'!$B$5:$B$204,MATCH($D424,'10_CLIENTI'!$A$5:$A$204,0)),"")</f>
        <v/>
      </c>
      <c r="N424" s="39">
        <f>IFERROR(INDEX('11_PRODUSE'!$B$5:$B$104,MATCH($E424,'11_PRODUSE'!$A$5:$A$104,0)),"")</f>
        <v/>
      </c>
      <c r="O424" s="13" t="n"/>
      <c r="P424" s="13" t="n"/>
    </row>
    <row r="425">
      <c r="A425" s="35" t="n"/>
      <c r="B425" s="39">
        <f>IF($A425="","",YEAR($A425)&amp;"-"&amp;RIGHT("0"&amp;MONTH($A425),2))</f>
        <v/>
      </c>
      <c r="C425" s="13" t="n"/>
      <c r="D425" s="13" t="n"/>
      <c r="E425" s="13" t="n"/>
      <c r="F425" s="13" t="n"/>
      <c r="G425" s="40" t="n"/>
      <c r="H425" s="38" t="n"/>
      <c r="I425" s="38" t="n"/>
      <c r="J425" s="38" t="n"/>
      <c r="K425" s="24">
        <f>IF($H425="","",$H425-N($J425))</f>
        <v/>
      </c>
      <c r="L425" s="25">
        <f>IFERROR($K425/$H425,"")</f>
        <v/>
      </c>
      <c r="M425" s="39">
        <f>IFERROR(INDEX('10_CLIENTI'!$B$5:$B$204,MATCH($D425,'10_CLIENTI'!$A$5:$A$204,0)),"")</f>
        <v/>
      </c>
      <c r="N425" s="39">
        <f>IFERROR(INDEX('11_PRODUSE'!$B$5:$B$104,MATCH($E425,'11_PRODUSE'!$A$5:$A$104,0)),"")</f>
        <v/>
      </c>
      <c r="O425" s="13" t="n"/>
      <c r="P425" s="13" t="n"/>
    </row>
    <row r="426">
      <c r="A426" s="35" t="n"/>
      <c r="B426" s="39">
        <f>IF($A426="","",YEAR($A426)&amp;"-"&amp;RIGHT("0"&amp;MONTH($A426),2))</f>
        <v/>
      </c>
      <c r="C426" s="13" t="n"/>
      <c r="D426" s="13" t="n"/>
      <c r="E426" s="13" t="n"/>
      <c r="F426" s="13" t="n"/>
      <c r="G426" s="40" t="n"/>
      <c r="H426" s="38" t="n"/>
      <c r="I426" s="38" t="n"/>
      <c r="J426" s="38" t="n"/>
      <c r="K426" s="24">
        <f>IF($H426="","",$H426-N($J426))</f>
        <v/>
      </c>
      <c r="L426" s="25">
        <f>IFERROR($K426/$H426,"")</f>
        <v/>
      </c>
      <c r="M426" s="39">
        <f>IFERROR(INDEX('10_CLIENTI'!$B$5:$B$204,MATCH($D426,'10_CLIENTI'!$A$5:$A$204,0)),"")</f>
        <v/>
      </c>
      <c r="N426" s="39">
        <f>IFERROR(INDEX('11_PRODUSE'!$B$5:$B$104,MATCH($E426,'11_PRODUSE'!$A$5:$A$104,0)),"")</f>
        <v/>
      </c>
      <c r="O426" s="13" t="n"/>
      <c r="P426" s="13" t="n"/>
    </row>
    <row r="427">
      <c r="A427" s="35" t="n"/>
      <c r="B427" s="39">
        <f>IF($A427="","",YEAR($A427)&amp;"-"&amp;RIGHT("0"&amp;MONTH($A427),2))</f>
        <v/>
      </c>
      <c r="C427" s="13" t="n"/>
      <c r="D427" s="13" t="n"/>
      <c r="E427" s="13" t="n"/>
      <c r="F427" s="13" t="n"/>
      <c r="G427" s="40" t="n"/>
      <c r="H427" s="38" t="n"/>
      <c r="I427" s="38" t="n"/>
      <c r="J427" s="38" t="n"/>
      <c r="K427" s="24">
        <f>IF($H427="","",$H427-N($J427))</f>
        <v/>
      </c>
      <c r="L427" s="25">
        <f>IFERROR($K427/$H427,"")</f>
        <v/>
      </c>
      <c r="M427" s="39">
        <f>IFERROR(INDEX('10_CLIENTI'!$B$5:$B$204,MATCH($D427,'10_CLIENTI'!$A$5:$A$204,0)),"")</f>
        <v/>
      </c>
      <c r="N427" s="39">
        <f>IFERROR(INDEX('11_PRODUSE'!$B$5:$B$104,MATCH($E427,'11_PRODUSE'!$A$5:$A$104,0)),"")</f>
        <v/>
      </c>
      <c r="O427" s="13" t="n"/>
      <c r="P427" s="13" t="n"/>
    </row>
    <row r="428">
      <c r="A428" s="35" t="n"/>
      <c r="B428" s="39">
        <f>IF($A428="","",YEAR($A428)&amp;"-"&amp;RIGHT("0"&amp;MONTH($A428),2))</f>
        <v/>
      </c>
      <c r="C428" s="13" t="n"/>
      <c r="D428" s="13" t="n"/>
      <c r="E428" s="13" t="n"/>
      <c r="F428" s="13" t="n"/>
      <c r="G428" s="40" t="n"/>
      <c r="H428" s="38" t="n"/>
      <c r="I428" s="38" t="n"/>
      <c r="J428" s="38" t="n"/>
      <c r="K428" s="24">
        <f>IF($H428="","",$H428-N($J428))</f>
        <v/>
      </c>
      <c r="L428" s="25">
        <f>IFERROR($K428/$H428,"")</f>
        <v/>
      </c>
      <c r="M428" s="39">
        <f>IFERROR(INDEX('10_CLIENTI'!$B$5:$B$204,MATCH($D428,'10_CLIENTI'!$A$5:$A$204,0)),"")</f>
        <v/>
      </c>
      <c r="N428" s="39">
        <f>IFERROR(INDEX('11_PRODUSE'!$B$5:$B$104,MATCH($E428,'11_PRODUSE'!$A$5:$A$104,0)),"")</f>
        <v/>
      </c>
      <c r="O428" s="13" t="n"/>
      <c r="P428" s="13" t="n"/>
    </row>
    <row r="429">
      <c r="A429" s="35" t="n"/>
      <c r="B429" s="39">
        <f>IF($A429="","",YEAR($A429)&amp;"-"&amp;RIGHT("0"&amp;MONTH($A429),2))</f>
        <v/>
      </c>
      <c r="C429" s="13" t="n"/>
      <c r="D429" s="13" t="n"/>
      <c r="E429" s="13" t="n"/>
      <c r="F429" s="13" t="n"/>
      <c r="G429" s="40" t="n"/>
      <c r="H429" s="38" t="n"/>
      <c r="I429" s="38" t="n"/>
      <c r="J429" s="38" t="n"/>
      <c r="K429" s="24">
        <f>IF($H429="","",$H429-N($J429))</f>
        <v/>
      </c>
      <c r="L429" s="25">
        <f>IFERROR($K429/$H429,"")</f>
        <v/>
      </c>
      <c r="M429" s="39">
        <f>IFERROR(INDEX('10_CLIENTI'!$B$5:$B$204,MATCH($D429,'10_CLIENTI'!$A$5:$A$204,0)),"")</f>
        <v/>
      </c>
      <c r="N429" s="39">
        <f>IFERROR(INDEX('11_PRODUSE'!$B$5:$B$104,MATCH($E429,'11_PRODUSE'!$A$5:$A$104,0)),"")</f>
        <v/>
      </c>
      <c r="O429" s="13" t="n"/>
      <c r="P429" s="13" t="n"/>
    </row>
    <row r="430">
      <c r="A430" s="35" t="n"/>
      <c r="B430" s="39">
        <f>IF($A430="","",YEAR($A430)&amp;"-"&amp;RIGHT("0"&amp;MONTH($A430),2))</f>
        <v/>
      </c>
      <c r="C430" s="13" t="n"/>
      <c r="D430" s="13" t="n"/>
      <c r="E430" s="13" t="n"/>
      <c r="F430" s="13" t="n"/>
      <c r="G430" s="40" t="n"/>
      <c r="H430" s="38" t="n"/>
      <c r="I430" s="38" t="n"/>
      <c r="J430" s="38" t="n"/>
      <c r="K430" s="24">
        <f>IF($H430="","",$H430-N($J430))</f>
        <v/>
      </c>
      <c r="L430" s="25">
        <f>IFERROR($K430/$H430,"")</f>
        <v/>
      </c>
      <c r="M430" s="39">
        <f>IFERROR(INDEX('10_CLIENTI'!$B$5:$B$204,MATCH($D430,'10_CLIENTI'!$A$5:$A$204,0)),"")</f>
        <v/>
      </c>
      <c r="N430" s="39">
        <f>IFERROR(INDEX('11_PRODUSE'!$B$5:$B$104,MATCH($E430,'11_PRODUSE'!$A$5:$A$104,0)),"")</f>
        <v/>
      </c>
      <c r="O430" s="13" t="n"/>
      <c r="P430" s="13" t="n"/>
    </row>
    <row r="431">
      <c r="A431" s="35" t="n"/>
      <c r="B431" s="39">
        <f>IF($A431="","",YEAR($A431)&amp;"-"&amp;RIGHT("0"&amp;MONTH($A431),2))</f>
        <v/>
      </c>
      <c r="C431" s="13" t="n"/>
      <c r="D431" s="13" t="n"/>
      <c r="E431" s="13" t="n"/>
      <c r="F431" s="13" t="n"/>
      <c r="G431" s="40" t="n"/>
      <c r="H431" s="38" t="n"/>
      <c r="I431" s="38" t="n"/>
      <c r="J431" s="38" t="n"/>
      <c r="K431" s="24">
        <f>IF($H431="","",$H431-N($J431))</f>
        <v/>
      </c>
      <c r="L431" s="25">
        <f>IFERROR($K431/$H431,"")</f>
        <v/>
      </c>
      <c r="M431" s="39">
        <f>IFERROR(INDEX('10_CLIENTI'!$B$5:$B$204,MATCH($D431,'10_CLIENTI'!$A$5:$A$204,0)),"")</f>
        <v/>
      </c>
      <c r="N431" s="39">
        <f>IFERROR(INDEX('11_PRODUSE'!$B$5:$B$104,MATCH($E431,'11_PRODUSE'!$A$5:$A$104,0)),"")</f>
        <v/>
      </c>
      <c r="O431" s="13" t="n"/>
      <c r="P431" s="13" t="n"/>
    </row>
    <row r="432">
      <c r="A432" s="35" t="n"/>
      <c r="B432" s="39">
        <f>IF($A432="","",YEAR($A432)&amp;"-"&amp;RIGHT("0"&amp;MONTH($A432),2))</f>
        <v/>
      </c>
      <c r="C432" s="13" t="n"/>
      <c r="D432" s="13" t="n"/>
      <c r="E432" s="13" t="n"/>
      <c r="F432" s="13" t="n"/>
      <c r="G432" s="40" t="n"/>
      <c r="H432" s="38" t="n"/>
      <c r="I432" s="38" t="n"/>
      <c r="J432" s="38" t="n"/>
      <c r="K432" s="24">
        <f>IF($H432="","",$H432-N($J432))</f>
        <v/>
      </c>
      <c r="L432" s="25">
        <f>IFERROR($K432/$H432,"")</f>
        <v/>
      </c>
      <c r="M432" s="39">
        <f>IFERROR(INDEX('10_CLIENTI'!$B$5:$B$204,MATCH($D432,'10_CLIENTI'!$A$5:$A$204,0)),"")</f>
        <v/>
      </c>
      <c r="N432" s="39">
        <f>IFERROR(INDEX('11_PRODUSE'!$B$5:$B$104,MATCH($E432,'11_PRODUSE'!$A$5:$A$104,0)),"")</f>
        <v/>
      </c>
      <c r="O432" s="13" t="n"/>
      <c r="P432" s="13" t="n"/>
    </row>
    <row r="433">
      <c r="A433" s="35" t="n"/>
      <c r="B433" s="39">
        <f>IF($A433="","",YEAR($A433)&amp;"-"&amp;RIGHT("0"&amp;MONTH($A433),2))</f>
        <v/>
      </c>
      <c r="C433" s="13" t="n"/>
      <c r="D433" s="13" t="n"/>
      <c r="E433" s="13" t="n"/>
      <c r="F433" s="13" t="n"/>
      <c r="G433" s="40" t="n"/>
      <c r="H433" s="38" t="n"/>
      <c r="I433" s="38" t="n"/>
      <c r="J433" s="38" t="n"/>
      <c r="K433" s="24">
        <f>IF($H433="","",$H433-N($J433))</f>
        <v/>
      </c>
      <c r="L433" s="25">
        <f>IFERROR($K433/$H433,"")</f>
        <v/>
      </c>
      <c r="M433" s="39">
        <f>IFERROR(INDEX('10_CLIENTI'!$B$5:$B$204,MATCH($D433,'10_CLIENTI'!$A$5:$A$204,0)),"")</f>
        <v/>
      </c>
      <c r="N433" s="39">
        <f>IFERROR(INDEX('11_PRODUSE'!$B$5:$B$104,MATCH($E433,'11_PRODUSE'!$A$5:$A$104,0)),"")</f>
        <v/>
      </c>
      <c r="O433" s="13" t="n"/>
      <c r="P433" s="13" t="n"/>
    </row>
    <row r="434">
      <c r="A434" s="35" t="n"/>
      <c r="B434" s="39">
        <f>IF($A434="","",YEAR($A434)&amp;"-"&amp;RIGHT("0"&amp;MONTH($A434),2))</f>
        <v/>
      </c>
      <c r="C434" s="13" t="n"/>
      <c r="D434" s="13" t="n"/>
      <c r="E434" s="13" t="n"/>
      <c r="F434" s="13" t="n"/>
      <c r="G434" s="40" t="n"/>
      <c r="H434" s="38" t="n"/>
      <c r="I434" s="38" t="n"/>
      <c r="J434" s="38" t="n"/>
      <c r="K434" s="24">
        <f>IF($H434="","",$H434-N($J434))</f>
        <v/>
      </c>
      <c r="L434" s="25">
        <f>IFERROR($K434/$H434,"")</f>
        <v/>
      </c>
      <c r="M434" s="39">
        <f>IFERROR(INDEX('10_CLIENTI'!$B$5:$B$204,MATCH($D434,'10_CLIENTI'!$A$5:$A$204,0)),"")</f>
        <v/>
      </c>
      <c r="N434" s="39">
        <f>IFERROR(INDEX('11_PRODUSE'!$B$5:$B$104,MATCH($E434,'11_PRODUSE'!$A$5:$A$104,0)),"")</f>
        <v/>
      </c>
      <c r="O434" s="13" t="n"/>
      <c r="P434" s="13" t="n"/>
    </row>
    <row r="435">
      <c r="A435" s="35" t="n"/>
      <c r="B435" s="39">
        <f>IF($A435="","",YEAR($A435)&amp;"-"&amp;RIGHT("0"&amp;MONTH($A435),2))</f>
        <v/>
      </c>
      <c r="C435" s="13" t="n"/>
      <c r="D435" s="13" t="n"/>
      <c r="E435" s="13" t="n"/>
      <c r="F435" s="13" t="n"/>
      <c r="G435" s="40" t="n"/>
      <c r="H435" s="38" t="n"/>
      <c r="I435" s="38" t="n"/>
      <c r="J435" s="38" t="n"/>
      <c r="K435" s="24">
        <f>IF($H435="","",$H435-N($J435))</f>
        <v/>
      </c>
      <c r="L435" s="25">
        <f>IFERROR($K435/$H435,"")</f>
        <v/>
      </c>
      <c r="M435" s="39">
        <f>IFERROR(INDEX('10_CLIENTI'!$B$5:$B$204,MATCH($D435,'10_CLIENTI'!$A$5:$A$204,0)),"")</f>
        <v/>
      </c>
      <c r="N435" s="39">
        <f>IFERROR(INDEX('11_PRODUSE'!$B$5:$B$104,MATCH($E435,'11_PRODUSE'!$A$5:$A$104,0)),"")</f>
        <v/>
      </c>
      <c r="O435" s="13" t="n"/>
      <c r="P435" s="13" t="n"/>
    </row>
    <row r="436">
      <c r="A436" s="35" t="n"/>
      <c r="B436" s="39">
        <f>IF($A436="","",YEAR($A436)&amp;"-"&amp;RIGHT("0"&amp;MONTH($A436),2))</f>
        <v/>
      </c>
      <c r="C436" s="13" t="n"/>
      <c r="D436" s="13" t="n"/>
      <c r="E436" s="13" t="n"/>
      <c r="F436" s="13" t="n"/>
      <c r="G436" s="40" t="n"/>
      <c r="H436" s="38" t="n"/>
      <c r="I436" s="38" t="n"/>
      <c r="J436" s="38" t="n"/>
      <c r="K436" s="24">
        <f>IF($H436="","",$H436-N($J436))</f>
        <v/>
      </c>
      <c r="L436" s="25">
        <f>IFERROR($K436/$H436,"")</f>
        <v/>
      </c>
      <c r="M436" s="39">
        <f>IFERROR(INDEX('10_CLIENTI'!$B$5:$B$204,MATCH($D436,'10_CLIENTI'!$A$5:$A$204,0)),"")</f>
        <v/>
      </c>
      <c r="N436" s="39">
        <f>IFERROR(INDEX('11_PRODUSE'!$B$5:$B$104,MATCH($E436,'11_PRODUSE'!$A$5:$A$104,0)),"")</f>
        <v/>
      </c>
      <c r="O436" s="13" t="n"/>
      <c r="P436" s="13" t="n"/>
    </row>
    <row r="437">
      <c r="A437" s="35" t="n"/>
      <c r="B437" s="39">
        <f>IF($A437="","",YEAR($A437)&amp;"-"&amp;RIGHT("0"&amp;MONTH($A437),2))</f>
        <v/>
      </c>
      <c r="C437" s="13" t="n"/>
      <c r="D437" s="13" t="n"/>
      <c r="E437" s="13" t="n"/>
      <c r="F437" s="13" t="n"/>
      <c r="G437" s="40" t="n"/>
      <c r="H437" s="38" t="n"/>
      <c r="I437" s="38" t="n"/>
      <c r="J437" s="38" t="n"/>
      <c r="K437" s="24">
        <f>IF($H437="","",$H437-N($J437))</f>
        <v/>
      </c>
      <c r="L437" s="25">
        <f>IFERROR($K437/$H437,"")</f>
        <v/>
      </c>
      <c r="M437" s="39">
        <f>IFERROR(INDEX('10_CLIENTI'!$B$5:$B$204,MATCH($D437,'10_CLIENTI'!$A$5:$A$204,0)),"")</f>
        <v/>
      </c>
      <c r="N437" s="39">
        <f>IFERROR(INDEX('11_PRODUSE'!$B$5:$B$104,MATCH($E437,'11_PRODUSE'!$A$5:$A$104,0)),"")</f>
        <v/>
      </c>
      <c r="O437" s="13" t="n"/>
      <c r="P437" s="13" t="n"/>
    </row>
    <row r="438">
      <c r="A438" s="35" t="n"/>
      <c r="B438" s="39">
        <f>IF($A438="","",YEAR($A438)&amp;"-"&amp;RIGHT("0"&amp;MONTH($A438),2))</f>
        <v/>
      </c>
      <c r="C438" s="13" t="n"/>
      <c r="D438" s="13" t="n"/>
      <c r="E438" s="13" t="n"/>
      <c r="F438" s="13" t="n"/>
      <c r="G438" s="40" t="n"/>
      <c r="H438" s="38" t="n"/>
      <c r="I438" s="38" t="n"/>
      <c r="J438" s="38" t="n"/>
      <c r="K438" s="24">
        <f>IF($H438="","",$H438-N($J438))</f>
        <v/>
      </c>
      <c r="L438" s="25">
        <f>IFERROR($K438/$H438,"")</f>
        <v/>
      </c>
      <c r="M438" s="39">
        <f>IFERROR(INDEX('10_CLIENTI'!$B$5:$B$204,MATCH($D438,'10_CLIENTI'!$A$5:$A$204,0)),"")</f>
        <v/>
      </c>
      <c r="N438" s="39">
        <f>IFERROR(INDEX('11_PRODUSE'!$B$5:$B$104,MATCH($E438,'11_PRODUSE'!$A$5:$A$104,0)),"")</f>
        <v/>
      </c>
      <c r="O438" s="13" t="n"/>
      <c r="P438" s="13" t="n"/>
    </row>
    <row r="439">
      <c r="A439" s="35" t="n"/>
      <c r="B439" s="39">
        <f>IF($A439="","",YEAR($A439)&amp;"-"&amp;RIGHT("0"&amp;MONTH($A439),2))</f>
        <v/>
      </c>
      <c r="C439" s="13" t="n"/>
      <c r="D439" s="13" t="n"/>
      <c r="E439" s="13" t="n"/>
      <c r="F439" s="13" t="n"/>
      <c r="G439" s="40" t="n"/>
      <c r="H439" s="38" t="n"/>
      <c r="I439" s="38" t="n"/>
      <c r="J439" s="38" t="n"/>
      <c r="K439" s="24">
        <f>IF($H439="","",$H439-N($J439))</f>
        <v/>
      </c>
      <c r="L439" s="25">
        <f>IFERROR($K439/$H439,"")</f>
        <v/>
      </c>
      <c r="M439" s="39">
        <f>IFERROR(INDEX('10_CLIENTI'!$B$5:$B$204,MATCH($D439,'10_CLIENTI'!$A$5:$A$204,0)),"")</f>
        <v/>
      </c>
      <c r="N439" s="39">
        <f>IFERROR(INDEX('11_PRODUSE'!$B$5:$B$104,MATCH($E439,'11_PRODUSE'!$A$5:$A$104,0)),"")</f>
        <v/>
      </c>
      <c r="O439" s="13" t="n"/>
      <c r="P439" s="13" t="n"/>
    </row>
    <row r="440">
      <c r="A440" s="35" t="n"/>
      <c r="B440" s="39">
        <f>IF($A440="","",YEAR($A440)&amp;"-"&amp;RIGHT("0"&amp;MONTH($A440),2))</f>
        <v/>
      </c>
      <c r="C440" s="13" t="n"/>
      <c r="D440" s="13" t="n"/>
      <c r="E440" s="13" t="n"/>
      <c r="F440" s="13" t="n"/>
      <c r="G440" s="40" t="n"/>
      <c r="H440" s="38" t="n"/>
      <c r="I440" s="38" t="n"/>
      <c r="J440" s="38" t="n"/>
      <c r="K440" s="24">
        <f>IF($H440="","",$H440-N($J440))</f>
        <v/>
      </c>
      <c r="L440" s="25">
        <f>IFERROR($K440/$H440,"")</f>
        <v/>
      </c>
      <c r="M440" s="39">
        <f>IFERROR(INDEX('10_CLIENTI'!$B$5:$B$204,MATCH($D440,'10_CLIENTI'!$A$5:$A$204,0)),"")</f>
        <v/>
      </c>
      <c r="N440" s="39">
        <f>IFERROR(INDEX('11_PRODUSE'!$B$5:$B$104,MATCH($E440,'11_PRODUSE'!$A$5:$A$104,0)),"")</f>
        <v/>
      </c>
      <c r="O440" s="13" t="n"/>
      <c r="P440" s="13" t="n"/>
    </row>
    <row r="441">
      <c r="A441" s="35" t="n"/>
      <c r="B441" s="39">
        <f>IF($A441="","",YEAR($A441)&amp;"-"&amp;RIGHT("0"&amp;MONTH($A441),2))</f>
        <v/>
      </c>
      <c r="C441" s="13" t="n"/>
      <c r="D441" s="13" t="n"/>
      <c r="E441" s="13" t="n"/>
      <c r="F441" s="13" t="n"/>
      <c r="G441" s="40" t="n"/>
      <c r="H441" s="38" t="n"/>
      <c r="I441" s="38" t="n"/>
      <c r="J441" s="38" t="n"/>
      <c r="K441" s="24">
        <f>IF($H441="","",$H441-N($J441))</f>
        <v/>
      </c>
      <c r="L441" s="25">
        <f>IFERROR($K441/$H441,"")</f>
        <v/>
      </c>
      <c r="M441" s="39">
        <f>IFERROR(INDEX('10_CLIENTI'!$B$5:$B$204,MATCH($D441,'10_CLIENTI'!$A$5:$A$204,0)),"")</f>
        <v/>
      </c>
      <c r="N441" s="39">
        <f>IFERROR(INDEX('11_PRODUSE'!$B$5:$B$104,MATCH($E441,'11_PRODUSE'!$A$5:$A$104,0)),"")</f>
        <v/>
      </c>
      <c r="O441" s="13" t="n"/>
      <c r="P441" s="13" t="n"/>
    </row>
    <row r="442">
      <c r="A442" s="35" t="n"/>
      <c r="B442" s="39">
        <f>IF($A442="","",YEAR($A442)&amp;"-"&amp;RIGHT("0"&amp;MONTH($A442),2))</f>
        <v/>
      </c>
      <c r="C442" s="13" t="n"/>
      <c r="D442" s="13" t="n"/>
      <c r="E442" s="13" t="n"/>
      <c r="F442" s="13" t="n"/>
      <c r="G442" s="40" t="n"/>
      <c r="H442" s="38" t="n"/>
      <c r="I442" s="38" t="n"/>
      <c r="J442" s="38" t="n"/>
      <c r="K442" s="24">
        <f>IF($H442="","",$H442-N($J442))</f>
        <v/>
      </c>
      <c r="L442" s="25">
        <f>IFERROR($K442/$H442,"")</f>
        <v/>
      </c>
      <c r="M442" s="39">
        <f>IFERROR(INDEX('10_CLIENTI'!$B$5:$B$204,MATCH($D442,'10_CLIENTI'!$A$5:$A$204,0)),"")</f>
        <v/>
      </c>
      <c r="N442" s="39">
        <f>IFERROR(INDEX('11_PRODUSE'!$B$5:$B$104,MATCH($E442,'11_PRODUSE'!$A$5:$A$104,0)),"")</f>
        <v/>
      </c>
      <c r="O442" s="13" t="n"/>
      <c r="P442" s="13" t="n"/>
    </row>
    <row r="443">
      <c r="A443" s="35" t="n"/>
      <c r="B443" s="39">
        <f>IF($A443="","",YEAR($A443)&amp;"-"&amp;RIGHT("0"&amp;MONTH($A443),2))</f>
        <v/>
      </c>
      <c r="C443" s="13" t="n"/>
      <c r="D443" s="13" t="n"/>
      <c r="E443" s="13" t="n"/>
      <c r="F443" s="13" t="n"/>
      <c r="G443" s="40" t="n"/>
      <c r="H443" s="38" t="n"/>
      <c r="I443" s="38" t="n"/>
      <c r="J443" s="38" t="n"/>
      <c r="K443" s="24">
        <f>IF($H443="","",$H443-N($J443))</f>
        <v/>
      </c>
      <c r="L443" s="25">
        <f>IFERROR($K443/$H443,"")</f>
        <v/>
      </c>
      <c r="M443" s="39">
        <f>IFERROR(INDEX('10_CLIENTI'!$B$5:$B$204,MATCH($D443,'10_CLIENTI'!$A$5:$A$204,0)),"")</f>
        <v/>
      </c>
      <c r="N443" s="39">
        <f>IFERROR(INDEX('11_PRODUSE'!$B$5:$B$104,MATCH($E443,'11_PRODUSE'!$A$5:$A$104,0)),"")</f>
        <v/>
      </c>
      <c r="O443" s="13" t="n"/>
      <c r="P443" s="13" t="n"/>
    </row>
    <row r="444">
      <c r="A444" s="35" t="n"/>
      <c r="B444" s="39">
        <f>IF($A444="","",YEAR($A444)&amp;"-"&amp;RIGHT("0"&amp;MONTH($A444),2))</f>
        <v/>
      </c>
      <c r="C444" s="13" t="n"/>
      <c r="D444" s="13" t="n"/>
      <c r="E444" s="13" t="n"/>
      <c r="F444" s="13" t="n"/>
      <c r="G444" s="40" t="n"/>
      <c r="H444" s="38" t="n"/>
      <c r="I444" s="38" t="n"/>
      <c r="J444" s="38" t="n"/>
      <c r="K444" s="24">
        <f>IF($H444="","",$H444-N($J444))</f>
        <v/>
      </c>
      <c r="L444" s="25">
        <f>IFERROR($K444/$H444,"")</f>
        <v/>
      </c>
      <c r="M444" s="39">
        <f>IFERROR(INDEX('10_CLIENTI'!$B$5:$B$204,MATCH($D444,'10_CLIENTI'!$A$5:$A$204,0)),"")</f>
        <v/>
      </c>
      <c r="N444" s="39">
        <f>IFERROR(INDEX('11_PRODUSE'!$B$5:$B$104,MATCH($E444,'11_PRODUSE'!$A$5:$A$104,0)),"")</f>
        <v/>
      </c>
      <c r="O444" s="13" t="n"/>
      <c r="P444" s="13" t="n"/>
    </row>
    <row r="445">
      <c r="A445" s="35" t="n"/>
      <c r="B445" s="39">
        <f>IF($A445="","",YEAR($A445)&amp;"-"&amp;RIGHT("0"&amp;MONTH($A445),2))</f>
        <v/>
      </c>
      <c r="C445" s="13" t="n"/>
      <c r="D445" s="13" t="n"/>
      <c r="E445" s="13" t="n"/>
      <c r="F445" s="13" t="n"/>
      <c r="G445" s="40" t="n"/>
      <c r="H445" s="38" t="n"/>
      <c r="I445" s="38" t="n"/>
      <c r="J445" s="38" t="n"/>
      <c r="K445" s="24">
        <f>IF($H445="","",$H445-N($J445))</f>
        <v/>
      </c>
      <c r="L445" s="25">
        <f>IFERROR($K445/$H445,"")</f>
        <v/>
      </c>
      <c r="M445" s="39">
        <f>IFERROR(INDEX('10_CLIENTI'!$B$5:$B$204,MATCH($D445,'10_CLIENTI'!$A$5:$A$204,0)),"")</f>
        <v/>
      </c>
      <c r="N445" s="39">
        <f>IFERROR(INDEX('11_PRODUSE'!$B$5:$B$104,MATCH($E445,'11_PRODUSE'!$A$5:$A$104,0)),"")</f>
        <v/>
      </c>
      <c r="O445" s="13" t="n"/>
      <c r="P445" s="13" t="n"/>
    </row>
    <row r="446">
      <c r="A446" s="35" t="n"/>
      <c r="B446" s="39">
        <f>IF($A446="","",YEAR($A446)&amp;"-"&amp;RIGHT("0"&amp;MONTH($A446),2))</f>
        <v/>
      </c>
      <c r="C446" s="13" t="n"/>
      <c r="D446" s="13" t="n"/>
      <c r="E446" s="13" t="n"/>
      <c r="F446" s="13" t="n"/>
      <c r="G446" s="40" t="n"/>
      <c r="H446" s="38" t="n"/>
      <c r="I446" s="38" t="n"/>
      <c r="J446" s="38" t="n"/>
      <c r="K446" s="24">
        <f>IF($H446="","",$H446-N($J446))</f>
        <v/>
      </c>
      <c r="L446" s="25">
        <f>IFERROR($K446/$H446,"")</f>
        <v/>
      </c>
      <c r="M446" s="39">
        <f>IFERROR(INDEX('10_CLIENTI'!$B$5:$B$204,MATCH($D446,'10_CLIENTI'!$A$5:$A$204,0)),"")</f>
        <v/>
      </c>
      <c r="N446" s="39">
        <f>IFERROR(INDEX('11_PRODUSE'!$B$5:$B$104,MATCH($E446,'11_PRODUSE'!$A$5:$A$104,0)),"")</f>
        <v/>
      </c>
      <c r="O446" s="13" t="n"/>
      <c r="P446" s="13" t="n"/>
    </row>
    <row r="447">
      <c r="A447" s="35" t="n"/>
      <c r="B447" s="39">
        <f>IF($A447="","",YEAR($A447)&amp;"-"&amp;RIGHT("0"&amp;MONTH($A447),2))</f>
        <v/>
      </c>
      <c r="C447" s="13" t="n"/>
      <c r="D447" s="13" t="n"/>
      <c r="E447" s="13" t="n"/>
      <c r="F447" s="13" t="n"/>
      <c r="G447" s="40" t="n"/>
      <c r="H447" s="38" t="n"/>
      <c r="I447" s="38" t="n"/>
      <c r="J447" s="38" t="n"/>
      <c r="K447" s="24">
        <f>IF($H447="","",$H447-N($J447))</f>
        <v/>
      </c>
      <c r="L447" s="25">
        <f>IFERROR($K447/$H447,"")</f>
        <v/>
      </c>
      <c r="M447" s="39">
        <f>IFERROR(INDEX('10_CLIENTI'!$B$5:$B$204,MATCH($D447,'10_CLIENTI'!$A$5:$A$204,0)),"")</f>
        <v/>
      </c>
      <c r="N447" s="39">
        <f>IFERROR(INDEX('11_PRODUSE'!$B$5:$B$104,MATCH($E447,'11_PRODUSE'!$A$5:$A$104,0)),"")</f>
        <v/>
      </c>
      <c r="O447" s="13" t="n"/>
      <c r="P447" s="13" t="n"/>
    </row>
    <row r="448">
      <c r="A448" s="35" t="n"/>
      <c r="B448" s="39">
        <f>IF($A448="","",YEAR($A448)&amp;"-"&amp;RIGHT("0"&amp;MONTH($A448),2))</f>
        <v/>
      </c>
      <c r="C448" s="13" t="n"/>
      <c r="D448" s="13" t="n"/>
      <c r="E448" s="13" t="n"/>
      <c r="F448" s="13" t="n"/>
      <c r="G448" s="40" t="n"/>
      <c r="H448" s="38" t="n"/>
      <c r="I448" s="38" t="n"/>
      <c r="J448" s="38" t="n"/>
      <c r="K448" s="24">
        <f>IF($H448="","",$H448-N($J448))</f>
        <v/>
      </c>
      <c r="L448" s="25">
        <f>IFERROR($K448/$H448,"")</f>
        <v/>
      </c>
      <c r="M448" s="39">
        <f>IFERROR(INDEX('10_CLIENTI'!$B$5:$B$204,MATCH($D448,'10_CLIENTI'!$A$5:$A$204,0)),"")</f>
        <v/>
      </c>
      <c r="N448" s="39">
        <f>IFERROR(INDEX('11_PRODUSE'!$B$5:$B$104,MATCH($E448,'11_PRODUSE'!$A$5:$A$104,0)),"")</f>
        <v/>
      </c>
      <c r="O448" s="13" t="n"/>
      <c r="P448" s="13" t="n"/>
    </row>
    <row r="449">
      <c r="A449" s="35" t="n"/>
      <c r="B449" s="39">
        <f>IF($A449="","",YEAR($A449)&amp;"-"&amp;RIGHT("0"&amp;MONTH($A449),2))</f>
        <v/>
      </c>
      <c r="C449" s="13" t="n"/>
      <c r="D449" s="13" t="n"/>
      <c r="E449" s="13" t="n"/>
      <c r="F449" s="13" t="n"/>
      <c r="G449" s="40" t="n"/>
      <c r="H449" s="38" t="n"/>
      <c r="I449" s="38" t="n"/>
      <c r="J449" s="38" t="n"/>
      <c r="K449" s="24">
        <f>IF($H449="","",$H449-N($J449))</f>
        <v/>
      </c>
      <c r="L449" s="25">
        <f>IFERROR($K449/$H449,"")</f>
        <v/>
      </c>
      <c r="M449" s="39">
        <f>IFERROR(INDEX('10_CLIENTI'!$B$5:$B$204,MATCH($D449,'10_CLIENTI'!$A$5:$A$204,0)),"")</f>
        <v/>
      </c>
      <c r="N449" s="39">
        <f>IFERROR(INDEX('11_PRODUSE'!$B$5:$B$104,MATCH($E449,'11_PRODUSE'!$A$5:$A$104,0)),"")</f>
        <v/>
      </c>
      <c r="O449" s="13" t="n"/>
      <c r="P449" s="13" t="n"/>
    </row>
    <row r="450">
      <c r="A450" s="35" t="n"/>
      <c r="B450" s="39">
        <f>IF($A450="","",YEAR($A450)&amp;"-"&amp;RIGHT("0"&amp;MONTH($A450),2))</f>
        <v/>
      </c>
      <c r="C450" s="13" t="n"/>
      <c r="D450" s="13" t="n"/>
      <c r="E450" s="13" t="n"/>
      <c r="F450" s="13" t="n"/>
      <c r="G450" s="40" t="n"/>
      <c r="H450" s="38" t="n"/>
      <c r="I450" s="38" t="n"/>
      <c r="J450" s="38" t="n"/>
      <c r="K450" s="24">
        <f>IF($H450="","",$H450-N($J450))</f>
        <v/>
      </c>
      <c r="L450" s="25">
        <f>IFERROR($K450/$H450,"")</f>
        <v/>
      </c>
      <c r="M450" s="39">
        <f>IFERROR(INDEX('10_CLIENTI'!$B$5:$B$204,MATCH($D450,'10_CLIENTI'!$A$5:$A$204,0)),"")</f>
        <v/>
      </c>
      <c r="N450" s="39">
        <f>IFERROR(INDEX('11_PRODUSE'!$B$5:$B$104,MATCH($E450,'11_PRODUSE'!$A$5:$A$104,0)),"")</f>
        <v/>
      </c>
      <c r="O450" s="13" t="n"/>
      <c r="P450" s="13" t="n"/>
    </row>
    <row r="451">
      <c r="A451" s="35" t="n"/>
      <c r="B451" s="39">
        <f>IF($A451="","",YEAR($A451)&amp;"-"&amp;RIGHT("0"&amp;MONTH($A451),2))</f>
        <v/>
      </c>
      <c r="C451" s="13" t="n"/>
      <c r="D451" s="13" t="n"/>
      <c r="E451" s="13" t="n"/>
      <c r="F451" s="13" t="n"/>
      <c r="G451" s="40" t="n"/>
      <c r="H451" s="38" t="n"/>
      <c r="I451" s="38" t="n"/>
      <c r="J451" s="38" t="n"/>
      <c r="K451" s="24">
        <f>IF($H451="","",$H451-N($J451))</f>
        <v/>
      </c>
      <c r="L451" s="25">
        <f>IFERROR($K451/$H451,"")</f>
        <v/>
      </c>
      <c r="M451" s="39">
        <f>IFERROR(INDEX('10_CLIENTI'!$B$5:$B$204,MATCH($D451,'10_CLIENTI'!$A$5:$A$204,0)),"")</f>
        <v/>
      </c>
      <c r="N451" s="39">
        <f>IFERROR(INDEX('11_PRODUSE'!$B$5:$B$104,MATCH($E451,'11_PRODUSE'!$A$5:$A$104,0)),"")</f>
        <v/>
      </c>
      <c r="O451" s="13" t="n"/>
      <c r="P451" s="13" t="n"/>
    </row>
    <row r="452">
      <c r="A452" s="35" t="n"/>
      <c r="B452" s="39">
        <f>IF($A452="","",YEAR($A452)&amp;"-"&amp;RIGHT("0"&amp;MONTH($A452),2))</f>
        <v/>
      </c>
      <c r="C452" s="13" t="n"/>
      <c r="D452" s="13" t="n"/>
      <c r="E452" s="13" t="n"/>
      <c r="F452" s="13" t="n"/>
      <c r="G452" s="40" t="n"/>
      <c r="H452" s="38" t="n"/>
      <c r="I452" s="38" t="n"/>
      <c r="J452" s="38" t="n"/>
      <c r="K452" s="24">
        <f>IF($H452="","",$H452-N($J452))</f>
        <v/>
      </c>
      <c r="L452" s="25">
        <f>IFERROR($K452/$H452,"")</f>
        <v/>
      </c>
      <c r="M452" s="39">
        <f>IFERROR(INDEX('10_CLIENTI'!$B$5:$B$204,MATCH($D452,'10_CLIENTI'!$A$5:$A$204,0)),"")</f>
        <v/>
      </c>
      <c r="N452" s="39">
        <f>IFERROR(INDEX('11_PRODUSE'!$B$5:$B$104,MATCH($E452,'11_PRODUSE'!$A$5:$A$104,0)),"")</f>
        <v/>
      </c>
      <c r="O452" s="13" t="n"/>
      <c r="P452" s="13" t="n"/>
    </row>
    <row r="453">
      <c r="A453" s="35" t="n"/>
      <c r="B453" s="39">
        <f>IF($A453="","",YEAR($A453)&amp;"-"&amp;RIGHT("0"&amp;MONTH($A453),2))</f>
        <v/>
      </c>
      <c r="C453" s="13" t="n"/>
      <c r="D453" s="13" t="n"/>
      <c r="E453" s="13" t="n"/>
      <c r="F453" s="13" t="n"/>
      <c r="G453" s="40" t="n"/>
      <c r="H453" s="38" t="n"/>
      <c r="I453" s="38" t="n"/>
      <c r="J453" s="38" t="n"/>
      <c r="K453" s="24">
        <f>IF($H453="","",$H453-N($J453))</f>
        <v/>
      </c>
      <c r="L453" s="25">
        <f>IFERROR($K453/$H453,"")</f>
        <v/>
      </c>
      <c r="M453" s="39">
        <f>IFERROR(INDEX('10_CLIENTI'!$B$5:$B$204,MATCH($D453,'10_CLIENTI'!$A$5:$A$204,0)),"")</f>
        <v/>
      </c>
      <c r="N453" s="39">
        <f>IFERROR(INDEX('11_PRODUSE'!$B$5:$B$104,MATCH($E453,'11_PRODUSE'!$A$5:$A$104,0)),"")</f>
        <v/>
      </c>
      <c r="O453" s="13" t="n"/>
      <c r="P453" s="13" t="n"/>
    </row>
    <row r="454">
      <c r="A454" s="35" t="n"/>
      <c r="B454" s="39">
        <f>IF($A454="","",YEAR($A454)&amp;"-"&amp;RIGHT("0"&amp;MONTH($A454),2))</f>
        <v/>
      </c>
      <c r="C454" s="13" t="n"/>
      <c r="D454" s="13" t="n"/>
      <c r="E454" s="13" t="n"/>
      <c r="F454" s="13" t="n"/>
      <c r="G454" s="40" t="n"/>
      <c r="H454" s="38" t="n"/>
      <c r="I454" s="38" t="n"/>
      <c r="J454" s="38" t="n"/>
      <c r="K454" s="24">
        <f>IF($H454="","",$H454-N($J454))</f>
        <v/>
      </c>
      <c r="L454" s="25">
        <f>IFERROR($K454/$H454,"")</f>
        <v/>
      </c>
      <c r="M454" s="39">
        <f>IFERROR(INDEX('10_CLIENTI'!$B$5:$B$204,MATCH($D454,'10_CLIENTI'!$A$5:$A$204,0)),"")</f>
        <v/>
      </c>
      <c r="N454" s="39">
        <f>IFERROR(INDEX('11_PRODUSE'!$B$5:$B$104,MATCH($E454,'11_PRODUSE'!$A$5:$A$104,0)),"")</f>
        <v/>
      </c>
      <c r="O454" s="13" t="n"/>
      <c r="P454" s="13" t="n"/>
    </row>
    <row r="455">
      <c r="A455" s="35" t="n"/>
      <c r="B455" s="39">
        <f>IF($A455="","",YEAR($A455)&amp;"-"&amp;RIGHT("0"&amp;MONTH($A455),2))</f>
        <v/>
      </c>
      <c r="C455" s="13" t="n"/>
      <c r="D455" s="13" t="n"/>
      <c r="E455" s="13" t="n"/>
      <c r="F455" s="13" t="n"/>
      <c r="G455" s="40" t="n"/>
      <c r="H455" s="38" t="n"/>
      <c r="I455" s="38" t="n"/>
      <c r="J455" s="38" t="n"/>
      <c r="K455" s="24">
        <f>IF($H455="","",$H455-N($J455))</f>
        <v/>
      </c>
      <c r="L455" s="25">
        <f>IFERROR($K455/$H455,"")</f>
        <v/>
      </c>
      <c r="M455" s="39">
        <f>IFERROR(INDEX('10_CLIENTI'!$B$5:$B$204,MATCH($D455,'10_CLIENTI'!$A$5:$A$204,0)),"")</f>
        <v/>
      </c>
      <c r="N455" s="39">
        <f>IFERROR(INDEX('11_PRODUSE'!$B$5:$B$104,MATCH($E455,'11_PRODUSE'!$A$5:$A$104,0)),"")</f>
        <v/>
      </c>
      <c r="O455" s="13" t="n"/>
      <c r="P455" s="13" t="n"/>
    </row>
    <row r="456">
      <c r="A456" s="35" t="n"/>
      <c r="B456" s="39">
        <f>IF($A456="","",YEAR($A456)&amp;"-"&amp;RIGHT("0"&amp;MONTH($A456),2))</f>
        <v/>
      </c>
      <c r="C456" s="13" t="n"/>
      <c r="D456" s="13" t="n"/>
      <c r="E456" s="13" t="n"/>
      <c r="F456" s="13" t="n"/>
      <c r="G456" s="40" t="n"/>
      <c r="H456" s="38" t="n"/>
      <c r="I456" s="38" t="n"/>
      <c r="J456" s="38" t="n"/>
      <c r="K456" s="24">
        <f>IF($H456="","",$H456-N($J456))</f>
        <v/>
      </c>
      <c r="L456" s="25">
        <f>IFERROR($K456/$H456,"")</f>
        <v/>
      </c>
      <c r="M456" s="39">
        <f>IFERROR(INDEX('10_CLIENTI'!$B$5:$B$204,MATCH($D456,'10_CLIENTI'!$A$5:$A$204,0)),"")</f>
        <v/>
      </c>
      <c r="N456" s="39">
        <f>IFERROR(INDEX('11_PRODUSE'!$B$5:$B$104,MATCH($E456,'11_PRODUSE'!$A$5:$A$104,0)),"")</f>
        <v/>
      </c>
      <c r="O456" s="13" t="n"/>
      <c r="P456" s="13" t="n"/>
    </row>
    <row r="457">
      <c r="A457" s="35" t="n"/>
      <c r="B457" s="39">
        <f>IF($A457="","",YEAR($A457)&amp;"-"&amp;RIGHT("0"&amp;MONTH($A457),2))</f>
        <v/>
      </c>
      <c r="C457" s="13" t="n"/>
      <c r="D457" s="13" t="n"/>
      <c r="E457" s="13" t="n"/>
      <c r="F457" s="13" t="n"/>
      <c r="G457" s="40" t="n"/>
      <c r="H457" s="38" t="n"/>
      <c r="I457" s="38" t="n"/>
      <c r="J457" s="38" t="n"/>
      <c r="K457" s="24">
        <f>IF($H457="","",$H457-N($J457))</f>
        <v/>
      </c>
      <c r="L457" s="25">
        <f>IFERROR($K457/$H457,"")</f>
        <v/>
      </c>
      <c r="M457" s="39">
        <f>IFERROR(INDEX('10_CLIENTI'!$B$5:$B$204,MATCH($D457,'10_CLIENTI'!$A$5:$A$204,0)),"")</f>
        <v/>
      </c>
      <c r="N457" s="39">
        <f>IFERROR(INDEX('11_PRODUSE'!$B$5:$B$104,MATCH($E457,'11_PRODUSE'!$A$5:$A$104,0)),"")</f>
        <v/>
      </c>
      <c r="O457" s="13" t="n"/>
      <c r="P457" s="13" t="n"/>
    </row>
    <row r="458">
      <c r="A458" s="35" t="n"/>
      <c r="B458" s="39">
        <f>IF($A458="","",YEAR($A458)&amp;"-"&amp;RIGHT("0"&amp;MONTH($A458),2))</f>
        <v/>
      </c>
      <c r="C458" s="13" t="n"/>
      <c r="D458" s="13" t="n"/>
      <c r="E458" s="13" t="n"/>
      <c r="F458" s="13" t="n"/>
      <c r="G458" s="40" t="n"/>
      <c r="H458" s="38" t="n"/>
      <c r="I458" s="38" t="n"/>
      <c r="J458" s="38" t="n"/>
      <c r="K458" s="24">
        <f>IF($H458="","",$H458-N($J458))</f>
        <v/>
      </c>
      <c r="L458" s="25">
        <f>IFERROR($K458/$H458,"")</f>
        <v/>
      </c>
      <c r="M458" s="39">
        <f>IFERROR(INDEX('10_CLIENTI'!$B$5:$B$204,MATCH($D458,'10_CLIENTI'!$A$5:$A$204,0)),"")</f>
        <v/>
      </c>
      <c r="N458" s="39">
        <f>IFERROR(INDEX('11_PRODUSE'!$B$5:$B$104,MATCH($E458,'11_PRODUSE'!$A$5:$A$104,0)),"")</f>
        <v/>
      </c>
      <c r="O458" s="13" t="n"/>
      <c r="P458" s="13" t="n"/>
    </row>
    <row r="459">
      <c r="A459" s="35" t="n"/>
      <c r="B459" s="39">
        <f>IF($A459="","",YEAR($A459)&amp;"-"&amp;RIGHT("0"&amp;MONTH($A459),2))</f>
        <v/>
      </c>
      <c r="C459" s="13" t="n"/>
      <c r="D459" s="13" t="n"/>
      <c r="E459" s="13" t="n"/>
      <c r="F459" s="13" t="n"/>
      <c r="G459" s="40" t="n"/>
      <c r="H459" s="38" t="n"/>
      <c r="I459" s="38" t="n"/>
      <c r="J459" s="38" t="n"/>
      <c r="K459" s="24">
        <f>IF($H459="","",$H459-N($J459))</f>
        <v/>
      </c>
      <c r="L459" s="25">
        <f>IFERROR($K459/$H459,"")</f>
        <v/>
      </c>
      <c r="M459" s="39">
        <f>IFERROR(INDEX('10_CLIENTI'!$B$5:$B$204,MATCH($D459,'10_CLIENTI'!$A$5:$A$204,0)),"")</f>
        <v/>
      </c>
      <c r="N459" s="39">
        <f>IFERROR(INDEX('11_PRODUSE'!$B$5:$B$104,MATCH($E459,'11_PRODUSE'!$A$5:$A$104,0)),"")</f>
        <v/>
      </c>
      <c r="O459" s="13" t="n"/>
      <c r="P459" s="13" t="n"/>
    </row>
    <row r="460">
      <c r="A460" s="35" t="n"/>
      <c r="B460" s="39">
        <f>IF($A460="","",YEAR($A460)&amp;"-"&amp;RIGHT("0"&amp;MONTH($A460),2))</f>
        <v/>
      </c>
      <c r="C460" s="13" t="n"/>
      <c r="D460" s="13" t="n"/>
      <c r="E460" s="13" t="n"/>
      <c r="F460" s="13" t="n"/>
      <c r="G460" s="40" t="n"/>
      <c r="H460" s="38" t="n"/>
      <c r="I460" s="38" t="n"/>
      <c r="J460" s="38" t="n"/>
      <c r="K460" s="24">
        <f>IF($H460="","",$H460-N($J460))</f>
        <v/>
      </c>
      <c r="L460" s="25">
        <f>IFERROR($K460/$H460,"")</f>
        <v/>
      </c>
      <c r="M460" s="39">
        <f>IFERROR(INDEX('10_CLIENTI'!$B$5:$B$204,MATCH($D460,'10_CLIENTI'!$A$5:$A$204,0)),"")</f>
        <v/>
      </c>
      <c r="N460" s="39">
        <f>IFERROR(INDEX('11_PRODUSE'!$B$5:$B$104,MATCH($E460,'11_PRODUSE'!$A$5:$A$104,0)),"")</f>
        <v/>
      </c>
      <c r="O460" s="13" t="n"/>
      <c r="P460" s="13" t="n"/>
    </row>
    <row r="461">
      <c r="A461" s="35" t="n"/>
      <c r="B461" s="39">
        <f>IF($A461="","",YEAR($A461)&amp;"-"&amp;RIGHT("0"&amp;MONTH($A461),2))</f>
        <v/>
      </c>
      <c r="C461" s="13" t="n"/>
      <c r="D461" s="13" t="n"/>
      <c r="E461" s="13" t="n"/>
      <c r="F461" s="13" t="n"/>
      <c r="G461" s="40" t="n"/>
      <c r="H461" s="38" t="n"/>
      <c r="I461" s="38" t="n"/>
      <c r="J461" s="38" t="n"/>
      <c r="K461" s="24">
        <f>IF($H461="","",$H461-N($J461))</f>
        <v/>
      </c>
      <c r="L461" s="25">
        <f>IFERROR($K461/$H461,"")</f>
        <v/>
      </c>
      <c r="M461" s="39">
        <f>IFERROR(INDEX('10_CLIENTI'!$B$5:$B$204,MATCH($D461,'10_CLIENTI'!$A$5:$A$204,0)),"")</f>
        <v/>
      </c>
      <c r="N461" s="39">
        <f>IFERROR(INDEX('11_PRODUSE'!$B$5:$B$104,MATCH($E461,'11_PRODUSE'!$A$5:$A$104,0)),"")</f>
        <v/>
      </c>
      <c r="O461" s="13" t="n"/>
      <c r="P461" s="13" t="n"/>
    </row>
    <row r="462">
      <c r="A462" s="35" t="n"/>
      <c r="B462" s="39">
        <f>IF($A462="","",YEAR($A462)&amp;"-"&amp;RIGHT("0"&amp;MONTH($A462),2))</f>
        <v/>
      </c>
      <c r="C462" s="13" t="n"/>
      <c r="D462" s="13" t="n"/>
      <c r="E462" s="13" t="n"/>
      <c r="F462" s="13" t="n"/>
      <c r="G462" s="40" t="n"/>
      <c r="H462" s="38" t="n"/>
      <c r="I462" s="38" t="n"/>
      <c r="J462" s="38" t="n"/>
      <c r="K462" s="24">
        <f>IF($H462="","",$H462-N($J462))</f>
        <v/>
      </c>
      <c r="L462" s="25">
        <f>IFERROR($K462/$H462,"")</f>
        <v/>
      </c>
      <c r="M462" s="39">
        <f>IFERROR(INDEX('10_CLIENTI'!$B$5:$B$204,MATCH($D462,'10_CLIENTI'!$A$5:$A$204,0)),"")</f>
        <v/>
      </c>
      <c r="N462" s="39">
        <f>IFERROR(INDEX('11_PRODUSE'!$B$5:$B$104,MATCH($E462,'11_PRODUSE'!$A$5:$A$104,0)),"")</f>
        <v/>
      </c>
      <c r="O462" s="13" t="n"/>
      <c r="P462" s="13" t="n"/>
    </row>
    <row r="463">
      <c r="A463" s="35" t="n"/>
      <c r="B463" s="39">
        <f>IF($A463="","",YEAR($A463)&amp;"-"&amp;RIGHT("0"&amp;MONTH($A463),2))</f>
        <v/>
      </c>
      <c r="C463" s="13" t="n"/>
      <c r="D463" s="13" t="n"/>
      <c r="E463" s="13" t="n"/>
      <c r="F463" s="13" t="n"/>
      <c r="G463" s="40" t="n"/>
      <c r="H463" s="38" t="n"/>
      <c r="I463" s="38" t="n"/>
      <c r="J463" s="38" t="n"/>
      <c r="K463" s="24">
        <f>IF($H463="","",$H463-N($J463))</f>
        <v/>
      </c>
      <c r="L463" s="25">
        <f>IFERROR($K463/$H463,"")</f>
        <v/>
      </c>
      <c r="M463" s="39">
        <f>IFERROR(INDEX('10_CLIENTI'!$B$5:$B$204,MATCH($D463,'10_CLIENTI'!$A$5:$A$204,0)),"")</f>
        <v/>
      </c>
      <c r="N463" s="39">
        <f>IFERROR(INDEX('11_PRODUSE'!$B$5:$B$104,MATCH($E463,'11_PRODUSE'!$A$5:$A$104,0)),"")</f>
        <v/>
      </c>
      <c r="O463" s="13" t="n"/>
      <c r="P463" s="13" t="n"/>
    </row>
    <row r="464">
      <c r="A464" s="35" t="n"/>
      <c r="B464" s="39">
        <f>IF($A464="","",YEAR($A464)&amp;"-"&amp;RIGHT("0"&amp;MONTH($A464),2))</f>
        <v/>
      </c>
      <c r="C464" s="13" t="n"/>
      <c r="D464" s="13" t="n"/>
      <c r="E464" s="13" t="n"/>
      <c r="F464" s="13" t="n"/>
      <c r="G464" s="40" t="n"/>
      <c r="H464" s="38" t="n"/>
      <c r="I464" s="38" t="n"/>
      <c r="J464" s="38" t="n"/>
      <c r="K464" s="24">
        <f>IF($H464="","",$H464-N($J464))</f>
        <v/>
      </c>
      <c r="L464" s="25">
        <f>IFERROR($K464/$H464,"")</f>
        <v/>
      </c>
      <c r="M464" s="39">
        <f>IFERROR(INDEX('10_CLIENTI'!$B$5:$B$204,MATCH($D464,'10_CLIENTI'!$A$5:$A$204,0)),"")</f>
        <v/>
      </c>
      <c r="N464" s="39">
        <f>IFERROR(INDEX('11_PRODUSE'!$B$5:$B$104,MATCH($E464,'11_PRODUSE'!$A$5:$A$104,0)),"")</f>
        <v/>
      </c>
      <c r="O464" s="13" t="n"/>
      <c r="P464" s="13" t="n"/>
    </row>
    <row r="465">
      <c r="A465" s="35" t="n"/>
      <c r="B465" s="39">
        <f>IF($A465="","",YEAR($A465)&amp;"-"&amp;RIGHT("0"&amp;MONTH($A465),2))</f>
        <v/>
      </c>
      <c r="C465" s="13" t="n"/>
      <c r="D465" s="13" t="n"/>
      <c r="E465" s="13" t="n"/>
      <c r="F465" s="13" t="n"/>
      <c r="G465" s="40" t="n"/>
      <c r="H465" s="38" t="n"/>
      <c r="I465" s="38" t="n"/>
      <c r="J465" s="38" t="n"/>
      <c r="K465" s="24">
        <f>IF($H465="","",$H465-N($J465))</f>
        <v/>
      </c>
      <c r="L465" s="25">
        <f>IFERROR($K465/$H465,"")</f>
        <v/>
      </c>
      <c r="M465" s="39">
        <f>IFERROR(INDEX('10_CLIENTI'!$B$5:$B$204,MATCH($D465,'10_CLIENTI'!$A$5:$A$204,0)),"")</f>
        <v/>
      </c>
      <c r="N465" s="39">
        <f>IFERROR(INDEX('11_PRODUSE'!$B$5:$B$104,MATCH($E465,'11_PRODUSE'!$A$5:$A$104,0)),"")</f>
        <v/>
      </c>
      <c r="O465" s="13" t="n"/>
      <c r="P465" s="13" t="n"/>
    </row>
    <row r="466">
      <c r="A466" s="35" t="n"/>
      <c r="B466" s="39">
        <f>IF($A466="","",YEAR($A466)&amp;"-"&amp;RIGHT("0"&amp;MONTH($A466),2))</f>
        <v/>
      </c>
      <c r="C466" s="13" t="n"/>
      <c r="D466" s="13" t="n"/>
      <c r="E466" s="13" t="n"/>
      <c r="F466" s="13" t="n"/>
      <c r="G466" s="40" t="n"/>
      <c r="H466" s="38" t="n"/>
      <c r="I466" s="38" t="n"/>
      <c r="J466" s="38" t="n"/>
      <c r="K466" s="24">
        <f>IF($H466="","",$H466-N($J466))</f>
        <v/>
      </c>
      <c r="L466" s="25">
        <f>IFERROR($K466/$H466,"")</f>
        <v/>
      </c>
      <c r="M466" s="39">
        <f>IFERROR(INDEX('10_CLIENTI'!$B$5:$B$204,MATCH($D466,'10_CLIENTI'!$A$5:$A$204,0)),"")</f>
        <v/>
      </c>
      <c r="N466" s="39">
        <f>IFERROR(INDEX('11_PRODUSE'!$B$5:$B$104,MATCH($E466,'11_PRODUSE'!$A$5:$A$104,0)),"")</f>
        <v/>
      </c>
      <c r="O466" s="13" t="n"/>
      <c r="P466" s="13" t="n"/>
    </row>
    <row r="467">
      <c r="A467" s="35" t="n"/>
      <c r="B467" s="39">
        <f>IF($A467="","",YEAR($A467)&amp;"-"&amp;RIGHT("0"&amp;MONTH($A467),2))</f>
        <v/>
      </c>
      <c r="C467" s="13" t="n"/>
      <c r="D467" s="13" t="n"/>
      <c r="E467" s="13" t="n"/>
      <c r="F467" s="13" t="n"/>
      <c r="G467" s="40" t="n"/>
      <c r="H467" s="38" t="n"/>
      <c r="I467" s="38" t="n"/>
      <c r="J467" s="38" t="n"/>
      <c r="K467" s="24">
        <f>IF($H467="","",$H467-N($J467))</f>
        <v/>
      </c>
      <c r="L467" s="25">
        <f>IFERROR($K467/$H467,"")</f>
        <v/>
      </c>
      <c r="M467" s="39">
        <f>IFERROR(INDEX('10_CLIENTI'!$B$5:$B$204,MATCH($D467,'10_CLIENTI'!$A$5:$A$204,0)),"")</f>
        <v/>
      </c>
      <c r="N467" s="39">
        <f>IFERROR(INDEX('11_PRODUSE'!$B$5:$B$104,MATCH($E467,'11_PRODUSE'!$A$5:$A$104,0)),"")</f>
        <v/>
      </c>
      <c r="O467" s="13" t="n"/>
      <c r="P467" s="13" t="n"/>
    </row>
    <row r="468">
      <c r="A468" s="35" t="n"/>
      <c r="B468" s="39">
        <f>IF($A468="","",YEAR($A468)&amp;"-"&amp;RIGHT("0"&amp;MONTH($A468),2))</f>
        <v/>
      </c>
      <c r="C468" s="13" t="n"/>
      <c r="D468" s="13" t="n"/>
      <c r="E468" s="13" t="n"/>
      <c r="F468" s="13" t="n"/>
      <c r="G468" s="40" t="n"/>
      <c r="H468" s="38" t="n"/>
      <c r="I468" s="38" t="n"/>
      <c r="J468" s="38" t="n"/>
      <c r="K468" s="24">
        <f>IF($H468="","",$H468-N($J468))</f>
        <v/>
      </c>
      <c r="L468" s="25">
        <f>IFERROR($K468/$H468,"")</f>
        <v/>
      </c>
      <c r="M468" s="39">
        <f>IFERROR(INDEX('10_CLIENTI'!$B$5:$B$204,MATCH($D468,'10_CLIENTI'!$A$5:$A$204,0)),"")</f>
        <v/>
      </c>
      <c r="N468" s="39">
        <f>IFERROR(INDEX('11_PRODUSE'!$B$5:$B$104,MATCH($E468,'11_PRODUSE'!$A$5:$A$104,0)),"")</f>
        <v/>
      </c>
      <c r="O468" s="13" t="n"/>
      <c r="P468" s="13" t="n"/>
    </row>
    <row r="469">
      <c r="A469" s="35" t="n"/>
      <c r="B469" s="39">
        <f>IF($A469="","",YEAR($A469)&amp;"-"&amp;RIGHT("0"&amp;MONTH($A469),2))</f>
        <v/>
      </c>
      <c r="C469" s="13" t="n"/>
      <c r="D469" s="13" t="n"/>
      <c r="E469" s="13" t="n"/>
      <c r="F469" s="13" t="n"/>
      <c r="G469" s="40" t="n"/>
      <c r="H469" s="38" t="n"/>
      <c r="I469" s="38" t="n"/>
      <c r="J469" s="38" t="n"/>
      <c r="K469" s="24">
        <f>IF($H469="","",$H469-N($J469))</f>
        <v/>
      </c>
      <c r="L469" s="25">
        <f>IFERROR($K469/$H469,"")</f>
        <v/>
      </c>
      <c r="M469" s="39">
        <f>IFERROR(INDEX('10_CLIENTI'!$B$5:$B$204,MATCH($D469,'10_CLIENTI'!$A$5:$A$204,0)),"")</f>
        <v/>
      </c>
      <c r="N469" s="39">
        <f>IFERROR(INDEX('11_PRODUSE'!$B$5:$B$104,MATCH($E469,'11_PRODUSE'!$A$5:$A$104,0)),"")</f>
        <v/>
      </c>
      <c r="O469" s="13" t="n"/>
      <c r="P469" s="13" t="n"/>
    </row>
    <row r="470">
      <c r="A470" s="35" t="n"/>
      <c r="B470" s="39">
        <f>IF($A470="","",YEAR($A470)&amp;"-"&amp;RIGHT("0"&amp;MONTH($A470),2))</f>
        <v/>
      </c>
      <c r="C470" s="13" t="n"/>
      <c r="D470" s="13" t="n"/>
      <c r="E470" s="13" t="n"/>
      <c r="F470" s="13" t="n"/>
      <c r="G470" s="40" t="n"/>
      <c r="H470" s="38" t="n"/>
      <c r="I470" s="38" t="n"/>
      <c r="J470" s="38" t="n"/>
      <c r="K470" s="24">
        <f>IF($H470="","",$H470-N($J470))</f>
        <v/>
      </c>
      <c r="L470" s="25">
        <f>IFERROR($K470/$H470,"")</f>
        <v/>
      </c>
      <c r="M470" s="39">
        <f>IFERROR(INDEX('10_CLIENTI'!$B$5:$B$204,MATCH($D470,'10_CLIENTI'!$A$5:$A$204,0)),"")</f>
        <v/>
      </c>
      <c r="N470" s="39">
        <f>IFERROR(INDEX('11_PRODUSE'!$B$5:$B$104,MATCH($E470,'11_PRODUSE'!$A$5:$A$104,0)),"")</f>
        <v/>
      </c>
      <c r="O470" s="13" t="n"/>
      <c r="P470" s="13" t="n"/>
    </row>
    <row r="471">
      <c r="A471" s="35" t="n"/>
      <c r="B471" s="39">
        <f>IF($A471="","",YEAR($A471)&amp;"-"&amp;RIGHT("0"&amp;MONTH($A471),2))</f>
        <v/>
      </c>
      <c r="C471" s="13" t="n"/>
      <c r="D471" s="13" t="n"/>
      <c r="E471" s="13" t="n"/>
      <c r="F471" s="13" t="n"/>
      <c r="G471" s="40" t="n"/>
      <c r="H471" s="38" t="n"/>
      <c r="I471" s="38" t="n"/>
      <c r="J471" s="38" t="n"/>
      <c r="K471" s="24">
        <f>IF($H471="","",$H471-N($J471))</f>
        <v/>
      </c>
      <c r="L471" s="25">
        <f>IFERROR($K471/$H471,"")</f>
        <v/>
      </c>
      <c r="M471" s="39">
        <f>IFERROR(INDEX('10_CLIENTI'!$B$5:$B$204,MATCH($D471,'10_CLIENTI'!$A$5:$A$204,0)),"")</f>
        <v/>
      </c>
      <c r="N471" s="39">
        <f>IFERROR(INDEX('11_PRODUSE'!$B$5:$B$104,MATCH($E471,'11_PRODUSE'!$A$5:$A$104,0)),"")</f>
        <v/>
      </c>
      <c r="O471" s="13" t="n"/>
      <c r="P471" s="13" t="n"/>
    </row>
    <row r="472">
      <c r="A472" s="35" t="n"/>
      <c r="B472" s="39">
        <f>IF($A472="","",YEAR($A472)&amp;"-"&amp;RIGHT("0"&amp;MONTH($A472),2))</f>
        <v/>
      </c>
      <c r="C472" s="13" t="n"/>
      <c r="D472" s="13" t="n"/>
      <c r="E472" s="13" t="n"/>
      <c r="F472" s="13" t="n"/>
      <c r="G472" s="40" t="n"/>
      <c r="H472" s="38" t="n"/>
      <c r="I472" s="38" t="n"/>
      <c r="J472" s="38" t="n"/>
      <c r="K472" s="24">
        <f>IF($H472="","",$H472-N($J472))</f>
        <v/>
      </c>
      <c r="L472" s="25">
        <f>IFERROR($K472/$H472,"")</f>
        <v/>
      </c>
      <c r="M472" s="39">
        <f>IFERROR(INDEX('10_CLIENTI'!$B$5:$B$204,MATCH($D472,'10_CLIENTI'!$A$5:$A$204,0)),"")</f>
        <v/>
      </c>
      <c r="N472" s="39">
        <f>IFERROR(INDEX('11_PRODUSE'!$B$5:$B$104,MATCH($E472,'11_PRODUSE'!$A$5:$A$104,0)),"")</f>
        <v/>
      </c>
      <c r="O472" s="13" t="n"/>
      <c r="P472" s="13" t="n"/>
    </row>
    <row r="473">
      <c r="A473" s="35" t="n"/>
      <c r="B473" s="39">
        <f>IF($A473="","",YEAR($A473)&amp;"-"&amp;RIGHT("0"&amp;MONTH($A473),2))</f>
        <v/>
      </c>
      <c r="C473" s="13" t="n"/>
      <c r="D473" s="13" t="n"/>
      <c r="E473" s="13" t="n"/>
      <c r="F473" s="13" t="n"/>
      <c r="G473" s="40" t="n"/>
      <c r="H473" s="38" t="n"/>
      <c r="I473" s="38" t="n"/>
      <c r="J473" s="38" t="n"/>
      <c r="K473" s="24">
        <f>IF($H473="","",$H473-N($J473))</f>
        <v/>
      </c>
      <c r="L473" s="25">
        <f>IFERROR($K473/$H473,"")</f>
        <v/>
      </c>
      <c r="M473" s="39">
        <f>IFERROR(INDEX('10_CLIENTI'!$B$5:$B$204,MATCH($D473,'10_CLIENTI'!$A$5:$A$204,0)),"")</f>
        <v/>
      </c>
      <c r="N473" s="39">
        <f>IFERROR(INDEX('11_PRODUSE'!$B$5:$B$104,MATCH($E473,'11_PRODUSE'!$A$5:$A$104,0)),"")</f>
        <v/>
      </c>
      <c r="O473" s="13" t="n"/>
      <c r="P473" s="13" t="n"/>
    </row>
    <row r="474">
      <c r="A474" s="35" t="n"/>
      <c r="B474" s="39">
        <f>IF($A474="","",YEAR($A474)&amp;"-"&amp;RIGHT("0"&amp;MONTH($A474),2))</f>
        <v/>
      </c>
      <c r="C474" s="13" t="n"/>
      <c r="D474" s="13" t="n"/>
      <c r="E474" s="13" t="n"/>
      <c r="F474" s="13" t="n"/>
      <c r="G474" s="40" t="n"/>
      <c r="H474" s="38" t="n"/>
      <c r="I474" s="38" t="n"/>
      <c r="J474" s="38" t="n"/>
      <c r="K474" s="24">
        <f>IF($H474="","",$H474-N($J474))</f>
        <v/>
      </c>
      <c r="L474" s="25">
        <f>IFERROR($K474/$H474,"")</f>
        <v/>
      </c>
      <c r="M474" s="39">
        <f>IFERROR(INDEX('10_CLIENTI'!$B$5:$B$204,MATCH($D474,'10_CLIENTI'!$A$5:$A$204,0)),"")</f>
        <v/>
      </c>
      <c r="N474" s="39">
        <f>IFERROR(INDEX('11_PRODUSE'!$B$5:$B$104,MATCH($E474,'11_PRODUSE'!$A$5:$A$104,0)),"")</f>
        <v/>
      </c>
      <c r="O474" s="13" t="n"/>
      <c r="P474" s="13" t="n"/>
    </row>
    <row r="475">
      <c r="A475" s="35" t="n"/>
      <c r="B475" s="39">
        <f>IF($A475="","",YEAR($A475)&amp;"-"&amp;RIGHT("0"&amp;MONTH($A475),2))</f>
        <v/>
      </c>
      <c r="C475" s="13" t="n"/>
      <c r="D475" s="13" t="n"/>
      <c r="E475" s="13" t="n"/>
      <c r="F475" s="13" t="n"/>
      <c r="G475" s="40" t="n"/>
      <c r="H475" s="38" t="n"/>
      <c r="I475" s="38" t="n"/>
      <c r="J475" s="38" t="n"/>
      <c r="K475" s="24">
        <f>IF($H475="","",$H475-N($J475))</f>
        <v/>
      </c>
      <c r="L475" s="25">
        <f>IFERROR($K475/$H475,"")</f>
        <v/>
      </c>
      <c r="M475" s="39">
        <f>IFERROR(INDEX('10_CLIENTI'!$B$5:$B$204,MATCH($D475,'10_CLIENTI'!$A$5:$A$204,0)),"")</f>
        <v/>
      </c>
      <c r="N475" s="39">
        <f>IFERROR(INDEX('11_PRODUSE'!$B$5:$B$104,MATCH($E475,'11_PRODUSE'!$A$5:$A$104,0)),"")</f>
        <v/>
      </c>
      <c r="O475" s="13" t="n"/>
      <c r="P475" s="13" t="n"/>
    </row>
    <row r="476">
      <c r="A476" s="35" t="n"/>
      <c r="B476" s="39">
        <f>IF($A476="","",YEAR($A476)&amp;"-"&amp;RIGHT("0"&amp;MONTH($A476),2))</f>
        <v/>
      </c>
      <c r="C476" s="13" t="n"/>
      <c r="D476" s="13" t="n"/>
      <c r="E476" s="13" t="n"/>
      <c r="F476" s="13" t="n"/>
      <c r="G476" s="40" t="n"/>
      <c r="H476" s="38" t="n"/>
      <c r="I476" s="38" t="n"/>
      <c r="J476" s="38" t="n"/>
      <c r="K476" s="24">
        <f>IF($H476="","",$H476-N($J476))</f>
        <v/>
      </c>
      <c r="L476" s="25">
        <f>IFERROR($K476/$H476,"")</f>
        <v/>
      </c>
      <c r="M476" s="39">
        <f>IFERROR(INDEX('10_CLIENTI'!$B$5:$B$204,MATCH($D476,'10_CLIENTI'!$A$5:$A$204,0)),"")</f>
        <v/>
      </c>
      <c r="N476" s="39">
        <f>IFERROR(INDEX('11_PRODUSE'!$B$5:$B$104,MATCH($E476,'11_PRODUSE'!$A$5:$A$104,0)),"")</f>
        <v/>
      </c>
      <c r="O476" s="13" t="n"/>
      <c r="P476" s="13" t="n"/>
    </row>
    <row r="477">
      <c r="A477" s="35" t="n"/>
      <c r="B477" s="39">
        <f>IF($A477="","",YEAR($A477)&amp;"-"&amp;RIGHT("0"&amp;MONTH($A477),2))</f>
        <v/>
      </c>
      <c r="C477" s="13" t="n"/>
      <c r="D477" s="13" t="n"/>
      <c r="E477" s="13" t="n"/>
      <c r="F477" s="13" t="n"/>
      <c r="G477" s="40" t="n"/>
      <c r="H477" s="38" t="n"/>
      <c r="I477" s="38" t="n"/>
      <c r="J477" s="38" t="n"/>
      <c r="K477" s="24">
        <f>IF($H477="","",$H477-N($J477))</f>
        <v/>
      </c>
      <c r="L477" s="25">
        <f>IFERROR($K477/$H477,"")</f>
        <v/>
      </c>
      <c r="M477" s="39">
        <f>IFERROR(INDEX('10_CLIENTI'!$B$5:$B$204,MATCH($D477,'10_CLIENTI'!$A$5:$A$204,0)),"")</f>
        <v/>
      </c>
      <c r="N477" s="39">
        <f>IFERROR(INDEX('11_PRODUSE'!$B$5:$B$104,MATCH($E477,'11_PRODUSE'!$A$5:$A$104,0)),"")</f>
        <v/>
      </c>
      <c r="O477" s="13" t="n"/>
      <c r="P477" s="13" t="n"/>
    </row>
    <row r="478">
      <c r="A478" s="35" t="n"/>
      <c r="B478" s="39">
        <f>IF($A478="","",YEAR($A478)&amp;"-"&amp;RIGHT("0"&amp;MONTH($A478),2))</f>
        <v/>
      </c>
      <c r="C478" s="13" t="n"/>
      <c r="D478" s="13" t="n"/>
      <c r="E478" s="13" t="n"/>
      <c r="F478" s="13" t="n"/>
      <c r="G478" s="40" t="n"/>
      <c r="H478" s="38" t="n"/>
      <c r="I478" s="38" t="n"/>
      <c r="J478" s="38" t="n"/>
      <c r="K478" s="24">
        <f>IF($H478="","",$H478-N($J478))</f>
        <v/>
      </c>
      <c r="L478" s="25">
        <f>IFERROR($K478/$H478,"")</f>
        <v/>
      </c>
      <c r="M478" s="39">
        <f>IFERROR(INDEX('10_CLIENTI'!$B$5:$B$204,MATCH($D478,'10_CLIENTI'!$A$5:$A$204,0)),"")</f>
        <v/>
      </c>
      <c r="N478" s="39">
        <f>IFERROR(INDEX('11_PRODUSE'!$B$5:$B$104,MATCH($E478,'11_PRODUSE'!$A$5:$A$104,0)),"")</f>
        <v/>
      </c>
      <c r="O478" s="13" t="n"/>
      <c r="P478" s="13" t="n"/>
    </row>
    <row r="479">
      <c r="A479" s="35" t="n"/>
      <c r="B479" s="39">
        <f>IF($A479="","",YEAR($A479)&amp;"-"&amp;RIGHT("0"&amp;MONTH($A479),2))</f>
        <v/>
      </c>
      <c r="C479" s="13" t="n"/>
      <c r="D479" s="13" t="n"/>
      <c r="E479" s="13" t="n"/>
      <c r="F479" s="13" t="n"/>
      <c r="G479" s="40" t="n"/>
      <c r="H479" s="38" t="n"/>
      <c r="I479" s="38" t="n"/>
      <c r="J479" s="38" t="n"/>
      <c r="K479" s="24">
        <f>IF($H479="","",$H479-N($J479))</f>
        <v/>
      </c>
      <c r="L479" s="25">
        <f>IFERROR($K479/$H479,"")</f>
        <v/>
      </c>
      <c r="M479" s="39">
        <f>IFERROR(INDEX('10_CLIENTI'!$B$5:$B$204,MATCH($D479,'10_CLIENTI'!$A$5:$A$204,0)),"")</f>
        <v/>
      </c>
      <c r="N479" s="39">
        <f>IFERROR(INDEX('11_PRODUSE'!$B$5:$B$104,MATCH($E479,'11_PRODUSE'!$A$5:$A$104,0)),"")</f>
        <v/>
      </c>
      <c r="O479" s="13" t="n"/>
      <c r="P479" s="13" t="n"/>
    </row>
    <row r="480">
      <c r="A480" s="35" t="n"/>
      <c r="B480" s="39">
        <f>IF($A480="","",YEAR($A480)&amp;"-"&amp;RIGHT("0"&amp;MONTH($A480),2))</f>
        <v/>
      </c>
      <c r="C480" s="13" t="n"/>
      <c r="D480" s="13" t="n"/>
      <c r="E480" s="13" t="n"/>
      <c r="F480" s="13" t="n"/>
      <c r="G480" s="40" t="n"/>
      <c r="H480" s="38" t="n"/>
      <c r="I480" s="38" t="n"/>
      <c r="J480" s="38" t="n"/>
      <c r="K480" s="24">
        <f>IF($H480="","",$H480-N($J480))</f>
        <v/>
      </c>
      <c r="L480" s="25">
        <f>IFERROR($K480/$H480,"")</f>
        <v/>
      </c>
      <c r="M480" s="39">
        <f>IFERROR(INDEX('10_CLIENTI'!$B$5:$B$204,MATCH($D480,'10_CLIENTI'!$A$5:$A$204,0)),"")</f>
        <v/>
      </c>
      <c r="N480" s="39">
        <f>IFERROR(INDEX('11_PRODUSE'!$B$5:$B$104,MATCH($E480,'11_PRODUSE'!$A$5:$A$104,0)),"")</f>
        <v/>
      </c>
      <c r="O480" s="13" t="n"/>
      <c r="P480" s="13" t="n"/>
    </row>
    <row r="481">
      <c r="A481" s="35" t="n"/>
      <c r="B481" s="39">
        <f>IF($A481="","",YEAR($A481)&amp;"-"&amp;RIGHT("0"&amp;MONTH($A481),2))</f>
        <v/>
      </c>
      <c r="C481" s="13" t="n"/>
      <c r="D481" s="13" t="n"/>
      <c r="E481" s="13" t="n"/>
      <c r="F481" s="13" t="n"/>
      <c r="G481" s="40" t="n"/>
      <c r="H481" s="38" t="n"/>
      <c r="I481" s="38" t="n"/>
      <c r="J481" s="38" t="n"/>
      <c r="K481" s="24">
        <f>IF($H481="","",$H481-N($J481))</f>
        <v/>
      </c>
      <c r="L481" s="25">
        <f>IFERROR($K481/$H481,"")</f>
        <v/>
      </c>
      <c r="M481" s="39">
        <f>IFERROR(INDEX('10_CLIENTI'!$B$5:$B$204,MATCH($D481,'10_CLIENTI'!$A$5:$A$204,0)),"")</f>
        <v/>
      </c>
      <c r="N481" s="39">
        <f>IFERROR(INDEX('11_PRODUSE'!$B$5:$B$104,MATCH($E481,'11_PRODUSE'!$A$5:$A$104,0)),"")</f>
        <v/>
      </c>
      <c r="O481" s="13" t="n"/>
      <c r="P481" s="13" t="n"/>
    </row>
    <row r="482">
      <c r="A482" s="35" t="n"/>
      <c r="B482" s="39">
        <f>IF($A482="","",YEAR($A482)&amp;"-"&amp;RIGHT("0"&amp;MONTH($A482),2))</f>
        <v/>
      </c>
      <c r="C482" s="13" t="n"/>
      <c r="D482" s="13" t="n"/>
      <c r="E482" s="13" t="n"/>
      <c r="F482" s="13" t="n"/>
      <c r="G482" s="40" t="n"/>
      <c r="H482" s="38" t="n"/>
      <c r="I482" s="38" t="n"/>
      <c r="J482" s="38" t="n"/>
      <c r="K482" s="24">
        <f>IF($H482="","",$H482-N($J482))</f>
        <v/>
      </c>
      <c r="L482" s="25">
        <f>IFERROR($K482/$H482,"")</f>
        <v/>
      </c>
      <c r="M482" s="39">
        <f>IFERROR(INDEX('10_CLIENTI'!$B$5:$B$204,MATCH($D482,'10_CLIENTI'!$A$5:$A$204,0)),"")</f>
        <v/>
      </c>
      <c r="N482" s="39">
        <f>IFERROR(INDEX('11_PRODUSE'!$B$5:$B$104,MATCH($E482,'11_PRODUSE'!$A$5:$A$104,0)),"")</f>
        <v/>
      </c>
      <c r="O482" s="13" t="n"/>
      <c r="P482" s="13" t="n"/>
    </row>
    <row r="483">
      <c r="A483" s="35" t="n"/>
      <c r="B483" s="39">
        <f>IF($A483="","",YEAR($A483)&amp;"-"&amp;RIGHT("0"&amp;MONTH($A483),2))</f>
        <v/>
      </c>
      <c r="C483" s="13" t="n"/>
      <c r="D483" s="13" t="n"/>
      <c r="E483" s="13" t="n"/>
      <c r="F483" s="13" t="n"/>
      <c r="G483" s="40" t="n"/>
      <c r="H483" s="38" t="n"/>
      <c r="I483" s="38" t="n"/>
      <c r="J483" s="38" t="n"/>
      <c r="K483" s="24">
        <f>IF($H483="","",$H483-N($J483))</f>
        <v/>
      </c>
      <c r="L483" s="25">
        <f>IFERROR($K483/$H483,"")</f>
        <v/>
      </c>
      <c r="M483" s="39">
        <f>IFERROR(INDEX('10_CLIENTI'!$B$5:$B$204,MATCH($D483,'10_CLIENTI'!$A$5:$A$204,0)),"")</f>
        <v/>
      </c>
      <c r="N483" s="39">
        <f>IFERROR(INDEX('11_PRODUSE'!$B$5:$B$104,MATCH($E483,'11_PRODUSE'!$A$5:$A$104,0)),"")</f>
        <v/>
      </c>
      <c r="O483" s="13" t="n"/>
      <c r="P483" s="13" t="n"/>
    </row>
    <row r="484">
      <c r="A484" s="35" t="n"/>
      <c r="B484" s="39">
        <f>IF($A484="","",YEAR($A484)&amp;"-"&amp;RIGHT("0"&amp;MONTH($A484),2))</f>
        <v/>
      </c>
      <c r="C484" s="13" t="n"/>
      <c r="D484" s="13" t="n"/>
      <c r="E484" s="13" t="n"/>
      <c r="F484" s="13" t="n"/>
      <c r="G484" s="40" t="n"/>
      <c r="H484" s="38" t="n"/>
      <c r="I484" s="38" t="n"/>
      <c r="J484" s="38" t="n"/>
      <c r="K484" s="24">
        <f>IF($H484="","",$H484-N($J484))</f>
        <v/>
      </c>
      <c r="L484" s="25">
        <f>IFERROR($K484/$H484,"")</f>
        <v/>
      </c>
      <c r="M484" s="39">
        <f>IFERROR(INDEX('10_CLIENTI'!$B$5:$B$204,MATCH($D484,'10_CLIENTI'!$A$5:$A$204,0)),"")</f>
        <v/>
      </c>
      <c r="N484" s="39">
        <f>IFERROR(INDEX('11_PRODUSE'!$B$5:$B$104,MATCH($E484,'11_PRODUSE'!$A$5:$A$104,0)),"")</f>
        <v/>
      </c>
      <c r="O484" s="13" t="n"/>
      <c r="P484" s="13" t="n"/>
    </row>
    <row r="485">
      <c r="A485" s="35" t="n"/>
      <c r="B485" s="39">
        <f>IF($A485="","",YEAR($A485)&amp;"-"&amp;RIGHT("0"&amp;MONTH($A485),2))</f>
        <v/>
      </c>
      <c r="C485" s="13" t="n"/>
      <c r="D485" s="13" t="n"/>
      <c r="E485" s="13" t="n"/>
      <c r="F485" s="13" t="n"/>
      <c r="G485" s="40" t="n"/>
      <c r="H485" s="38" t="n"/>
      <c r="I485" s="38" t="n"/>
      <c r="J485" s="38" t="n"/>
      <c r="K485" s="24">
        <f>IF($H485="","",$H485-N($J485))</f>
        <v/>
      </c>
      <c r="L485" s="25">
        <f>IFERROR($K485/$H485,"")</f>
        <v/>
      </c>
      <c r="M485" s="39">
        <f>IFERROR(INDEX('10_CLIENTI'!$B$5:$B$204,MATCH($D485,'10_CLIENTI'!$A$5:$A$204,0)),"")</f>
        <v/>
      </c>
      <c r="N485" s="39">
        <f>IFERROR(INDEX('11_PRODUSE'!$B$5:$B$104,MATCH($E485,'11_PRODUSE'!$A$5:$A$104,0)),"")</f>
        <v/>
      </c>
      <c r="O485" s="13" t="n"/>
      <c r="P485" s="13" t="n"/>
    </row>
    <row r="486">
      <c r="A486" s="35" t="n"/>
      <c r="B486" s="39">
        <f>IF($A486="","",YEAR($A486)&amp;"-"&amp;RIGHT("0"&amp;MONTH($A486),2))</f>
        <v/>
      </c>
      <c r="C486" s="13" t="n"/>
      <c r="D486" s="13" t="n"/>
      <c r="E486" s="13" t="n"/>
      <c r="F486" s="13" t="n"/>
      <c r="G486" s="40" t="n"/>
      <c r="H486" s="38" t="n"/>
      <c r="I486" s="38" t="n"/>
      <c r="J486" s="38" t="n"/>
      <c r="K486" s="24">
        <f>IF($H486="","",$H486-N($J486))</f>
        <v/>
      </c>
      <c r="L486" s="25">
        <f>IFERROR($K486/$H486,"")</f>
        <v/>
      </c>
      <c r="M486" s="39">
        <f>IFERROR(INDEX('10_CLIENTI'!$B$5:$B$204,MATCH($D486,'10_CLIENTI'!$A$5:$A$204,0)),"")</f>
        <v/>
      </c>
      <c r="N486" s="39">
        <f>IFERROR(INDEX('11_PRODUSE'!$B$5:$B$104,MATCH($E486,'11_PRODUSE'!$A$5:$A$104,0)),"")</f>
        <v/>
      </c>
      <c r="O486" s="13" t="n"/>
      <c r="P486" s="13" t="n"/>
    </row>
    <row r="487">
      <c r="A487" s="35" t="n"/>
      <c r="B487" s="39">
        <f>IF($A487="","",YEAR($A487)&amp;"-"&amp;RIGHT("0"&amp;MONTH($A487),2))</f>
        <v/>
      </c>
      <c r="C487" s="13" t="n"/>
      <c r="D487" s="13" t="n"/>
      <c r="E487" s="13" t="n"/>
      <c r="F487" s="13" t="n"/>
      <c r="G487" s="40" t="n"/>
      <c r="H487" s="38" t="n"/>
      <c r="I487" s="38" t="n"/>
      <c r="J487" s="38" t="n"/>
      <c r="K487" s="24">
        <f>IF($H487="","",$H487-N($J487))</f>
        <v/>
      </c>
      <c r="L487" s="25">
        <f>IFERROR($K487/$H487,"")</f>
        <v/>
      </c>
      <c r="M487" s="39">
        <f>IFERROR(INDEX('10_CLIENTI'!$B$5:$B$204,MATCH($D487,'10_CLIENTI'!$A$5:$A$204,0)),"")</f>
        <v/>
      </c>
      <c r="N487" s="39">
        <f>IFERROR(INDEX('11_PRODUSE'!$B$5:$B$104,MATCH($E487,'11_PRODUSE'!$A$5:$A$104,0)),"")</f>
        <v/>
      </c>
      <c r="O487" s="13" t="n"/>
      <c r="P487" s="13" t="n"/>
    </row>
    <row r="488">
      <c r="A488" s="35" t="n"/>
      <c r="B488" s="39">
        <f>IF($A488="","",YEAR($A488)&amp;"-"&amp;RIGHT("0"&amp;MONTH($A488),2))</f>
        <v/>
      </c>
      <c r="C488" s="13" t="n"/>
      <c r="D488" s="13" t="n"/>
      <c r="E488" s="13" t="n"/>
      <c r="F488" s="13" t="n"/>
      <c r="G488" s="40" t="n"/>
      <c r="H488" s="38" t="n"/>
      <c r="I488" s="38" t="n"/>
      <c r="J488" s="38" t="n"/>
      <c r="K488" s="24">
        <f>IF($H488="","",$H488-N($J488))</f>
        <v/>
      </c>
      <c r="L488" s="25">
        <f>IFERROR($K488/$H488,"")</f>
        <v/>
      </c>
      <c r="M488" s="39">
        <f>IFERROR(INDEX('10_CLIENTI'!$B$5:$B$204,MATCH($D488,'10_CLIENTI'!$A$5:$A$204,0)),"")</f>
        <v/>
      </c>
      <c r="N488" s="39">
        <f>IFERROR(INDEX('11_PRODUSE'!$B$5:$B$104,MATCH($E488,'11_PRODUSE'!$A$5:$A$104,0)),"")</f>
        <v/>
      </c>
      <c r="O488" s="13" t="n"/>
      <c r="P488" s="13" t="n"/>
    </row>
    <row r="489">
      <c r="A489" s="35" t="n"/>
      <c r="B489" s="39">
        <f>IF($A489="","",YEAR($A489)&amp;"-"&amp;RIGHT("0"&amp;MONTH($A489),2))</f>
        <v/>
      </c>
      <c r="C489" s="13" t="n"/>
      <c r="D489" s="13" t="n"/>
      <c r="E489" s="13" t="n"/>
      <c r="F489" s="13" t="n"/>
      <c r="G489" s="40" t="n"/>
      <c r="H489" s="38" t="n"/>
      <c r="I489" s="38" t="n"/>
      <c r="J489" s="38" t="n"/>
      <c r="K489" s="24">
        <f>IF($H489="","",$H489-N($J489))</f>
        <v/>
      </c>
      <c r="L489" s="25">
        <f>IFERROR($K489/$H489,"")</f>
        <v/>
      </c>
      <c r="M489" s="39">
        <f>IFERROR(INDEX('10_CLIENTI'!$B$5:$B$204,MATCH($D489,'10_CLIENTI'!$A$5:$A$204,0)),"")</f>
        <v/>
      </c>
      <c r="N489" s="39">
        <f>IFERROR(INDEX('11_PRODUSE'!$B$5:$B$104,MATCH($E489,'11_PRODUSE'!$A$5:$A$104,0)),"")</f>
        <v/>
      </c>
      <c r="O489" s="13" t="n"/>
      <c r="P489" s="13" t="n"/>
    </row>
    <row r="490">
      <c r="A490" s="35" t="n"/>
      <c r="B490" s="39">
        <f>IF($A490="","",YEAR($A490)&amp;"-"&amp;RIGHT("0"&amp;MONTH($A490),2))</f>
        <v/>
      </c>
      <c r="C490" s="13" t="n"/>
      <c r="D490" s="13" t="n"/>
      <c r="E490" s="13" t="n"/>
      <c r="F490" s="13" t="n"/>
      <c r="G490" s="40" t="n"/>
      <c r="H490" s="38" t="n"/>
      <c r="I490" s="38" t="n"/>
      <c r="J490" s="38" t="n"/>
      <c r="K490" s="24">
        <f>IF($H490="","",$H490-N($J490))</f>
        <v/>
      </c>
      <c r="L490" s="25">
        <f>IFERROR($K490/$H490,"")</f>
        <v/>
      </c>
      <c r="M490" s="39">
        <f>IFERROR(INDEX('10_CLIENTI'!$B$5:$B$204,MATCH($D490,'10_CLIENTI'!$A$5:$A$204,0)),"")</f>
        <v/>
      </c>
      <c r="N490" s="39">
        <f>IFERROR(INDEX('11_PRODUSE'!$B$5:$B$104,MATCH($E490,'11_PRODUSE'!$A$5:$A$104,0)),"")</f>
        <v/>
      </c>
      <c r="O490" s="13" t="n"/>
      <c r="P490" s="13" t="n"/>
    </row>
    <row r="491">
      <c r="A491" s="35" t="n"/>
      <c r="B491" s="39">
        <f>IF($A491="","",YEAR($A491)&amp;"-"&amp;RIGHT("0"&amp;MONTH($A491),2))</f>
        <v/>
      </c>
      <c r="C491" s="13" t="n"/>
      <c r="D491" s="13" t="n"/>
      <c r="E491" s="13" t="n"/>
      <c r="F491" s="13" t="n"/>
      <c r="G491" s="40" t="n"/>
      <c r="H491" s="38" t="n"/>
      <c r="I491" s="38" t="n"/>
      <c r="J491" s="38" t="n"/>
      <c r="K491" s="24">
        <f>IF($H491="","",$H491-N($J491))</f>
        <v/>
      </c>
      <c r="L491" s="25">
        <f>IFERROR($K491/$H491,"")</f>
        <v/>
      </c>
      <c r="M491" s="39">
        <f>IFERROR(INDEX('10_CLIENTI'!$B$5:$B$204,MATCH($D491,'10_CLIENTI'!$A$5:$A$204,0)),"")</f>
        <v/>
      </c>
      <c r="N491" s="39">
        <f>IFERROR(INDEX('11_PRODUSE'!$B$5:$B$104,MATCH($E491,'11_PRODUSE'!$A$5:$A$104,0)),"")</f>
        <v/>
      </c>
      <c r="O491" s="13" t="n"/>
      <c r="P491" s="13" t="n"/>
    </row>
    <row r="492">
      <c r="A492" s="35" t="n"/>
      <c r="B492" s="39">
        <f>IF($A492="","",YEAR($A492)&amp;"-"&amp;RIGHT("0"&amp;MONTH($A492),2))</f>
        <v/>
      </c>
      <c r="C492" s="13" t="n"/>
      <c r="D492" s="13" t="n"/>
      <c r="E492" s="13" t="n"/>
      <c r="F492" s="13" t="n"/>
      <c r="G492" s="40" t="n"/>
      <c r="H492" s="38" t="n"/>
      <c r="I492" s="38" t="n"/>
      <c r="J492" s="38" t="n"/>
      <c r="K492" s="24">
        <f>IF($H492="","",$H492-N($J492))</f>
        <v/>
      </c>
      <c r="L492" s="25">
        <f>IFERROR($K492/$H492,"")</f>
        <v/>
      </c>
      <c r="M492" s="39">
        <f>IFERROR(INDEX('10_CLIENTI'!$B$5:$B$204,MATCH($D492,'10_CLIENTI'!$A$5:$A$204,0)),"")</f>
        <v/>
      </c>
      <c r="N492" s="39">
        <f>IFERROR(INDEX('11_PRODUSE'!$B$5:$B$104,MATCH($E492,'11_PRODUSE'!$A$5:$A$104,0)),"")</f>
        <v/>
      </c>
      <c r="O492" s="13" t="n"/>
      <c r="P492" s="13" t="n"/>
    </row>
    <row r="493">
      <c r="A493" s="35" t="n"/>
      <c r="B493" s="39">
        <f>IF($A493="","",YEAR($A493)&amp;"-"&amp;RIGHT("0"&amp;MONTH($A493),2))</f>
        <v/>
      </c>
      <c r="C493" s="13" t="n"/>
      <c r="D493" s="13" t="n"/>
      <c r="E493" s="13" t="n"/>
      <c r="F493" s="13" t="n"/>
      <c r="G493" s="40" t="n"/>
      <c r="H493" s="38" t="n"/>
      <c r="I493" s="38" t="n"/>
      <c r="J493" s="38" t="n"/>
      <c r="K493" s="24">
        <f>IF($H493="","",$H493-N($J493))</f>
        <v/>
      </c>
      <c r="L493" s="25">
        <f>IFERROR($K493/$H493,"")</f>
        <v/>
      </c>
      <c r="M493" s="39">
        <f>IFERROR(INDEX('10_CLIENTI'!$B$5:$B$204,MATCH($D493,'10_CLIENTI'!$A$5:$A$204,0)),"")</f>
        <v/>
      </c>
      <c r="N493" s="39">
        <f>IFERROR(INDEX('11_PRODUSE'!$B$5:$B$104,MATCH($E493,'11_PRODUSE'!$A$5:$A$104,0)),"")</f>
        <v/>
      </c>
      <c r="O493" s="13" t="n"/>
      <c r="P493" s="13" t="n"/>
    </row>
    <row r="494">
      <c r="A494" s="35" t="n"/>
      <c r="B494" s="39">
        <f>IF($A494="","",YEAR($A494)&amp;"-"&amp;RIGHT("0"&amp;MONTH($A494),2))</f>
        <v/>
      </c>
      <c r="C494" s="13" t="n"/>
      <c r="D494" s="13" t="n"/>
      <c r="E494" s="13" t="n"/>
      <c r="F494" s="13" t="n"/>
      <c r="G494" s="40" t="n"/>
      <c r="H494" s="38" t="n"/>
      <c r="I494" s="38" t="n"/>
      <c r="J494" s="38" t="n"/>
      <c r="K494" s="24">
        <f>IF($H494="","",$H494-N($J494))</f>
        <v/>
      </c>
      <c r="L494" s="25">
        <f>IFERROR($K494/$H494,"")</f>
        <v/>
      </c>
      <c r="M494" s="39">
        <f>IFERROR(INDEX('10_CLIENTI'!$B$5:$B$204,MATCH($D494,'10_CLIENTI'!$A$5:$A$204,0)),"")</f>
        <v/>
      </c>
      <c r="N494" s="39">
        <f>IFERROR(INDEX('11_PRODUSE'!$B$5:$B$104,MATCH($E494,'11_PRODUSE'!$A$5:$A$104,0)),"")</f>
        <v/>
      </c>
      <c r="O494" s="13" t="n"/>
      <c r="P494" s="13" t="n"/>
    </row>
    <row r="495">
      <c r="A495" s="35" t="n"/>
      <c r="B495" s="39">
        <f>IF($A495="","",YEAR($A495)&amp;"-"&amp;RIGHT("0"&amp;MONTH($A495),2))</f>
        <v/>
      </c>
      <c r="C495" s="13" t="n"/>
      <c r="D495" s="13" t="n"/>
      <c r="E495" s="13" t="n"/>
      <c r="F495" s="13" t="n"/>
      <c r="G495" s="40" t="n"/>
      <c r="H495" s="38" t="n"/>
      <c r="I495" s="38" t="n"/>
      <c r="J495" s="38" t="n"/>
      <c r="K495" s="24">
        <f>IF($H495="","",$H495-N($J495))</f>
        <v/>
      </c>
      <c r="L495" s="25">
        <f>IFERROR($K495/$H495,"")</f>
        <v/>
      </c>
      <c r="M495" s="39">
        <f>IFERROR(INDEX('10_CLIENTI'!$B$5:$B$204,MATCH($D495,'10_CLIENTI'!$A$5:$A$204,0)),"")</f>
        <v/>
      </c>
      <c r="N495" s="39">
        <f>IFERROR(INDEX('11_PRODUSE'!$B$5:$B$104,MATCH($E495,'11_PRODUSE'!$A$5:$A$104,0)),"")</f>
        <v/>
      </c>
      <c r="O495" s="13" t="n"/>
      <c r="P495" s="13" t="n"/>
    </row>
    <row r="496">
      <c r="A496" s="35" t="n"/>
      <c r="B496" s="39">
        <f>IF($A496="","",YEAR($A496)&amp;"-"&amp;RIGHT("0"&amp;MONTH($A496),2))</f>
        <v/>
      </c>
      <c r="C496" s="13" t="n"/>
      <c r="D496" s="13" t="n"/>
      <c r="E496" s="13" t="n"/>
      <c r="F496" s="13" t="n"/>
      <c r="G496" s="40" t="n"/>
      <c r="H496" s="38" t="n"/>
      <c r="I496" s="38" t="n"/>
      <c r="J496" s="38" t="n"/>
      <c r="K496" s="24">
        <f>IF($H496="","",$H496-N($J496))</f>
        <v/>
      </c>
      <c r="L496" s="25">
        <f>IFERROR($K496/$H496,"")</f>
        <v/>
      </c>
      <c r="M496" s="39">
        <f>IFERROR(INDEX('10_CLIENTI'!$B$5:$B$204,MATCH($D496,'10_CLIENTI'!$A$5:$A$204,0)),"")</f>
        <v/>
      </c>
      <c r="N496" s="39">
        <f>IFERROR(INDEX('11_PRODUSE'!$B$5:$B$104,MATCH($E496,'11_PRODUSE'!$A$5:$A$104,0)),"")</f>
        <v/>
      </c>
      <c r="O496" s="13" t="n"/>
      <c r="P496" s="13" t="n"/>
    </row>
    <row r="497">
      <c r="A497" s="35" t="n"/>
      <c r="B497" s="39">
        <f>IF($A497="","",YEAR($A497)&amp;"-"&amp;RIGHT("0"&amp;MONTH($A497),2))</f>
        <v/>
      </c>
      <c r="C497" s="13" t="n"/>
      <c r="D497" s="13" t="n"/>
      <c r="E497" s="13" t="n"/>
      <c r="F497" s="13" t="n"/>
      <c r="G497" s="40" t="n"/>
      <c r="H497" s="38" t="n"/>
      <c r="I497" s="38" t="n"/>
      <c r="J497" s="38" t="n"/>
      <c r="K497" s="24">
        <f>IF($H497="","",$H497-N($J497))</f>
        <v/>
      </c>
      <c r="L497" s="25">
        <f>IFERROR($K497/$H497,"")</f>
        <v/>
      </c>
      <c r="M497" s="39">
        <f>IFERROR(INDEX('10_CLIENTI'!$B$5:$B$204,MATCH($D497,'10_CLIENTI'!$A$5:$A$204,0)),"")</f>
        <v/>
      </c>
      <c r="N497" s="39">
        <f>IFERROR(INDEX('11_PRODUSE'!$B$5:$B$104,MATCH($E497,'11_PRODUSE'!$A$5:$A$104,0)),"")</f>
        <v/>
      </c>
      <c r="O497" s="13" t="n"/>
      <c r="P497" s="13" t="n"/>
    </row>
    <row r="498">
      <c r="A498" s="35" t="n"/>
      <c r="B498" s="39">
        <f>IF($A498="","",YEAR($A498)&amp;"-"&amp;RIGHT("0"&amp;MONTH($A498),2))</f>
        <v/>
      </c>
      <c r="C498" s="13" t="n"/>
      <c r="D498" s="13" t="n"/>
      <c r="E498" s="13" t="n"/>
      <c r="F498" s="13" t="n"/>
      <c r="G498" s="40" t="n"/>
      <c r="H498" s="38" t="n"/>
      <c r="I498" s="38" t="n"/>
      <c r="J498" s="38" t="n"/>
      <c r="K498" s="24">
        <f>IF($H498="","",$H498-N($J498))</f>
        <v/>
      </c>
      <c r="L498" s="25">
        <f>IFERROR($K498/$H498,"")</f>
        <v/>
      </c>
      <c r="M498" s="39">
        <f>IFERROR(INDEX('10_CLIENTI'!$B$5:$B$204,MATCH($D498,'10_CLIENTI'!$A$5:$A$204,0)),"")</f>
        <v/>
      </c>
      <c r="N498" s="39">
        <f>IFERROR(INDEX('11_PRODUSE'!$B$5:$B$104,MATCH($E498,'11_PRODUSE'!$A$5:$A$104,0)),"")</f>
        <v/>
      </c>
      <c r="O498" s="13" t="n"/>
      <c r="P498" s="13" t="n"/>
    </row>
    <row r="499">
      <c r="A499" s="35" t="n"/>
      <c r="B499" s="39">
        <f>IF($A499="","",YEAR($A499)&amp;"-"&amp;RIGHT("0"&amp;MONTH($A499),2))</f>
        <v/>
      </c>
      <c r="C499" s="13" t="n"/>
      <c r="D499" s="13" t="n"/>
      <c r="E499" s="13" t="n"/>
      <c r="F499" s="13" t="n"/>
      <c r="G499" s="40" t="n"/>
      <c r="H499" s="38" t="n"/>
      <c r="I499" s="38" t="n"/>
      <c r="J499" s="38" t="n"/>
      <c r="K499" s="24">
        <f>IF($H499="","",$H499-N($J499))</f>
        <v/>
      </c>
      <c r="L499" s="25">
        <f>IFERROR($K499/$H499,"")</f>
        <v/>
      </c>
      <c r="M499" s="39">
        <f>IFERROR(INDEX('10_CLIENTI'!$B$5:$B$204,MATCH($D499,'10_CLIENTI'!$A$5:$A$204,0)),"")</f>
        <v/>
      </c>
      <c r="N499" s="39">
        <f>IFERROR(INDEX('11_PRODUSE'!$B$5:$B$104,MATCH($E499,'11_PRODUSE'!$A$5:$A$104,0)),"")</f>
        <v/>
      </c>
      <c r="O499" s="13" t="n"/>
      <c r="P499" s="13" t="n"/>
    </row>
    <row r="500">
      <c r="A500" s="35" t="n"/>
      <c r="B500" s="39">
        <f>IF($A500="","",YEAR($A500)&amp;"-"&amp;RIGHT("0"&amp;MONTH($A500),2))</f>
        <v/>
      </c>
      <c r="C500" s="13" t="n"/>
      <c r="D500" s="13" t="n"/>
      <c r="E500" s="13" t="n"/>
      <c r="F500" s="13" t="n"/>
      <c r="G500" s="40" t="n"/>
      <c r="H500" s="38" t="n"/>
      <c r="I500" s="38" t="n"/>
      <c r="J500" s="38" t="n"/>
      <c r="K500" s="24">
        <f>IF($H500="","",$H500-N($J500))</f>
        <v/>
      </c>
      <c r="L500" s="25">
        <f>IFERROR($K500/$H500,"")</f>
        <v/>
      </c>
      <c r="M500" s="39">
        <f>IFERROR(INDEX('10_CLIENTI'!$B$5:$B$204,MATCH($D500,'10_CLIENTI'!$A$5:$A$204,0)),"")</f>
        <v/>
      </c>
      <c r="N500" s="39">
        <f>IFERROR(INDEX('11_PRODUSE'!$B$5:$B$104,MATCH($E500,'11_PRODUSE'!$A$5:$A$104,0)),"")</f>
        <v/>
      </c>
      <c r="O500" s="13" t="n"/>
      <c r="P500" s="13" t="n"/>
    </row>
    <row r="501">
      <c r="A501" s="35" t="n"/>
      <c r="B501" s="39">
        <f>IF($A501="","",YEAR($A501)&amp;"-"&amp;RIGHT("0"&amp;MONTH($A501),2))</f>
        <v/>
      </c>
      <c r="C501" s="13" t="n"/>
      <c r="D501" s="13" t="n"/>
      <c r="E501" s="13" t="n"/>
      <c r="F501" s="13" t="n"/>
      <c r="G501" s="40" t="n"/>
      <c r="H501" s="38" t="n"/>
      <c r="I501" s="38" t="n"/>
      <c r="J501" s="38" t="n"/>
      <c r="K501" s="24">
        <f>IF($H501="","",$H501-N($J501))</f>
        <v/>
      </c>
      <c r="L501" s="25">
        <f>IFERROR($K501/$H501,"")</f>
        <v/>
      </c>
      <c r="M501" s="39">
        <f>IFERROR(INDEX('10_CLIENTI'!$B$5:$B$204,MATCH($D501,'10_CLIENTI'!$A$5:$A$204,0)),"")</f>
        <v/>
      </c>
      <c r="N501" s="39">
        <f>IFERROR(INDEX('11_PRODUSE'!$B$5:$B$104,MATCH($E501,'11_PRODUSE'!$A$5:$A$104,0)),"")</f>
        <v/>
      </c>
      <c r="O501" s="13" t="n"/>
      <c r="P501" s="13" t="n"/>
    </row>
    <row r="502">
      <c r="A502" s="35" t="n"/>
      <c r="B502" s="39">
        <f>IF($A502="","",YEAR($A502)&amp;"-"&amp;RIGHT("0"&amp;MONTH($A502),2))</f>
        <v/>
      </c>
      <c r="C502" s="13" t="n"/>
      <c r="D502" s="13" t="n"/>
      <c r="E502" s="13" t="n"/>
      <c r="F502" s="13" t="n"/>
      <c r="G502" s="40" t="n"/>
      <c r="H502" s="38" t="n"/>
      <c r="I502" s="38" t="n"/>
      <c r="J502" s="38" t="n"/>
      <c r="K502" s="24">
        <f>IF($H502="","",$H502-N($J502))</f>
        <v/>
      </c>
      <c r="L502" s="25">
        <f>IFERROR($K502/$H502,"")</f>
        <v/>
      </c>
      <c r="M502" s="39">
        <f>IFERROR(INDEX('10_CLIENTI'!$B$5:$B$204,MATCH($D502,'10_CLIENTI'!$A$5:$A$204,0)),"")</f>
        <v/>
      </c>
      <c r="N502" s="39">
        <f>IFERROR(INDEX('11_PRODUSE'!$B$5:$B$104,MATCH($E502,'11_PRODUSE'!$A$5:$A$104,0)),"")</f>
        <v/>
      </c>
      <c r="O502" s="13" t="n"/>
      <c r="P502" s="13" t="n"/>
    </row>
    <row r="503">
      <c r="A503" s="35" t="n"/>
      <c r="B503" s="39">
        <f>IF($A503="","",YEAR($A503)&amp;"-"&amp;RIGHT("0"&amp;MONTH($A503),2))</f>
        <v/>
      </c>
      <c r="C503" s="13" t="n"/>
      <c r="D503" s="13" t="n"/>
      <c r="E503" s="13" t="n"/>
      <c r="F503" s="13" t="n"/>
      <c r="G503" s="40" t="n"/>
      <c r="H503" s="38" t="n"/>
      <c r="I503" s="38" t="n"/>
      <c r="J503" s="38" t="n"/>
      <c r="K503" s="24">
        <f>IF($H503="","",$H503-N($J503))</f>
        <v/>
      </c>
      <c r="L503" s="25">
        <f>IFERROR($K503/$H503,"")</f>
        <v/>
      </c>
      <c r="M503" s="39">
        <f>IFERROR(INDEX('10_CLIENTI'!$B$5:$B$204,MATCH($D503,'10_CLIENTI'!$A$5:$A$204,0)),"")</f>
        <v/>
      </c>
      <c r="N503" s="39">
        <f>IFERROR(INDEX('11_PRODUSE'!$B$5:$B$104,MATCH($E503,'11_PRODUSE'!$A$5:$A$104,0)),"")</f>
        <v/>
      </c>
      <c r="O503" s="13" t="n"/>
      <c r="P503" s="13" t="n"/>
    </row>
    <row r="504">
      <c r="A504" s="35" t="n"/>
      <c r="B504" s="39">
        <f>IF($A504="","",YEAR($A504)&amp;"-"&amp;RIGHT("0"&amp;MONTH($A504),2))</f>
        <v/>
      </c>
      <c r="C504" s="13" t="n"/>
      <c r="D504" s="13" t="n"/>
      <c r="E504" s="13" t="n"/>
      <c r="F504" s="13" t="n"/>
      <c r="G504" s="40" t="n"/>
      <c r="H504" s="38" t="n"/>
      <c r="I504" s="38" t="n"/>
      <c r="J504" s="38" t="n"/>
      <c r="K504" s="24">
        <f>IF($H504="","",$H504-N($J504))</f>
        <v/>
      </c>
      <c r="L504" s="25">
        <f>IFERROR($K504/$H504,"")</f>
        <v/>
      </c>
      <c r="M504" s="39">
        <f>IFERROR(INDEX('10_CLIENTI'!$B$5:$B$204,MATCH($D504,'10_CLIENTI'!$A$5:$A$204,0)),"")</f>
        <v/>
      </c>
      <c r="N504" s="39">
        <f>IFERROR(INDEX('11_PRODUSE'!$B$5:$B$104,MATCH($E504,'11_PRODUSE'!$A$5:$A$104,0)),"")</f>
        <v/>
      </c>
      <c r="O504" s="13" t="n"/>
      <c r="P504" s="13" t="n"/>
    </row>
    <row r="505">
      <c r="A505" s="35" t="n"/>
      <c r="B505" s="39">
        <f>IF($A505="","",YEAR($A505)&amp;"-"&amp;RIGHT("0"&amp;MONTH($A505),2))</f>
        <v/>
      </c>
      <c r="C505" s="13" t="n"/>
      <c r="D505" s="13" t="n"/>
      <c r="E505" s="13" t="n"/>
      <c r="F505" s="13" t="n"/>
      <c r="G505" s="40" t="n"/>
      <c r="H505" s="38" t="n"/>
      <c r="I505" s="38" t="n"/>
      <c r="J505" s="38" t="n"/>
      <c r="K505" s="24">
        <f>IF($H505="","",$H505-N($J505))</f>
        <v/>
      </c>
      <c r="L505" s="25">
        <f>IFERROR($K505/$H505,"")</f>
        <v/>
      </c>
      <c r="M505" s="39">
        <f>IFERROR(INDEX('10_CLIENTI'!$B$5:$B$204,MATCH($D505,'10_CLIENTI'!$A$5:$A$204,0)),"")</f>
        <v/>
      </c>
      <c r="N505" s="39">
        <f>IFERROR(INDEX('11_PRODUSE'!$B$5:$B$104,MATCH($E505,'11_PRODUSE'!$A$5:$A$104,0)),"")</f>
        <v/>
      </c>
      <c r="O505" s="13" t="n"/>
      <c r="P505" s="13" t="n"/>
    </row>
    <row r="506">
      <c r="A506" s="35" t="n"/>
      <c r="B506" s="39">
        <f>IF($A506="","",YEAR($A506)&amp;"-"&amp;RIGHT("0"&amp;MONTH($A506),2))</f>
        <v/>
      </c>
      <c r="C506" s="13" t="n"/>
      <c r="D506" s="13" t="n"/>
      <c r="E506" s="13" t="n"/>
      <c r="F506" s="13" t="n"/>
      <c r="G506" s="40" t="n"/>
      <c r="H506" s="38" t="n"/>
      <c r="I506" s="38" t="n"/>
      <c r="J506" s="38" t="n"/>
      <c r="K506" s="24">
        <f>IF($H506="","",$H506-N($J506))</f>
        <v/>
      </c>
      <c r="L506" s="25">
        <f>IFERROR($K506/$H506,"")</f>
        <v/>
      </c>
      <c r="M506" s="39">
        <f>IFERROR(INDEX('10_CLIENTI'!$B$5:$B$204,MATCH($D506,'10_CLIENTI'!$A$5:$A$204,0)),"")</f>
        <v/>
      </c>
      <c r="N506" s="39">
        <f>IFERROR(INDEX('11_PRODUSE'!$B$5:$B$104,MATCH($E506,'11_PRODUSE'!$A$5:$A$104,0)),"")</f>
        <v/>
      </c>
      <c r="O506" s="13" t="n"/>
      <c r="P506" s="13" t="n"/>
    </row>
    <row r="507">
      <c r="A507" s="35" t="n"/>
      <c r="B507" s="39">
        <f>IF($A507="","",YEAR($A507)&amp;"-"&amp;RIGHT("0"&amp;MONTH($A507),2))</f>
        <v/>
      </c>
      <c r="C507" s="13" t="n"/>
      <c r="D507" s="13" t="n"/>
      <c r="E507" s="13" t="n"/>
      <c r="F507" s="13" t="n"/>
      <c r="G507" s="40" t="n"/>
      <c r="H507" s="38" t="n"/>
      <c r="I507" s="38" t="n"/>
      <c r="J507" s="38" t="n"/>
      <c r="K507" s="24">
        <f>IF($H507="","",$H507-N($J507))</f>
        <v/>
      </c>
      <c r="L507" s="25">
        <f>IFERROR($K507/$H507,"")</f>
        <v/>
      </c>
      <c r="M507" s="39">
        <f>IFERROR(INDEX('10_CLIENTI'!$B$5:$B$204,MATCH($D507,'10_CLIENTI'!$A$5:$A$204,0)),"")</f>
        <v/>
      </c>
      <c r="N507" s="39">
        <f>IFERROR(INDEX('11_PRODUSE'!$B$5:$B$104,MATCH($E507,'11_PRODUSE'!$A$5:$A$104,0)),"")</f>
        <v/>
      </c>
      <c r="O507" s="13" t="n"/>
      <c r="P507" s="13" t="n"/>
    </row>
    <row r="508">
      <c r="A508" s="35" t="n"/>
      <c r="B508" s="39">
        <f>IF($A508="","",YEAR($A508)&amp;"-"&amp;RIGHT("0"&amp;MONTH($A508),2))</f>
        <v/>
      </c>
      <c r="C508" s="13" t="n"/>
      <c r="D508" s="13" t="n"/>
      <c r="E508" s="13" t="n"/>
      <c r="F508" s="13" t="n"/>
      <c r="G508" s="40" t="n"/>
      <c r="H508" s="38" t="n"/>
      <c r="I508" s="38" t="n"/>
      <c r="J508" s="38" t="n"/>
      <c r="K508" s="24">
        <f>IF($H508="","",$H508-N($J508))</f>
        <v/>
      </c>
      <c r="L508" s="25">
        <f>IFERROR($K508/$H508,"")</f>
        <v/>
      </c>
      <c r="M508" s="39">
        <f>IFERROR(INDEX('10_CLIENTI'!$B$5:$B$204,MATCH($D508,'10_CLIENTI'!$A$5:$A$204,0)),"")</f>
        <v/>
      </c>
      <c r="N508" s="39">
        <f>IFERROR(INDEX('11_PRODUSE'!$B$5:$B$104,MATCH($E508,'11_PRODUSE'!$A$5:$A$104,0)),"")</f>
        <v/>
      </c>
      <c r="O508" s="13" t="n"/>
      <c r="P508" s="13" t="n"/>
    </row>
    <row r="509">
      <c r="A509" s="35" t="n"/>
      <c r="B509" s="39">
        <f>IF($A509="","",YEAR($A509)&amp;"-"&amp;RIGHT("0"&amp;MONTH($A509),2))</f>
        <v/>
      </c>
      <c r="C509" s="13" t="n"/>
      <c r="D509" s="13" t="n"/>
      <c r="E509" s="13" t="n"/>
      <c r="F509" s="13" t="n"/>
      <c r="G509" s="40" t="n"/>
      <c r="H509" s="38" t="n"/>
      <c r="I509" s="38" t="n"/>
      <c r="J509" s="38" t="n"/>
      <c r="K509" s="24">
        <f>IF($H509="","",$H509-N($J509))</f>
        <v/>
      </c>
      <c r="L509" s="25">
        <f>IFERROR($K509/$H509,"")</f>
        <v/>
      </c>
      <c r="M509" s="39">
        <f>IFERROR(INDEX('10_CLIENTI'!$B$5:$B$204,MATCH($D509,'10_CLIENTI'!$A$5:$A$204,0)),"")</f>
        <v/>
      </c>
      <c r="N509" s="39">
        <f>IFERROR(INDEX('11_PRODUSE'!$B$5:$B$104,MATCH($E509,'11_PRODUSE'!$A$5:$A$104,0)),"")</f>
        <v/>
      </c>
      <c r="O509" s="13" t="n"/>
      <c r="P509" s="13" t="n"/>
    </row>
    <row r="510">
      <c r="A510" s="35" t="n"/>
      <c r="B510" s="39">
        <f>IF($A510="","",YEAR($A510)&amp;"-"&amp;RIGHT("0"&amp;MONTH($A510),2))</f>
        <v/>
      </c>
      <c r="C510" s="13" t="n"/>
      <c r="D510" s="13" t="n"/>
      <c r="E510" s="13" t="n"/>
      <c r="F510" s="13" t="n"/>
      <c r="G510" s="40" t="n"/>
      <c r="H510" s="38" t="n"/>
      <c r="I510" s="38" t="n"/>
      <c r="J510" s="38" t="n"/>
      <c r="K510" s="24">
        <f>IF($H510="","",$H510-N($J510))</f>
        <v/>
      </c>
      <c r="L510" s="25">
        <f>IFERROR($K510/$H510,"")</f>
        <v/>
      </c>
      <c r="M510" s="39">
        <f>IFERROR(INDEX('10_CLIENTI'!$B$5:$B$204,MATCH($D510,'10_CLIENTI'!$A$5:$A$204,0)),"")</f>
        <v/>
      </c>
      <c r="N510" s="39">
        <f>IFERROR(INDEX('11_PRODUSE'!$B$5:$B$104,MATCH($E510,'11_PRODUSE'!$A$5:$A$104,0)),"")</f>
        <v/>
      </c>
      <c r="O510" s="13" t="n"/>
      <c r="P510" s="13" t="n"/>
    </row>
    <row r="511">
      <c r="A511" s="35" t="n"/>
      <c r="B511" s="39">
        <f>IF($A511="","",YEAR($A511)&amp;"-"&amp;RIGHT("0"&amp;MONTH($A511),2))</f>
        <v/>
      </c>
      <c r="C511" s="13" t="n"/>
      <c r="D511" s="13" t="n"/>
      <c r="E511" s="13" t="n"/>
      <c r="F511" s="13" t="n"/>
      <c r="G511" s="40" t="n"/>
      <c r="H511" s="38" t="n"/>
      <c r="I511" s="38" t="n"/>
      <c r="J511" s="38" t="n"/>
      <c r="K511" s="24">
        <f>IF($H511="","",$H511-N($J511))</f>
        <v/>
      </c>
      <c r="L511" s="25">
        <f>IFERROR($K511/$H511,"")</f>
        <v/>
      </c>
      <c r="M511" s="39">
        <f>IFERROR(INDEX('10_CLIENTI'!$B$5:$B$204,MATCH($D511,'10_CLIENTI'!$A$5:$A$204,0)),"")</f>
        <v/>
      </c>
      <c r="N511" s="39">
        <f>IFERROR(INDEX('11_PRODUSE'!$B$5:$B$104,MATCH($E511,'11_PRODUSE'!$A$5:$A$104,0)),"")</f>
        <v/>
      </c>
      <c r="O511" s="13" t="n"/>
      <c r="P511" s="13" t="n"/>
    </row>
    <row r="512">
      <c r="A512" s="35" t="n"/>
      <c r="B512" s="39">
        <f>IF($A512="","",YEAR($A512)&amp;"-"&amp;RIGHT("0"&amp;MONTH($A512),2))</f>
        <v/>
      </c>
      <c r="C512" s="13" t="n"/>
      <c r="D512" s="13" t="n"/>
      <c r="E512" s="13" t="n"/>
      <c r="F512" s="13" t="n"/>
      <c r="G512" s="40" t="n"/>
      <c r="H512" s="38" t="n"/>
      <c r="I512" s="38" t="n"/>
      <c r="J512" s="38" t="n"/>
      <c r="K512" s="24">
        <f>IF($H512="","",$H512-N($J512))</f>
        <v/>
      </c>
      <c r="L512" s="25">
        <f>IFERROR($K512/$H512,"")</f>
        <v/>
      </c>
      <c r="M512" s="39">
        <f>IFERROR(INDEX('10_CLIENTI'!$B$5:$B$204,MATCH($D512,'10_CLIENTI'!$A$5:$A$204,0)),"")</f>
        <v/>
      </c>
      <c r="N512" s="39">
        <f>IFERROR(INDEX('11_PRODUSE'!$B$5:$B$104,MATCH($E512,'11_PRODUSE'!$A$5:$A$104,0)),"")</f>
        <v/>
      </c>
      <c r="O512" s="13" t="n"/>
      <c r="P512" s="13" t="n"/>
    </row>
    <row r="513">
      <c r="A513" s="35" t="n"/>
      <c r="B513" s="39">
        <f>IF($A513="","",YEAR($A513)&amp;"-"&amp;RIGHT("0"&amp;MONTH($A513),2))</f>
        <v/>
      </c>
      <c r="C513" s="13" t="n"/>
      <c r="D513" s="13" t="n"/>
      <c r="E513" s="13" t="n"/>
      <c r="F513" s="13" t="n"/>
      <c r="G513" s="40" t="n"/>
      <c r="H513" s="38" t="n"/>
      <c r="I513" s="38" t="n"/>
      <c r="J513" s="38" t="n"/>
      <c r="K513" s="24">
        <f>IF($H513="","",$H513-N($J513))</f>
        <v/>
      </c>
      <c r="L513" s="25">
        <f>IFERROR($K513/$H513,"")</f>
        <v/>
      </c>
      <c r="M513" s="39">
        <f>IFERROR(INDEX('10_CLIENTI'!$B$5:$B$204,MATCH($D513,'10_CLIENTI'!$A$5:$A$204,0)),"")</f>
        <v/>
      </c>
      <c r="N513" s="39">
        <f>IFERROR(INDEX('11_PRODUSE'!$B$5:$B$104,MATCH($E513,'11_PRODUSE'!$A$5:$A$104,0)),"")</f>
        <v/>
      </c>
      <c r="O513" s="13" t="n"/>
      <c r="P513" s="13" t="n"/>
    </row>
    <row r="514">
      <c r="A514" s="35" t="n"/>
      <c r="B514" s="39">
        <f>IF($A514="","",YEAR($A514)&amp;"-"&amp;RIGHT("0"&amp;MONTH($A514),2))</f>
        <v/>
      </c>
      <c r="C514" s="13" t="n"/>
      <c r="D514" s="13" t="n"/>
      <c r="E514" s="13" t="n"/>
      <c r="F514" s="13" t="n"/>
      <c r="G514" s="40" t="n"/>
      <c r="H514" s="38" t="n"/>
      <c r="I514" s="38" t="n"/>
      <c r="J514" s="38" t="n"/>
      <c r="K514" s="24">
        <f>IF($H514="","",$H514-N($J514))</f>
        <v/>
      </c>
      <c r="L514" s="25">
        <f>IFERROR($K514/$H514,"")</f>
        <v/>
      </c>
      <c r="M514" s="39">
        <f>IFERROR(INDEX('10_CLIENTI'!$B$5:$B$204,MATCH($D514,'10_CLIENTI'!$A$5:$A$204,0)),"")</f>
        <v/>
      </c>
      <c r="N514" s="39">
        <f>IFERROR(INDEX('11_PRODUSE'!$B$5:$B$104,MATCH($E514,'11_PRODUSE'!$A$5:$A$104,0)),"")</f>
        <v/>
      </c>
      <c r="O514" s="13" t="n"/>
      <c r="P514" s="13" t="n"/>
    </row>
    <row r="515">
      <c r="A515" s="35" t="n"/>
      <c r="B515" s="39">
        <f>IF($A515="","",YEAR($A515)&amp;"-"&amp;RIGHT("0"&amp;MONTH($A515),2))</f>
        <v/>
      </c>
      <c r="C515" s="13" t="n"/>
      <c r="D515" s="13" t="n"/>
      <c r="E515" s="13" t="n"/>
      <c r="F515" s="13" t="n"/>
      <c r="G515" s="40" t="n"/>
      <c r="H515" s="38" t="n"/>
      <c r="I515" s="38" t="n"/>
      <c r="J515" s="38" t="n"/>
      <c r="K515" s="24">
        <f>IF($H515="","",$H515-N($J515))</f>
        <v/>
      </c>
      <c r="L515" s="25">
        <f>IFERROR($K515/$H515,"")</f>
        <v/>
      </c>
      <c r="M515" s="39">
        <f>IFERROR(INDEX('10_CLIENTI'!$B$5:$B$204,MATCH($D515,'10_CLIENTI'!$A$5:$A$204,0)),"")</f>
        <v/>
      </c>
      <c r="N515" s="39">
        <f>IFERROR(INDEX('11_PRODUSE'!$B$5:$B$104,MATCH($E515,'11_PRODUSE'!$A$5:$A$104,0)),"")</f>
        <v/>
      </c>
      <c r="O515" s="13" t="n"/>
      <c r="P515" s="13" t="n"/>
    </row>
    <row r="516">
      <c r="A516" s="35" t="n"/>
      <c r="B516" s="39">
        <f>IF($A516="","",YEAR($A516)&amp;"-"&amp;RIGHT("0"&amp;MONTH($A516),2))</f>
        <v/>
      </c>
      <c r="C516" s="13" t="n"/>
      <c r="D516" s="13" t="n"/>
      <c r="E516" s="13" t="n"/>
      <c r="F516" s="13" t="n"/>
      <c r="G516" s="40" t="n"/>
      <c r="H516" s="38" t="n"/>
      <c r="I516" s="38" t="n"/>
      <c r="J516" s="38" t="n"/>
      <c r="K516" s="24">
        <f>IF($H516="","",$H516-N($J516))</f>
        <v/>
      </c>
      <c r="L516" s="25">
        <f>IFERROR($K516/$H516,"")</f>
        <v/>
      </c>
      <c r="M516" s="39">
        <f>IFERROR(INDEX('10_CLIENTI'!$B$5:$B$204,MATCH($D516,'10_CLIENTI'!$A$5:$A$204,0)),"")</f>
        <v/>
      </c>
      <c r="N516" s="39">
        <f>IFERROR(INDEX('11_PRODUSE'!$B$5:$B$104,MATCH($E516,'11_PRODUSE'!$A$5:$A$104,0)),"")</f>
        <v/>
      </c>
      <c r="O516" s="13" t="n"/>
      <c r="P516" s="13" t="n"/>
    </row>
    <row r="517">
      <c r="A517" s="35" t="n"/>
      <c r="B517" s="39">
        <f>IF($A517="","",YEAR($A517)&amp;"-"&amp;RIGHT("0"&amp;MONTH($A517),2))</f>
        <v/>
      </c>
      <c r="C517" s="13" t="n"/>
      <c r="D517" s="13" t="n"/>
      <c r="E517" s="13" t="n"/>
      <c r="F517" s="13" t="n"/>
      <c r="G517" s="40" t="n"/>
      <c r="H517" s="38" t="n"/>
      <c r="I517" s="38" t="n"/>
      <c r="J517" s="38" t="n"/>
      <c r="K517" s="24">
        <f>IF($H517="","",$H517-N($J517))</f>
        <v/>
      </c>
      <c r="L517" s="25">
        <f>IFERROR($K517/$H517,"")</f>
        <v/>
      </c>
      <c r="M517" s="39">
        <f>IFERROR(INDEX('10_CLIENTI'!$B$5:$B$204,MATCH($D517,'10_CLIENTI'!$A$5:$A$204,0)),"")</f>
        <v/>
      </c>
      <c r="N517" s="39">
        <f>IFERROR(INDEX('11_PRODUSE'!$B$5:$B$104,MATCH($E517,'11_PRODUSE'!$A$5:$A$104,0)),"")</f>
        <v/>
      </c>
      <c r="O517" s="13" t="n"/>
      <c r="P517" s="13" t="n"/>
    </row>
    <row r="518">
      <c r="A518" s="35" t="n"/>
      <c r="B518" s="39">
        <f>IF($A518="","",YEAR($A518)&amp;"-"&amp;RIGHT("0"&amp;MONTH($A518),2))</f>
        <v/>
      </c>
      <c r="C518" s="13" t="n"/>
      <c r="D518" s="13" t="n"/>
      <c r="E518" s="13" t="n"/>
      <c r="F518" s="13" t="n"/>
      <c r="G518" s="40" t="n"/>
      <c r="H518" s="38" t="n"/>
      <c r="I518" s="38" t="n"/>
      <c r="J518" s="38" t="n"/>
      <c r="K518" s="24">
        <f>IF($H518="","",$H518-N($J518))</f>
        <v/>
      </c>
      <c r="L518" s="25">
        <f>IFERROR($K518/$H518,"")</f>
        <v/>
      </c>
      <c r="M518" s="39">
        <f>IFERROR(INDEX('10_CLIENTI'!$B$5:$B$204,MATCH($D518,'10_CLIENTI'!$A$5:$A$204,0)),"")</f>
        <v/>
      </c>
      <c r="N518" s="39">
        <f>IFERROR(INDEX('11_PRODUSE'!$B$5:$B$104,MATCH($E518,'11_PRODUSE'!$A$5:$A$104,0)),"")</f>
        <v/>
      </c>
      <c r="O518" s="13" t="n"/>
      <c r="P518" s="13" t="n"/>
    </row>
    <row r="519">
      <c r="A519" s="35" t="n"/>
      <c r="B519" s="39">
        <f>IF($A519="","",YEAR($A519)&amp;"-"&amp;RIGHT("0"&amp;MONTH($A519),2))</f>
        <v/>
      </c>
      <c r="C519" s="13" t="n"/>
      <c r="D519" s="13" t="n"/>
      <c r="E519" s="13" t="n"/>
      <c r="F519" s="13" t="n"/>
      <c r="G519" s="40" t="n"/>
      <c r="H519" s="38" t="n"/>
      <c r="I519" s="38" t="n"/>
      <c r="J519" s="38" t="n"/>
      <c r="K519" s="24">
        <f>IF($H519="","",$H519-N($J519))</f>
        <v/>
      </c>
      <c r="L519" s="25">
        <f>IFERROR($K519/$H519,"")</f>
        <v/>
      </c>
      <c r="M519" s="39">
        <f>IFERROR(INDEX('10_CLIENTI'!$B$5:$B$204,MATCH($D519,'10_CLIENTI'!$A$5:$A$204,0)),"")</f>
        <v/>
      </c>
      <c r="N519" s="39">
        <f>IFERROR(INDEX('11_PRODUSE'!$B$5:$B$104,MATCH($E519,'11_PRODUSE'!$A$5:$A$104,0)),"")</f>
        <v/>
      </c>
      <c r="O519" s="13" t="n"/>
      <c r="P519" s="13" t="n"/>
    </row>
    <row r="520">
      <c r="A520" s="35" t="n"/>
      <c r="B520" s="39">
        <f>IF($A520="","",YEAR($A520)&amp;"-"&amp;RIGHT("0"&amp;MONTH($A520),2))</f>
        <v/>
      </c>
      <c r="C520" s="13" t="n"/>
      <c r="D520" s="13" t="n"/>
      <c r="E520" s="13" t="n"/>
      <c r="F520" s="13" t="n"/>
      <c r="G520" s="40" t="n"/>
      <c r="H520" s="38" t="n"/>
      <c r="I520" s="38" t="n"/>
      <c r="J520" s="38" t="n"/>
      <c r="K520" s="24">
        <f>IF($H520="","",$H520-N($J520))</f>
        <v/>
      </c>
      <c r="L520" s="25">
        <f>IFERROR($K520/$H520,"")</f>
        <v/>
      </c>
      <c r="M520" s="39">
        <f>IFERROR(INDEX('10_CLIENTI'!$B$5:$B$204,MATCH($D520,'10_CLIENTI'!$A$5:$A$204,0)),"")</f>
        <v/>
      </c>
      <c r="N520" s="39">
        <f>IFERROR(INDEX('11_PRODUSE'!$B$5:$B$104,MATCH($E520,'11_PRODUSE'!$A$5:$A$104,0)),"")</f>
        <v/>
      </c>
      <c r="O520" s="13" t="n"/>
      <c r="P520" s="13" t="n"/>
    </row>
    <row r="521">
      <c r="A521" s="35" t="n"/>
      <c r="B521" s="39">
        <f>IF($A521="","",YEAR($A521)&amp;"-"&amp;RIGHT("0"&amp;MONTH($A521),2))</f>
        <v/>
      </c>
      <c r="C521" s="13" t="n"/>
      <c r="D521" s="13" t="n"/>
      <c r="E521" s="13" t="n"/>
      <c r="F521" s="13" t="n"/>
      <c r="G521" s="40" t="n"/>
      <c r="H521" s="38" t="n"/>
      <c r="I521" s="38" t="n"/>
      <c r="J521" s="38" t="n"/>
      <c r="K521" s="24">
        <f>IF($H521="","",$H521-N($J521))</f>
        <v/>
      </c>
      <c r="L521" s="25">
        <f>IFERROR($K521/$H521,"")</f>
        <v/>
      </c>
      <c r="M521" s="39">
        <f>IFERROR(INDEX('10_CLIENTI'!$B$5:$B$204,MATCH($D521,'10_CLIENTI'!$A$5:$A$204,0)),"")</f>
        <v/>
      </c>
      <c r="N521" s="39">
        <f>IFERROR(INDEX('11_PRODUSE'!$B$5:$B$104,MATCH($E521,'11_PRODUSE'!$A$5:$A$104,0)),"")</f>
        <v/>
      </c>
      <c r="O521" s="13" t="n"/>
      <c r="P521" s="13" t="n"/>
    </row>
    <row r="522">
      <c r="A522" s="35" t="n"/>
      <c r="B522" s="39">
        <f>IF($A522="","",YEAR($A522)&amp;"-"&amp;RIGHT("0"&amp;MONTH($A522),2))</f>
        <v/>
      </c>
      <c r="C522" s="13" t="n"/>
      <c r="D522" s="13" t="n"/>
      <c r="E522" s="13" t="n"/>
      <c r="F522" s="13" t="n"/>
      <c r="G522" s="40" t="n"/>
      <c r="H522" s="38" t="n"/>
      <c r="I522" s="38" t="n"/>
      <c r="J522" s="38" t="n"/>
      <c r="K522" s="24">
        <f>IF($H522="","",$H522-N($J522))</f>
        <v/>
      </c>
      <c r="L522" s="25">
        <f>IFERROR($K522/$H522,"")</f>
        <v/>
      </c>
      <c r="M522" s="39">
        <f>IFERROR(INDEX('10_CLIENTI'!$B$5:$B$204,MATCH($D522,'10_CLIENTI'!$A$5:$A$204,0)),"")</f>
        <v/>
      </c>
      <c r="N522" s="39">
        <f>IFERROR(INDEX('11_PRODUSE'!$B$5:$B$104,MATCH($E522,'11_PRODUSE'!$A$5:$A$104,0)),"")</f>
        <v/>
      </c>
      <c r="O522" s="13" t="n"/>
      <c r="P522" s="13" t="n"/>
    </row>
    <row r="523">
      <c r="A523" s="35" t="n"/>
      <c r="B523" s="39">
        <f>IF($A523="","",YEAR($A523)&amp;"-"&amp;RIGHT("0"&amp;MONTH($A523),2))</f>
        <v/>
      </c>
      <c r="C523" s="13" t="n"/>
      <c r="D523" s="13" t="n"/>
      <c r="E523" s="13" t="n"/>
      <c r="F523" s="13" t="n"/>
      <c r="G523" s="40" t="n"/>
      <c r="H523" s="38" t="n"/>
      <c r="I523" s="38" t="n"/>
      <c r="J523" s="38" t="n"/>
      <c r="K523" s="24">
        <f>IF($H523="","",$H523-N($J523))</f>
        <v/>
      </c>
      <c r="L523" s="25">
        <f>IFERROR($K523/$H523,"")</f>
        <v/>
      </c>
      <c r="M523" s="39">
        <f>IFERROR(INDEX('10_CLIENTI'!$B$5:$B$204,MATCH($D523,'10_CLIENTI'!$A$5:$A$204,0)),"")</f>
        <v/>
      </c>
      <c r="N523" s="39">
        <f>IFERROR(INDEX('11_PRODUSE'!$B$5:$B$104,MATCH($E523,'11_PRODUSE'!$A$5:$A$104,0)),"")</f>
        <v/>
      </c>
      <c r="O523" s="13" t="n"/>
      <c r="P523" s="13" t="n"/>
    </row>
    <row r="524">
      <c r="A524" s="35" t="n"/>
      <c r="B524" s="39">
        <f>IF($A524="","",YEAR($A524)&amp;"-"&amp;RIGHT("0"&amp;MONTH($A524),2))</f>
        <v/>
      </c>
      <c r="C524" s="13" t="n"/>
      <c r="D524" s="13" t="n"/>
      <c r="E524" s="13" t="n"/>
      <c r="F524" s="13" t="n"/>
      <c r="G524" s="40" t="n"/>
      <c r="H524" s="38" t="n"/>
      <c r="I524" s="38" t="n"/>
      <c r="J524" s="38" t="n"/>
      <c r="K524" s="24">
        <f>IF($H524="","",$H524-N($J524))</f>
        <v/>
      </c>
      <c r="L524" s="25">
        <f>IFERROR($K524/$H524,"")</f>
        <v/>
      </c>
      <c r="M524" s="39">
        <f>IFERROR(INDEX('10_CLIENTI'!$B$5:$B$204,MATCH($D524,'10_CLIENTI'!$A$5:$A$204,0)),"")</f>
        <v/>
      </c>
      <c r="N524" s="39">
        <f>IFERROR(INDEX('11_PRODUSE'!$B$5:$B$104,MATCH($E524,'11_PRODUSE'!$A$5:$A$104,0)),"")</f>
        <v/>
      </c>
      <c r="O524" s="13" t="n"/>
      <c r="P524" s="13" t="n"/>
    </row>
    <row r="525">
      <c r="A525" s="35" t="n"/>
      <c r="B525" s="39">
        <f>IF($A525="","",YEAR($A525)&amp;"-"&amp;RIGHT("0"&amp;MONTH($A525),2))</f>
        <v/>
      </c>
      <c r="C525" s="13" t="n"/>
      <c r="D525" s="13" t="n"/>
      <c r="E525" s="13" t="n"/>
      <c r="F525" s="13" t="n"/>
      <c r="G525" s="40" t="n"/>
      <c r="H525" s="38" t="n"/>
      <c r="I525" s="38" t="n"/>
      <c r="J525" s="38" t="n"/>
      <c r="K525" s="24">
        <f>IF($H525="","",$H525-N($J525))</f>
        <v/>
      </c>
      <c r="L525" s="25">
        <f>IFERROR($K525/$H525,"")</f>
        <v/>
      </c>
      <c r="M525" s="39">
        <f>IFERROR(INDEX('10_CLIENTI'!$B$5:$B$204,MATCH($D525,'10_CLIENTI'!$A$5:$A$204,0)),"")</f>
        <v/>
      </c>
      <c r="N525" s="39">
        <f>IFERROR(INDEX('11_PRODUSE'!$B$5:$B$104,MATCH($E525,'11_PRODUSE'!$A$5:$A$104,0)),"")</f>
        <v/>
      </c>
      <c r="O525" s="13" t="n"/>
      <c r="P525" s="13" t="n"/>
    </row>
    <row r="526">
      <c r="A526" s="35" t="n"/>
      <c r="B526" s="39">
        <f>IF($A526="","",YEAR($A526)&amp;"-"&amp;RIGHT("0"&amp;MONTH($A526),2))</f>
        <v/>
      </c>
      <c r="C526" s="13" t="n"/>
      <c r="D526" s="13" t="n"/>
      <c r="E526" s="13" t="n"/>
      <c r="F526" s="13" t="n"/>
      <c r="G526" s="40" t="n"/>
      <c r="H526" s="38" t="n"/>
      <c r="I526" s="38" t="n"/>
      <c r="J526" s="38" t="n"/>
      <c r="K526" s="24">
        <f>IF($H526="","",$H526-N($J526))</f>
        <v/>
      </c>
      <c r="L526" s="25">
        <f>IFERROR($K526/$H526,"")</f>
        <v/>
      </c>
      <c r="M526" s="39">
        <f>IFERROR(INDEX('10_CLIENTI'!$B$5:$B$204,MATCH($D526,'10_CLIENTI'!$A$5:$A$204,0)),"")</f>
        <v/>
      </c>
      <c r="N526" s="39">
        <f>IFERROR(INDEX('11_PRODUSE'!$B$5:$B$104,MATCH($E526,'11_PRODUSE'!$A$5:$A$104,0)),"")</f>
        <v/>
      </c>
      <c r="O526" s="13" t="n"/>
      <c r="P526" s="13" t="n"/>
    </row>
    <row r="527">
      <c r="A527" s="35" t="n"/>
      <c r="B527" s="39">
        <f>IF($A527="","",YEAR($A527)&amp;"-"&amp;RIGHT("0"&amp;MONTH($A527),2))</f>
        <v/>
      </c>
      <c r="C527" s="13" t="n"/>
      <c r="D527" s="13" t="n"/>
      <c r="E527" s="13" t="n"/>
      <c r="F527" s="13" t="n"/>
      <c r="G527" s="40" t="n"/>
      <c r="H527" s="38" t="n"/>
      <c r="I527" s="38" t="n"/>
      <c r="J527" s="38" t="n"/>
      <c r="K527" s="24">
        <f>IF($H527="","",$H527-N($J527))</f>
        <v/>
      </c>
      <c r="L527" s="25">
        <f>IFERROR($K527/$H527,"")</f>
        <v/>
      </c>
      <c r="M527" s="39">
        <f>IFERROR(INDEX('10_CLIENTI'!$B$5:$B$204,MATCH($D527,'10_CLIENTI'!$A$5:$A$204,0)),"")</f>
        <v/>
      </c>
      <c r="N527" s="39">
        <f>IFERROR(INDEX('11_PRODUSE'!$B$5:$B$104,MATCH($E527,'11_PRODUSE'!$A$5:$A$104,0)),"")</f>
        <v/>
      </c>
      <c r="O527" s="13" t="n"/>
      <c r="P527" s="13" t="n"/>
    </row>
    <row r="528">
      <c r="A528" s="35" t="n"/>
      <c r="B528" s="39">
        <f>IF($A528="","",YEAR($A528)&amp;"-"&amp;RIGHT("0"&amp;MONTH($A528),2))</f>
        <v/>
      </c>
      <c r="C528" s="13" t="n"/>
      <c r="D528" s="13" t="n"/>
      <c r="E528" s="13" t="n"/>
      <c r="F528" s="13" t="n"/>
      <c r="G528" s="40" t="n"/>
      <c r="H528" s="38" t="n"/>
      <c r="I528" s="38" t="n"/>
      <c r="J528" s="38" t="n"/>
      <c r="K528" s="24">
        <f>IF($H528="","",$H528-N($J528))</f>
        <v/>
      </c>
      <c r="L528" s="25">
        <f>IFERROR($K528/$H528,"")</f>
        <v/>
      </c>
      <c r="M528" s="39">
        <f>IFERROR(INDEX('10_CLIENTI'!$B$5:$B$204,MATCH($D528,'10_CLIENTI'!$A$5:$A$204,0)),"")</f>
        <v/>
      </c>
      <c r="N528" s="39">
        <f>IFERROR(INDEX('11_PRODUSE'!$B$5:$B$104,MATCH($E528,'11_PRODUSE'!$A$5:$A$104,0)),"")</f>
        <v/>
      </c>
      <c r="O528" s="13" t="n"/>
      <c r="P528" s="13" t="n"/>
    </row>
    <row r="529">
      <c r="A529" s="35" t="n"/>
      <c r="B529" s="39">
        <f>IF($A529="","",YEAR($A529)&amp;"-"&amp;RIGHT("0"&amp;MONTH($A529),2))</f>
        <v/>
      </c>
      <c r="C529" s="13" t="n"/>
      <c r="D529" s="13" t="n"/>
      <c r="E529" s="13" t="n"/>
      <c r="F529" s="13" t="n"/>
      <c r="G529" s="40" t="n"/>
      <c r="H529" s="38" t="n"/>
      <c r="I529" s="38" t="n"/>
      <c r="J529" s="38" t="n"/>
      <c r="K529" s="24">
        <f>IF($H529="","",$H529-N($J529))</f>
        <v/>
      </c>
      <c r="L529" s="25">
        <f>IFERROR($K529/$H529,"")</f>
        <v/>
      </c>
      <c r="M529" s="39">
        <f>IFERROR(INDEX('10_CLIENTI'!$B$5:$B$204,MATCH($D529,'10_CLIENTI'!$A$5:$A$204,0)),"")</f>
        <v/>
      </c>
      <c r="N529" s="39">
        <f>IFERROR(INDEX('11_PRODUSE'!$B$5:$B$104,MATCH($E529,'11_PRODUSE'!$A$5:$A$104,0)),"")</f>
        <v/>
      </c>
      <c r="O529" s="13" t="n"/>
      <c r="P529" s="13" t="n"/>
    </row>
    <row r="530">
      <c r="A530" s="35" t="n"/>
      <c r="B530" s="39">
        <f>IF($A530="","",YEAR($A530)&amp;"-"&amp;RIGHT("0"&amp;MONTH($A530),2))</f>
        <v/>
      </c>
      <c r="C530" s="13" t="n"/>
      <c r="D530" s="13" t="n"/>
      <c r="E530" s="13" t="n"/>
      <c r="F530" s="13" t="n"/>
      <c r="G530" s="40" t="n"/>
      <c r="H530" s="38" t="n"/>
      <c r="I530" s="38" t="n"/>
      <c r="J530" s="38" t="n"/>
      <c r="K530" s="24">
        <f>IF($H530="","",$H530-N($J530))</f>
        <v/>
      </c>
      <c r="L530" s="25">
        <f>IFERROR($K530/$H530,"")</f>
        <v/>
      </c>
      <c r="M530" s="39">
        <f>IFERROR(INDEX('10_CLIENTI'!$B$5:$B$204,MATCH($D530,'10_CLIENTI'!$A$5:$A$204,0)),"")</f>
        <v/>
      </c>
      <c r="N530" s="39">
        <f>IFERROR(INDEX('11_PRODUSE'!$B$5:$B$104,MATCH($E530,'11_PRODUSE'!$A$5:$A$104,0)),"")</f>
        <v/>
      </c>
      <c r="O530" s="13" t="n"/>
      <c r="P530" s="13" t="n"/>
    </row>
    <row r="531">
      <c r="A531" s="35" t="n"/>
      <c r="B531" s="39">
        <f>IF($A531="","",YEAR($A531)&amp;"-"&amp;RIGHT("0"&amp;MONTH($A531),2))</f>
        <v/>
      </c>
      <c r="C531" s="13" t="n"/>
      <c r="D531" s="13" t="n"/>
      <c r="E531" s="13" t="n"/>
      <c r="F531" s="13" t="n"/>
      <c r="G531" s="40" t="n"/>
      <c r="H531" s="38" t="n"/>
      <c r="I531" s="38" t="n"/>
      <c r="J531" s="38" t="n"/>
      <c r="K531" s="24">
        <f>IF($H531="","",$H531-N($J531))</f>
        <v/>
      </c>
      <c r="L531" s="25">
        <f>IFERROR($K531/$H531,"")</f>
        <v/>
      </c>
      <c r="M531" s="39">
        <f>IFERROR(INDEX('10_CLIENTI'!$B$5:$B$204,MATCH($D531,'10_CLIENTI'!$A$5:$A$204,0)),"")</f>
        <v/>
      </c>
      <c r="N531" s="39">
        <f>IFERROR(INDEX('11_PRODUSE'!$B$5:$B$104,MATCH($E531,'11_PRODUSE'!$A$5:$A$104,0)),"")</f>
        <v/>
      </c>
      <c r="O531" s="13" t="n"/>
      <c r="P531" s="13" t="n"/>
    </row>
    <row r="532">
      <c r="A532" s="35" t="n"/>
      <c r="B532" s="39">
        <f>IF($A532="","",YEAR($A532)&amp;"-"&amp;RIGHT("0"&amp;MONTH($A532),2))</f>
        <v/>
      </c>
      <c r="C532" s="13" t="n"/>
      <c r="D532" s="13" t="n"/>
      <c r="E532" s="13" t="n"/>
      <c r="F532" s="13" t="n"/>
      <c r="G532" s="40" t="n"/>
      <c r="H532" s="38" t="n"/>
      <c r="I532" s="38" t="n"/>
      <c r="J532" s="38" t="n"/>
      <c r="K532" s="24">
        <f>IF($H532="","",$H532-N($J532))</f>
        <v/>
      </c>
      <c r="L532" s="25">
        <f>IFERROR($K532/$H532,"")</f>
        <v/>
      </c>
      <c r="M532" s="39">
        <f>IFERROR(INDEX('10_CLIENTI'!$B$5:$B$204,MATCH($D532,'10_CLIENTI'!$A$5:$A$204,0)),"")</f>
        <v/>
      </c>
      <c r="N532" s="39">
        <f>IFERROR(INDEX('11_PRODUSE'!$B$5:$B$104,MATCH($E532,'11_PRODUSE'!$A$5:$A$104,0)),"")</f>
        <v/>
      </c>
      <c r="O532" s="13" t="n"/>
      <c r="P532" s="13" t="n"/>
    </row>
    <row r="533">
      <c r="A533" s="35" t="n"/>
      <c r="B533" s="39">
        <f>IF($A533="","",YEAR($A533)&amp;"-"&amp;RIGHT("0"&amp;MONTH($A533),2))</f>
        <v/>
      </c>
      <c r="C533" s="13" t="n"/>
      <c r="D533" s="13" t="n"/>
      <c r="E533" s="13" t="n"/>
      <c r="F533" s="13" t="n"/>
      <c r="G533" s="40" t="n"/>
      <c r="H533" s="38" t="n"/>
      <c r="I533" s="38" t="n"/>
      <c r="J533" s="38" t="n"/>
      <c r="K533" s="24">
        <f>IF($H533="","",$H533-N($J533))</f>
        <v/>
      </c>
      <c r="L533" s="25">
        <f>IFERROR($K533/$H533,"")</f>
        <v/>
      </c>
      <c r="M533" s="39">
        <f>IFERROR(INDEX('10_CLIENTI'!$B$5:$B$204,MATCH($D533,'10_CLIENTI'!$A$5:$A$204,0)),"")</f>
        <v/>
      </c>
      <c r="N533" s="39">
        <f>IFERROR(INDEX('11_PRODUSE'!$B$5:$B$104,MATCH($E533,'11_PRODUSE'!$A$5:$A$104,0)),"")</f>
        <v/>
      </c>
      <c r="O533" s="13" t="n"/>
      <c r="P533" s="13" t="n"/>
    </row>
    <row r="534">
      <c r="A534" s="35" t="n"/>
      <c r="B534" s="39">
        <f>IF($A534="","",YEAR($A534)&amp;"-"&amp;RIGHT("0"&amp;MONTH($A534),2))</f>
        <v/>
      </c>
      <c r="C534" s="13" t="n"/>
      <c r="D534" s="13" t="n"/>
      <c r="E534" s="13" t="n"/>
      <c r="F534" s="13" t="n"/>
      <c r="G534" s="40" t="n"/>
      <c r="H534" s="38" t="n"/>
      <c r="I534" s="38" t="n"/>
      <c r="J534" s="38" t="n"/>
      <c r="K534" s="24">
        <f>IF($H534="","",$H534-N($J534))</f>
        <v/>
      </c>
      <c r="L534" s="25">
        <f>IFERROR($K534/$H534,"")</f>
        <v/>
      </c>
      <c r="M534" s="39">
        <f>IFERROR(INDEX('10_CLIENTI'!$B$5:$B$204,MATCH($D534,'10_CLIENTI'!$A$5:$A$204,0)),"")</f>
        <v/>
      </c>
      <c r="N534" s="39">
        <f>IFERROR(INDEX('11_PRODUSE'!$B$5:$B$104,MATCH($E534,'11_PRODUSE'!$A$5:$A$104,0)),"")</f>
        <v/>
      </c>
      <c r="O534" s="13" t="n"/>
      <c r="P534" s="13" t="n"/>
    </row>
    <row r="535">
      <c r="A535" s="35" t="n"/>
      <c r="B535" s="39">
        <f>IF($A535="","",YEAR($A535)&amp;"-"&amp;RIGHT("0"&amp;MONTH($A535),2))</f>
        <v/>
      </c>
      <c r="C535" s="13" t="n"/>
      <c r="D535" s="13" t="n"/>
      <c r="E535" s="13" t="n"/>
      <c r="F535" s="13" t="n"/>
      <c r="G535" s="40" t="n"/>
      <c r="H535" s="38" t="n"/>
      <c r="I535" s="38" t="n"/>
      <c r="J535" s="38" t="n"/>
      <c r="K535" s="24">
        <f>IF($H535="","",$H535-N($J535))</f>
        <v/>
      </c>
      <c r="L535" s="25">
        <f>IFERROR($K535/$H535,"")</f>
        <v/>
      </c>
      <c r="M535" s="39">
        <f>IFERROR(INDEX('10_CLIENTI'!$B$5:$B$204,MATCH($D535,'10_CLIENTI'!$A$5:$A$204,0)),"")</f>
        <v/>
      </c>
      <c r="N535" s="39">
        <f>IFERROR(INDEX('11_PRODUSE'!$B$5:$B$104,MATCH($E535,'11_PRODUSE'!$A$5:$A$104,0)),"")</f>
        <v/>
      </c>
      <c r="O535" s="13" t="n"/>
      <c r="P535" s="13" t="n"/>
    </row>
    <row r="536">
      <c r="A536" s="35" t="n"/>
      <c r="B536" s="39">
        <f>IF($A536="","",YEAR($A536)&amp;"-"&amp;RIGHT("0"&amp;MONTH($A536),2))</f>
        <v/>
      </c>
      <c r="C536" s="13" t="n"/>
      <c r="D536" s="13" t="n"/>
      <c r="E536" s="13" t="n"/>
      <c r="F536" s="13" t="n"/>
      <c r="G536" s="40" t="n"/>
      <c r="H536" s="38" t="n"/>
      <c r="I536" s="38" t="n"/>
      <c r="J536" s="38" t="n"/>
      <c r="K536" s="24">
        <f>IF($H536="","",$H536-N($J536))</f>
        <v/>
      </c>
      <c r="L536" s="25">
        <f>IFERROR($K536/$H536,"")</f>
        <v/>
      </c>
      <c r="M536" s="39">
        <f>IFERROR(INDEX('10_CLIENTI'!$B$5:$B$204,MATCH($D536,'10_CLIENTI'!$A$5:$A$204,0)),"")</f>
        <v/>
      </c>
      <c r="N536" s="39">
        <f>IFERROR(INDEX('11_PRODUSE'!$B$5:$B$104,MATCH($E536,'11_PRODUSE'!$A$5:$A$104,0)),"")</f>
        <v/>
      </c>
      <c r="O536" s="13" t="n"/>
      <c r="P536" s="13" t="n"/>
    </row>
    <row r="537">
      <c r="A537" s="35" t="n"/>
      <c r="B537" s="39">
        <f>IF($A537="","",YEAR($A537)&amp;"-"&amp;RIGHT("0"&amp;MONTH($A537),2))</f>
        <v/>
      </c>
      <c r="C537" s="13" t="n"/>
      <c r="D537" s="13" t="n"/>
      <c r="E537" s="13" t="n"/>
      <c r="F537" s="13" t="n"/>
      <c r="G537" s="40" t="n"/>
      <c r="H537" s="38" t="n"/>
      <c r="I537" s="38" t="n"/>
      <c r="J537" s="38" t="n"/>
      <c r="K537" s="24">
        <f>IF($H537="","",$H537-N($J537))</f>
        <v/>
      </c>
      <c r="L537" s="25">
        <f>IFERROR($K537/$H537,"")</f>
        <v/>
      </c>
      <c r="M537" s="39">
        <f>IFERROR(INDEX('10_CLIENTI'!$B$5:$B$204,MATCH($D537,'10_CLIENTI'!$A$5:$A$204,0)),"")</f>
        <v/>
      </c>
      <c r="N537" s="39">
        <f>IFERROR(INDEX('11_PRODUSE'!$B$5:$B$104,MATCH($E537,'11_PRODUSE'!$A$5:$A$104,0)),"")</f>
        <v/>
      </c>
      <c r="O537" s="13" t="n"/>
      <c r="P537" s="13" t="n"/>
    </row>
    <row r="538">
      <c r="A538" s="35" t="n"/>
      <c r="B538" s="39">
        <f>IF($A538="","",YEAR($A538)&amp;"-"&amp;RIGHT("0"&amp;MONTH($A538),2))</f>
        <v/>
      </c>
      <c r="C538" s="13" t="n"/>
      <c r="D538" s="13" t="n"/>
      <c r="E538" s="13" t="n"/>
      <c r="F538" s="13" t="n"/>
      <c r="G538" s="40" t="n"/>
      <c r="H538" s="38" t="n"/>
      <c r="I538" s="38" t="n"/>
      <c r="J538" s="38" t="n"/>
      <c r="K538" s="24">
        <f>IF($H538="","",$H538-N($J538))</f>
        <v/>
      </c>
      <c r="L538" s="25">
        <f>IFERROR($K538/$H538,"")</f>
        <v/>
      </c>
      <c r="M538" s="39">
        <f>IFERROR(INDEX('10_CLIENTI'!$B$5:$B$204,MATCH($D538,'10_CLIENTI'!$A$5:$A$204,0)),"")</f>
        <v/>
      </c>
      <c r="N538" s="39">
        <f>IFERROR(INDEX('11_PRODUSE'!$B$5:$B$104,MATCH($E538,'11_PRODUSE'!$A$5:$A$104,0)),"")</f>
        <v/>
      </c>
      <c r="O538" s="13" t="n"/>
      <c r="P538" s="13" t="n"/>
    </row>
    <row r="539">
      <c r="A539" s="35" t="n"/>
      <c r="B539" s="39">
        <f>IF($A539="","",YEAR($A539)&amp;"-"&amp;RIGHT("0"&amp;MONTH($A539),2))</f>
        <v/>
      </c>
      <c r="C539" s="13" t="n"/>
      <c r="D539" s="13" t="n"/>
      <c r="E539" s="13" t="n"/>
      <c r="F539" s="13" t="n"/>
      <c r="G539" s="40" t="n"/>
      <c r="H539" s="38" t="n"/>
      <c r="I539" s="38" t="n"/>
      <c r="J539" s="38" t="n"/>
      <c r="K539" s="24">
        <f>IF($H539="","",$H539-N($J539))</f>
        <v/>
      </c>
      <c r="L539" s="25">
        <f>IFERROR($K539/$H539,"")</f>
        <v/>
      </c>
      <c r="M539" s="39">
        <f>IFERROR(INDEX('10_CLIENTI'!$B$5:$B$204,MATCH($D539,'10_CLIENTI'!$A$5:$A$204,0)),"")</f>
        <v/>
      </c>
      <c r="N539" s="39">
        <f>IFERROR(INDEX('11_PRODUSE'!$B$5:$B$104,MATCH($E539,'11_PRODUSE'!$A$5:$A$104,0)),"")</f>
        <v/>
      </c>
      <c r="O539" s="13" t="n"/>
      <c r="P539" s="13" t="n"/>
    </row>
    <row r="540">
      <c r="A540" s="35" t="n"/>
      <c r="B540" s="39">
        <f>IF($A540="","",YEAR($A540)&amp;"-"&amp;RIGHT("0"&amp;MONTH($A540),2))</f>
        <v/>
      </c>
      <c r="C540" s="13" t="n"/>
      <c r="D540" s="13" t="n"/>
      <c r="E540" s="13" t="n"/>
      <c r="F540" s="13" t="n"/>
      <c r="G540" s="40" t="n"/>
      <c r="H540" s="38" t="n"/>
      <c r="I540" s="38" t="n"/>
      <c r="J540" s="38" t="n"/>
      <c r="K540" s="24">
        <f>IF($H540="","",$H540-N($J540))</f>
        <v/>
      </c>
      <c r="L540" s="25">
        <f>IFERROR($K540/$H540,"")</f>
        <v/>
      </c>
      <c r="M540" s="39">
        <f>IFERROR(INDEX('10_CLIENTI'!$B$5:$B$204,MATCH($D540,'10_CLIENTI'!$A$5:$A$204,0)),"")</f>
        <v/>
      </c>
      <c r="N540" s="39">
        <f>IFERROR(INDEX('11_PRODUSE'!$B$5:$B$104,MATCH($E540,'11_PRODUSE'!$A$5:$A$104,0)),"")</f>
        <v/>
      </c>
      <c r="O540" s="13" t="n"/>
      <c r="P540" s="13" t="n"/>
    </row>
    <row r="541">
      <c r="A541" s="35" t="n"/>
      <c r="B541" s="39">
        <f>IF($A541="","",YEAR($A541)&amp;"-"&amp;RIGHT("0"&amp;MONTH($A541),2))</f>
        <v/>
      </c>
      <c r="C541" s="13" t="n"/>
      <c r="D541" s="13" t="n"/>
      <c r="E541" s="13" t="n"/>
      <c r="F541" s="13" t="n"/>
      <c r="G541" s="40" t="n"/>
      <c r="H541" s="38" t="n"/>
      <c r="I541" s="38" t="n"/>
      <c r="J541" s="38" t="n"/>
      <c r="K541" s="24">
        <f>IF($H541="","",$H541-N($J541))</f>
        <v/>
      </c>
      <c r="L541" s="25">
        <f>IFERROR($K541/$H541,"")</f>
        <v/>
      </c>
      <c r="M541" s="39">
        <f>IFERROR(INDEX('10_CLIENTI'!$B$5:$B$204,MATCH($D541,'10_CLIENTI'!$A$5:$A$204,0)),"")</f>
        <v/>
      </c>
      <c r="N541" s="39">
        <f>IFERROR(INDEX('11_PRODUSE'!$B$5:$B$104,MATCH($E541,'11_PRODUSE'!$A$5:$A$104,0)),"")</f>
        <v/>
      </c>
      <c r="O541" s="13" t="n"/>
      <c r="P541" s="13" t="n"/>
    </row>
    <row r="542">
      <c r="A542" s="35" t="n"/>
      <c r="B542" s="39">
        <f>IF($A542="","",YEAR($A542)&amp;"-"&amp;RIGHT("0"&amp;MONTH($A542),2))</f>
        <v/>
      </c>
      <c r="C542" s="13" t="n"/>
      <c r="D542" s="13" t="n"/>
      <c r="E542" s="13" t="n"/>
      <c r="F542" s="13" t="n"/>
      <c r="G542" s="40" t="n"/>
      <c r="H542" s="38" t="n"/>
      <c r="I542" s="38" t="n"/>
      <c r="J542" s="38" t="n"/>
      <c r="K542" s="24">
        <f>IF($H542="","",$H542-N($J542))</f>
        <v/>
      </c>
      <c r="L542" s="25">
        <f>IFERROR($K542/$H542,"")</f>
        <v/>
      </c>
      <c r="M542" s="39">
        <f>IFERROR(INDEX('10_CLIENTI'!$B$5:$B$204,MATCH($D542,'10_CLIENTI'!$A$5:$A$204,0)),"")</f>
        <v/>
      </c>
      <c r="N542" s="39">
        <f>IFERROR(INDEX('11_PRODUSE'!$B$5:$B$104,MATCH($E542,'11_PRODUSE'!$A$5:$A$104,0)),"")</f>
        <v/>
      </c>
      <c r="O542" s="13" t="n"/>
      <c r="P542" s="13" t="n"/>
    </row>
    <row r="543">
      <c r="A543" s="35" t="n"/>
      <c r="B543" s="39">
        <f>IF($A543="","",YEAR($A543)&amp;"-"&amp;RIGHT("0"&amp;MONTH($A543),2))</f>
        <v/>
      </c>
      <c r="C543" s="13" t="n"/>
      <c r="D543" s="13" t="n"/>
      <c r="E543" s="13" t="n"/>
      <c r="F543" s="13" t="n"/>
      <c r="G543" s="40" t="n"/>
      <c r="H543" s="38" t="n"/>
      <c r="I543" s="38" t="n"/>
      <c r="J543" s="38" t="n"/>
      <c r="K543" s="24">
        <f>IF($H543="","",$H543-N($J543))</f>
        <v/>
      </c>
      <c r="L543" s="25">
        <f>IFERROR($K543/$H543,"")</f>
        <v/>
      </c>
      <c r="M543" s="39">
        <f>IFERROR(INDEX('10_CLIENTI'!$B$5:$B$204,MATCH($D543,'10_CLIENTI'!$A$5:$A$204,0)),"")</f>
        <v/>
      </c>
      <c r="N543" s="39">
        <f>IFERROR(INDEX('11_PRODUSE'!$B$5:$B$104,MATCH($E543,'11_PRODUSE'!$A$5:$A$104,0)),"")</f>
        <v/>
      </c>
      <c r="O543" s="13" t="n"/>
      <c r="P543" s="13" t="n"/>
    </row>
    <row r="544">
      <c r="A544" s="35" t="n"/>
      <c r="B544" s="39">
        <f>IF($A544="","",YEAR($A544)&amp;"-"&amp;RIGHT("0"&amp;MONTH($A544),2))</f>
        <v/>
      </c>
      <c r="C544" s="13" t="n"/>
      <c r="D544" s="13" t="n"/>
      <c r="E544" s="13" t="n"/>
      <c r="F544" s="13" t="n"/>
      <c r="G544" s="40" t="n"/>
      <c r="H544" s="38" t="n"/>
      <c r="I544" s="38" t="n"/>
      <c r="J544" s="38" t="n"/>
      <c r="K544" s="24">
        <f>IF($H544="","",$H544-N($J544))</f>
        <v/>
      </c>
      <c r="L544" s="25">
        <f>IFERROR($K544/$H544,"")</f>
        <v/>
      </c>
      <c r="M544" s="39">
        <f>IFERROR(INDEX('10_CLIENTI'!$B$5:$B$204,MATCH($D544,'10_CLIENTI'!$A$5:$A$204,0)),"")</f>
        <v/>
      </c>
      <c r="N544" s="39">
        <f>IFERROR(INDEX('11_PRODUSE'!$B$5:$B$104,MATCH($E544,'11_PRODUSE'!$A$5:$A$104,0)),"")</f>
        <v/>
      </c>
      <c r="O544" s="13" t="n"/>
      <c r="P544" s="13" t="n"/>
    </row>
    <row r="545">
      <c r="A545" s="35" t="n"/>
      <c r="B545" s="39">
        <f>IF($A545="","",YEAR($A545)&amp;"-"&amp;RIGHT("0"&amp;MONTH($A545),2))</f>
        <v/>
      </c>
      <c r="C545" s="13" t="n"/>
      <c r="D545" s="13" t="n"/>
      <c r="E545" s="13" t="n"/>
      <c r="F545" s="13" t="n"/>
      <c r="G545" s="40" t="n"/>
      <c r="H545" s="38" t="n"/>
      <c r="I545" s="38" t="n"/>
      <c r="J545" s="38" t="n"/>
      <c r="K545" s="24">
        <f>IF($H545="","",$H545-N($J545))</f>
        <v/>
      </c>
      <c r="L545" s="25">
        <f>IFERROR($K545/$H545,"")</f>
        <v/>
      </c>
      <c r="M545" s="39">
        <f>IFERROR(INDEX('10_CLIENTI'!$B$5:$B$204,MATCH($D545,'10_CLIENTI'!$A$5:$A$204,0)),"")</f>
        <v/>
      </c>
      <c r="N545" s="39">
        <f>IFERROR(INDEX('11_PRODUSE'!$B$5:$B$104,MATCH($E545,'11_PRODUSE'!$A$5:$A$104,0)),"")</f>
        <v/>
      </c>
      <c r="O545" s="13" t="n"/>
      <c r="P545" s="13" t="n"/>
    </row>
    <row r="546">
      <c r="A546" s="35" t="n"/>
      <c r="B546" s="39">
        <f>IF($A546="","",YEAR($A546)&amp;"-"&amp;RIGHT("0"&amp;MONTH($A546),2))</f>
        <v/>
      </c>
      <c r="C546" s="13" t="n"/>
      <c r="D546" s="13" t="n"/>
      <c r="E546" s="13" t="n"/>
      <c r="F546" s="13" t="n"/>
      <c r="G546" s="40" t="n"/>
      <c r="H546" s="38" t="n"/>
      <c r="I546" s="38" t="n"/>
      <c r="J546" s="38" t="n"/>
      <c r="K546" s="24">
        <f>IF($H546="","",$H546-N($J546))</f>
        <v/>
      </c>
      <c r="L546" s="25">
        <f>IFERROR($K546/$H546,"")</f>
        <v/>
      </c>
      <c r="M546" s="39">
        <f>IFERROR(INDEX('10_CLIENTI'!$B$5:$B$204,MATCH($D546,'10_CLIENTI'!$A$5:$A$204,0)),"")</f>
        <v/>
      </c>
      <c r="N546" s="39">
        <f>IFERROR(INDEX('11_PRODUSE'!$B$5:$B$104,MATCH($E546,'11_PRODUSE'!$A$5:$A$104,0)),"")</f>
        <v/>
      </c>
      <c r="O546" s="13" t="n"/>
      <c r="P546" s="13" t="n"/>
    </row>
    <row r="547">
      <c r="A547" s="35" t="n"/>
      <c r="B547" s="39">
        <f>IF($A547="","",YEAR($A547)&amp;"-"&amp;RIGHT("0"&amp;MONTH($A547),2))</f>
        <v/>
      </c>
      <c r="C547" s="13" t="n"/>
      <c r="D547" s="13" t="n"/>
      <c r="E547" s="13" t="n"/>
      <c r="F547" s="13" t="n"/>
      <c r="G547" s="40" t="n"/>
      <c r="H547" s="38" t="n"/>
      <c r="I547" s="38" t="n"/>
      <c r="J547" s="38" t="n"/>
      <c r="K547" s="24">
        <f>IF($H547="","",$H547-N($J547))</f>
        <v/>
      </c>
      <c r="L547" s="25">
        <f>IFERROR($K547/$H547,"")</f>
        <v/>
      </c>
      <c r="M547" s="39">
        <f>IFERROR(INDEX('10_CLIENTI'!$B$5:$B$204,MATCH($D547,'10_CLIENTI'!$A$5:$A$204,0)),"")</f>
        <v/>
      </c>
      <c r="N547" s="39">
        <f>IFERROR(INDEX('11_PRODUSE'!$B$5:$B$104,MATCH($E547,'11_PRODUSE'!$A$5:$A$104,0)),"")</f>
        <v/>
      </c>
      <c r="O547" s="13" t="n"/>
      <c r="P547" s="13" t="n"/>
    </row>
    <row r="548">
      <c r="A548" s="35" t="n"/>
      <c r="B548" s="39">
        <f>IF($A548="","",YEAR($A548)&amp;"-"&amp;RIGHT("0"&amp;MONTH($A548),2))</f>
        <v/>
      </c>
      <c r="C548" s="13" t="n"/>
      <c r="D548" s="13" t="n"/>
      <c r="E548" s="13" t="n"/>
      <c r="F548" s="13" t="n"/>
      <c r="G548" s="40" t="n"/>
      <c r="H548" s="38" t="n"/>
      <c r="I548" s="38" t="n"/>
      <c r="J548" s="38" t="n"/>
      <c r="K548" s="24">
        <f>IF($H548="","",$H548-N($J548))</f>
        <v/>
      </c>
      <c r="L548" s="25">
        <f>IFERROR($K548/$H548,"")</f>
        <v/>
      </c>
      <c r="M548" s="39">
        <f>IFERROR(INDEX('10_CLIENTI'!$B$5:$B$204,MATCH($D548,'10_CLIENTI'!$A$5:$A$204,0)),"")</f>
        <v/>
      </c>
      <c r="N548" s="39">
        <f>IFERROR(INDEX('11_PRODUSE'!$B$5:$B$104,MATCH($E548,'11_PRODUSE'!$A$5:$A$104,0)),"")</f>
        <v/>
      </c>
      <c r="O548" s="13" t="n"/>
      <c r="P548" s="13" t="n"/>
    </row>
    <row r="549">
      <c r="A549" s="35" t="n"/>
      <c r="B549" s="39">
        <f>IF($A549="","",YEAR($A549)&amp;"-"&amp;RIGHT("0"&amp;MONTH($A549),2))</f>
        <v/>
      </c>
      <c r="C549" s="13" t="n"/>
      <c r="D549" s="13" t="n"/>
      <c r="E549" s="13" t="n"/>
      <c r="F549" s="13" t="n"/>
      <c r="G549" s="40" t="n"/>
      <c r="H549" s="38" t="n"/>
      <c r="I549" s="38" t="n"/>
      <c r="J549" s="38" t="n"/>
      <c r="K549" s="24">
        <f>IF($H549="","",$H549-N($J549))</f>
        <v/>
      </c>
      <c r="L549" s="25">
        <f>IFERROR($K549/$H549,"")</f>
        <v/>
      </c>
      <c r="M549" s="39">
        <f>IFERROR(INDEX('10_CLIENTI'!$B$5:$B$204,MATCH($D549,'10_CLIENTI'!$A$5:$A$204,0)),"")</f>
        <v/>
      </c>
      <c r="N549" s="39">
        <f>IFERROR(INDEX('11_PRODUSE'!$B$5:$B$104,MATCH($E549,'11_PRODUSE'!$A$5:$A$104,0)),"")</f>
        <v/>
      </c>
      <c r="O549" s="13" t="n"/>
      <c r="P549" s="13" t="n"/>
    </row>
    <row r="550">
      <c r="A550" s="35" t="n"/>
      <c r="B550" s="39">
        <f>IF($A550="","",YEAR($A550)&amp;"-"&amp;RIGHT("0"&amp;MONTH($A550),2))</f>
        <v/>
      </c>
      <c r="C550" s="13" t="n"/>
      <c r="D550" s="13" t="n"/>
      <c r="E550" s="13" t="n"/>
      <c r="F550" s="13" t="n"/>
      <c r="G550" s="40" t="n"/>
      <c r="H550" s="38" t="n"/>
      <c r="I550" s="38" t="n"/>
      <c r="J550" s="38" t="n"/>
      <c r="K550" s="24">
        <f>IF($H550="","",$H550-N($J550))</f>
        <v/>
      </c>
      <c r="L550" s="25">
        <f>IFERROR($K550/$H550,"")</f>
        <v/>
      </c>
      <c r="M550" s="39">
        <f>IFERROR(INDEX('10_CLIENTI'!$B$5:$B$204,MATCH($D550,'10_CLIENTI'!$A$5:$A$204,0)),"")</f>
        <v/>
      </c>
      <c r="N550" s="39">
        <f>IFERROR(INDEX('11_PRODUSE'!$B$5:$B$104,MATCH($E550,'11_PRODUSE'!$A$5:$A$104,0)),"")</f>
        <v/>
      </c>
      <c r="O550" s="13" t="n"/>
      <c r="P550" s="13" t="n"/>
    </row>
    <row r="551">
      <c r="A551" s="35" t="n"/>
      <c r="B551" s="39">
        <f>IF($A551="","",YEAR($A551)&amp;"-"&amp;RIGHT("0"&amp;MONTH($A551),2))</f>
        <v/>
      </c>
      <c r="C551" s="13" t="n"/>
      <c r="D551" s="13" t="n"/>
      <c r="E551" s="13" t="n"/>
      <c r="F551" s="13" t="n"/>
      <c r="G551" s="40" t="n"/>
      <c r="H551" s="38" t="n"/>
      <c r="I551" s="38" t="n"/>
      <c r="J551" s="38" t="n"/>
      <c r="K551" s="24">
        <f>IF($H551="","",$H551-N($J551))</f>
        <v/>
      </c>
      <c r="L551" s="25">
        <f>IFERROR($K551/$H551,"")</f>
        <v/>
      </c>
      <c r="M551" s="39">
        <f>IFERROR(INDEX('10_CLIENTI'!$B$5:$B$204,MATCH($D551,'10_CLIENTI'!$A$5:$A$204,0)),"")</f>
        <v/>
      </c>
      <c r="N551" s="39">
        <f>IFERROR(INDEX('11_PRODUSE'!$B$5:$B$104,MATCH($E551,'11_PRODUSE'!$A$5:$A$104,0)),"")</f>
        <v/>
      </c>
      <c r="O551" s="13" t="n"/>
      <c r="P551" s="13" t="n"/>
    </row>
    <row r="552">
      <c r="A552" s="35" t="n"/>
      <c r="B552" s="39">
        <f>IF($A552="","",YEAR($A552)&amp;"-"&amp;RIGHT("0"&amp;MONTH($A552),2))</f>
        <v/>
      </c>
      <c r="C552" s="13" t="n"/>
      <c r="D552" s="13" t="n"/>
      <c r="E552" s="13" t="n"/>
      <c r="F552" s="13" t="n"/>
      <c r="G552" s="40" t="n"/>
      <c r="H552" s="38" t="n"/>
      <c r="I552" s="38" t="n"/>
      <c r="J552" s="38" t="n"/>
      <c r="K552" s="24">
        <f>IF($H552="","",$H552-N($J552))</f>
        <v/>
      </c>
      <c r="L552" s="25">
        <f>IFERROR($K552/$H552,"")</f>
        <v/>
      </c>
      <c r="M552" s="39">
        <f>IFERROR(INDEX('10_CLIENTI'!$B$5:$B$204,MATCH($D552,'10_CLIENTI'!$A$5:$A$204,0)),"")</f>
        <v/>
      </c>
      <c r="N552" s="39">
        <f>IFERROR(INDEX('11_PRODUSE'!$B$5:$B$104,MATCH($E552,'11_PRODUSE'!$A$5:$A$104,0)),"")</f>
        <v/>
      </c>
      <c r="O552" s="13" t="n"/>
      <c r="P552" s="13" t="n"/>
    </row>
    <row r="553">
      <c r="A553" s="35" t="n"/>
      <c r="B553" s="39">
        <f>IF($A553="","",YEAR($A553)&amp;"-"&amp;RIGHT("0"&amp;MONTH($A553),2))</f>
        <v/>
      </c>
      <c r="C553" s="13" t="n"/>
      <c r="D553" s="13" t="n"/>
      <c r="E553" s="13" t="n"/>
      <c r="F553" s="13" t="n"/>
      <c r="G553" s="40" t="n"/>
      <c r="H553" s="38" t="n"/>
      <c r="I553" s="38" t="n"/>
      <c r="J553" s="38" t="n"/>
      <c r="K553" s="24">
        <f>IF($H553="","",$H553-N($J553))</f>
        <v/>
      </c>
      <c r="L553" s="25">
        <f>IFERROR($K553/$H553,"")</f>
        <v/>
      </c>
      <c r="M553" s="39">
        <f>IFERROR(INDEX('10_CLIENTI'!$B$5:$B$204,MATCH($D553,'10_CLIENTI'!$A$5:$A$204,0)),"")</f>
        <v/>
      </c>
      <c r="N553" s="39">
        <f>IFERROR(INDEX('11_PRODUSE'!$B$5:$B$104,MATCH($E553,'11_PRODUSE'!$A$5:$A$104,0)),"")</f>
        <v/>
      </c>
      <c r="O553" s="13" t="n"/>
      <c r="P553" s="13" t="n"/>
    </row>
    <row r="554">
      <c r="A554" s="35" t="n"/>
      <c r="B554" s="39">
        <f>IF($A554="","",YEAR($A554)&amp;"-"&amp;RIGHT("0"&amp;MONTH($A554),2))</f>
        <v/>
      </c>
      <c r="C554" s="13" t="n"/>
      <c r="D554" s="13" t="n"/>
      <c r="E554" s="13" t="n"/>
      <c r="F554" s="13" t="n"/>
      <c r="G554" s="40" t="n"/>
      <c r="H554" s="38" t="n"/>
      <c r="I554" s="38" t="n"/>
      <c r="J554" s="38" t="n"/>
      <c r="K554" s="24">
        <f>IF($H554="","",$H554-N($J554))</f>
        <v/>
      </c>
      <c r="L554" s="25">
        <f>IFERROR($K554/$H554,"")</f>
        <v/>
      </c>
      <c r="M554" s="39">
        <f>IFERROR(INDEX('10_CLIENTI'!$B$5:$B$204,MATCH($D554,'10_CLIENTI'!$A$5:$A$204,0)),"")</f>
        <v/>
      </c>
      <c r="N554" s="39">
        <f>IFERROR(INDEX('11_PRODUSE'!$B$5:$B$104,MATCH($E554,'11_PRODUSE'!$A$5:$A$104,0)),"")</f>
        <v/>
      </c>
      <c r="O554" s="13" t="n"/>
      <c r="P554" s="13" t="n"/>
    </row>
    <row r="555">
      <c r="A555" s="35" t="n"/>
      <c r="B555" s="39">
        <f>IF($A555="","",YEAR($A555)&amp;"-"&amp;RIGHT("0"&amp;MONTH($A555),2))</f>
        <v/>
      </c>
      <c r="C555" s="13" t="n"/>
      <c r="D555" s="13" t="n"/>
      <c r="E555" s="13" t="n"/>
      <c r="F555" s="13" t="n"/>
      <c r="G555" s="40" t="n"/>
      <c r="H555" s="38" t="n"/>
      <c r="I555" s="38" t="n"/>
      <c r="J555" s="38" t="n"/>
      <c r="K555" s="24">
        <f>IF($H555="","",$H555-N($J555))</f>
        <v/>
      </c>
      <c r="L555" s="25">
        <f>IFERROR($K555/$H555,"")</f>
        <v/>
      </c>
      <c r="M555" s="39">
        <f>IFERROR(INDEX('10_CLIENTI'!$B$5:$B$204,MATCH($D555,'10_CLIENTI'!$A$5:$A$204,0)),"")</f>
        <v/>
      </c>
      <c r="N555" s="39">
        <f>IFERROR(INDEX('11_PRODUSE'!$B$5:$B$104,MATCH($E555,'11_PRODUSE'!$A$5:$A$104,0)),"")</f>
        <v/>
      </c>
      <c r="O555" s="13" t="n"/>
      <c r="P555" s="13" t="n"/>
    </row>
    <row r="556">
      <c r="A556" s="35" t="n"/>
      <c r="B556" s="39">
        <f>IF($A556="","",YEAR($A556)&amp;"-"&amp;RIGHT("0"&amp;MONTH($A556),2))</f>
        <v/>
      </c>
      <c r="C556" s="13" t="n"/>
      <c r="D556" s="13" t="n"/>
      <c r="E556" s="13" t="n"/>
      <c r="F556" s="13" t="n"/>
      <c r="G556" s="40" t="n"/>
      <c r="H556" s="38" t="n"/>
      <c r="I556" s="38" t="n"/>
      <c r="J556" s="38" t="n"/>
      <c r="K556" s="24">
        <f>IF($H556="","",$H556-N($J556))</f>
        <v/>
      </c>
      <c r="L556" s="25">
        <f>IFERROR($K556/$H556,"")</f>
        <v/>
      </c>
      <c r="M556" s="39">
        <f>IFERROR(INDEX('10_CLIENTI'!$B$5:$B$204,MATCH($D556,'10_CLIENTI'!$A$5:$A$204,0)),"")</f>
        <v/>
      </c>
      <c r="N556" s="39">
        <f>IFERROR(INDEX('11_PRODUSE'!$B$5:$B$104,MATCH($E556,'11_PRODUSE'!$A$5:$A$104,0)),"")</f>
        <v/>
      </c>
      <c r="O556" s="13" t="n"/>
      <c r="P556" s="13" t="n"/>
    </row>
    <row r="557">
      <c r="A557" s="35" t="n"/>
      <c r="B557" s="39">
        <f>IF($A557="","",YEAR($A557)&amp;"-"&amp;RIGHT("0"&amp;MONTH($A557),2))</f>
        <v/>
      </c>
      <c r="C557" s="13" t="n"/>
      <c r="D557" s="13" t="n"/>
      <c r="E557" s="13" t="n"/>
      <c r="F557" s="13" t="n"/>
      <c r="G557" s="40" t="n"/>
      <c r="H557" s="38" t="n"/>
      <c r="I557" s="38" t="n"/>
      <c r="J557" s="38" t="n"/>
      <c r="K557" s="24">
        <f>IF($H557="","",$H557-N($J557))</f>
        <v/>
      </c>
      <c r="L557" s="25">
        <f>IFERROR($K557/$H557,"")</f>
        <v/>
      </c>
      <c r="M557" s="39">
        <f>IFERROR(INDEX('10_CLIENTI'!$B$5:$B$204,MATCH($D557,'10_CLIENTI'!$A$5:$A$204,0)),"")</f>
        <v/>
      </c>
      <c r="N557" s="39">
        <f>IFERROR(INDEX('11_PRODUSE'!$B$5:$B$104,MATCH($E557,'11_PRODUSE'!$A$5:$A$104,0)),"")</f>
        <v/>
      </c>
      <c r="O557" s="13" t="n"/>
      <c r="P557" s="13" t="n"/>
    </row>
    <row r="558">
      <c r="A558" s="35" t="n"/>
      <c r="B558" s="39">
        <f>IF($A558="","",YEAR($A558)&amp;"-"&amp;RIGHT("0"&amp;MONTH($A558),2))</f>
        <v/>
      </c>
      <c r="C558" s="13" t="n"/>
      <c r="D558" s="13" t="n"/>
      <c r="E558" s="13" t="n"/>
      <c r="F558" s="13" t="n"/>
      <c r="G558" s="40" t="n"/>
      <c r="H558" s="38" t="n"/>
      <c r="I558" s="38" t="n"/>
      <c r="J558" s="38" t="n"/>
      <c r="K558" s="24">
        <f>IF($H558="","",$H558-N($J558))</f>
        <v/>
      </c>
      <c r="L558" s="25">
        <f>IFERROR($K558/$H558,"")</f>
        <v/>
      </c>
      <c r="M558" s="39">
        <f>IFERROR(INDEX('10_CLIENTI'!$B$5:$B$204,MATCH($D558,'10_CLIENTI'!$A$5:$A$204,0)),"")</f>
        <v/>
      </c>
      <c r="N558" s="39">
        <f>IFERROR(INDEX('11_PRODUSE'!$B$5:$B$104,MATCH($E558,'11_PRODUSE'!$A$5:$A$104,0)),"")</f>
        <v/>
      </c>
      <c r="O558" s="13" t="n"/>
      <c r="P558" s="13" t="n"/>
    </row>
    <row r="559">
      <c r="A559" s="35" t="n"/>
      <c r="B559" s="39">
        <f>IF($A559="","",YEAR($A559)&amp;"-"&amp;RIGHT("0"&amp;MONTH($A559),2))</f>
        <v/>
      </c>
      <c r="C559" s="13" t="n"/>
      <c r="D559" s="13" t="n"/>
      <c r="E559" s="13" t="n"/>
      <c r="F559" s="13" t="n"/>
      <c r="G559" s="40" t="n"/>
      <c r="H559" s="38" t="n"/>
      <c r="I559" s="38" t="n"/>
      <c r="J559" s="38" t="n"/>
      <c r="K559" s="24">
        <f>IF($H559="","",$H559-N($J559))</f>
        <v/>
      </c>
      <c r="L559" s="25">
        <f>IFERROR($K559/$H559,"")</f>
        <v/>
      </c>
      <c r="M559" s="39">
        <f>IFERROR(INDEX('10_CLIENTI'!$B$5:$B$204,MATCH($D559,'10_CLIENTI'!$A$5:$A$204,0)),"")</f>
        <v/>
      </c>
      <c r="N559" s="39">
        <f>IFERROR(INDEX('11_PRODUSE'!$B$5:$B$104,MATCH($E559,'11_PRODUSE'!$A$5:$A$104,0)),"")</f>
        <v/>
      </c>
      <c r="O559" s="13" t="n"/>
      <c r="P559" s="13" t="n"/>
    </row>
    <row r="560">
      <c r="A560" s="35" t="n"/>
      <c r="B560" s="39">
        <f>IF($A560="","",YEAR($A560)&amp;"-"&amp;RIGHT("0"&amp;MONTH($A560),2))</f>
        <v/>
      </c>
      <c r="C560" s="13" t="n"/>
      <c r="D560" s="13" t="n"/>
      <c r="E560" s="13" t="n"/>
      <c r="F560" s="13" t="n"/>
      <c r="G560" s="40" t="n"/>
      <c r="H560" s="38" t="n"/>
      <c r="I560" s="38" t="n"/>
      <c r="J560" s="38" t="n"/>
      <c r="K560" s="24">
        <f>IF($H560="","",$H560-N($J560))</f>
        <v/>
      </c>
      <c r="L560" s="25">
        <f>IFERROR($K560/$H560,"")</f>
        <v/>
      </c>
      <c r="M560" s="39">
        <f>IFERROR(INDEX('10_CLIENTI'!$B$5:$B$204,MATCH($D560,'10_CLIENTI'!$A$5:$A$204,0)),"")</f>
        <v/>
      </c>
      <c r="N560" s="39">
        <f>IFERROR(INDEX('11_PRODUSE'!$B$5:$B$104,MATCH($E560,'11_PRODUSE'!$A$5:$A$104,0)),"")</f>
        <v/>
      </c>
      <c r="O560" s="13" t="n"/>
      <c r="P560" s="13" t="n"/>
    </row>
    <row r="561">
      <c r="A561" s="35" t="n"/>
      <c r="B561" s="39">
        <f>IF($A561="","",YEAR($A561)&amp;"-"&amp;RIGHT("0"&amp;MONTH($A561),2))</f>
        <v/>
      </c>
      <c r="C561" s="13" t="n"/>
      <c r="D561" s="13" t="n"/>
      <c r="E561" s="13" t="n"/>
      <c r="F561" s="13" t="n"/>
      <c r="G561" s="40" t="n"/>
      <c r="H561" s="38" t="n"/>
      <c r="I561" s="38" t="n"/>
      <c r="J561" s="38" t="n"/>
      <c r="K561" s="24">
        <f>IF($H561="","",$H561-N($J561))</f>
        <v/>
      </c>
      <c r="L561" s="25">
        <f>IFERROR($K561/$H561,"")</f>
        <v/>
      </c>
      <c r="M561" s="39">
        <f>IFERROR(INDEX('10_CLIENTI'!$B$5:$B$204,MATCH($D561,'10_CLIENTI'!$A$5:$A$204,0)),"")</f>
        <v/>
      </c>
      <c r="N561" s="39">
        <f>IFERROR(INDEX('11_PRODUSE'!$B$5:$B$104,MATCH($E561,'11_PRODUSE'!$A$5:$A$104,0)),"")</f>
        <v/>
      </c>
      <c r="O561" s="13" t="n"/>
      <c r="P561" s="13" t="n"/>
    </row>
    <row r="562">
      <c r="A562" s="35" t="n"/>
      <c r="B562" s="39">
        <f>IF($A562="","",YEAR($A562)&amp;"-"&amp;RIGHT("0"&amp;MONTH($A562),2))</f>
        <v/>
      </c>
      <c r="C562" s="13" t="n"/>
      <c r="D562" s="13" t="n"/>
      <c r="E562" s="13" t="n"/>
      <c r="F562" s="13" t="n"/>
      <c r="G562" s="40" t="n"/>
      <c r="H562" s="38" t="n"/>
      <c r="I562" s="38" t="n"/>
      <c r="J562" s="38" t="n"/>
      <c r="K562" s="24">
        <f>IF($H562="","",$H562-N($J562))</f>
        <v/>
      </c>
      <c r="L562" s="25">
        <f>IFERROR($K562/$H562,"")</f>
        <v/>
      </c>
      <c r="M562" s="39">
        <f>IFERROR(INDEX('10_CLIENTI'!$B$5:$B$204,MATCH($D562,'10_CLIENTI'!$A$5:$A$204,0)),"")</f>
        <v/>
      </c>
      <c r="N562" s="39">
        <f>IFERROR(INDEX('11_PRODUSE'!$B$5:$B$104,MATCH($E562,'11_PRODUSE'!$A$5:$A$104,0)),"")</f>
        <v/>
      </c>
      <c r="O562" s="13" t="n"/>
      <c r="P562" s="13" t="n"/>
    </row>
    <row r="563">
      <c r="A563" s="35" t="n"/>
      <c r="B563" s="39">
        <f>IF($A563="","",YEAR($A563)&amp;"-"&amp;RIGHT("0"&amp;MONTH($A563),2))</f>
        <v/>
      </c>
      <c r="C563" s="13" t="n"/>
      <c r="D563" s="13" t="n"/>
      <c r="E563" s="13" t="n"/>
      <c r="F563" s="13" t="n"/>
      <c r="G563" s="40" t="n"/>
      <c r="H563" s="38" t="n"/>
      <c r="I563" s="38" t="n"/>
      <c r="J563" s="38" t="n"/>
      <c r="K563" s="24">
        <f>IF($H563="","",$H563-N($J563))</f>
        <v/>
      </c>
      <c r="L563" s="25">
        <f>IFERROR($K563/$H563,"")</f>
        <v/>
      </c>
      <c r="M563" s="39">
        <f>IFERROR(INDEX('10_CLIENTI'!$B$5:$B$204,MATCH($D563,'10_CLIENTI'!$A$5:$A$204,0)),"")</f>
        <v/>
      </c>
      <c r="N563" s="39">
        <f>IFERROR(INDEX('11_PRODUSE'!$B$5:$B$104,MATCH($E563,'11_PRODUSE'!$A$5:$A$104,0)),"")</f>
        <v/>
      </c>
      <c r="O563" s="13" t="n"/>
      <c r="P563" s="13" t="n"/>
    </row>
    <row r="564">
      <c r="A564" s="35" t="n"/>
      <c r="B564" s="39">
        <f>IF($A564="","",YEAR($A564)&amp;"-"&amp;RIGHT("0"&amp;MONTH($A564),2))</f>
        <v/>
      </c>
      <c r="C564" s="13" t="n"/>
      <c r="D564" s="13" t="n"/>
      <c r="E564" s="13" t="n"/>
      <c r="F564" s="13" t="n"/>
      <c r="G564" s="40" t="n"/>
      <c r="H564" s="38" t="n"/>
      <c r="I564" s="38" t="n"/>
      <c r="J564" s="38" t="n"/>
      <c r="K564" s="24">
        <f>IF($H564="","",$H564-N($J564))</f>
        <v/>
      </c>
      <c r="L564" s="25">
        <f>IFERROR($K564/$H564,"")</f>
        <v/>
      </c>
      <c r="M564" s="39">
        <f>IFERROR(INDEX('10_CLIENTI'!$B$5:$B$204,MATCH($D564,'10_CLIENTI'!$A$5:$A$204,0)),"")</f>
        <v/>
      </c>
      <c r="N564" s="39">
        <f>IFERROR(INDEX('11_PRODUSE'!$B$5:$B$104,MATCH($E564,'11_PRODUSE'!$A$5:$A$104,0)),"")</f>
        <v/>
      </c>
      <c r="O564" s="13" t="n"/>
      <c r="P564" s="13" t="n"/>
    </row>
    <row r="565">
      <c r="A565" s="35" t="n"/>
      <c r="B565" s="39">
        <f>IF($A565="","",YEAR($A565)&amp;"-"&amp;RIGHT("0"&amp;MONTH($A565),2))</f>
        <v/>
      </c>
      <c r="C565" s="13" t="n"/>
      <c r="D565" s="13" t="n"/>
      <c r="E565" s="13" t="n"/>
      <c r="F565" s="13" t="n"/>
      <c r="G565" s="40" t="n"/>
      <c r="H565" s="38" t="n"/>
      <c r="I565" s="38" t="n"/>
      <c r="J565" s="38" t="n"/>
      <c r="K565" s="24">
        <f>IF($H565="","",$H565-N($J565))</f>
        <v/>
      </c>
      <c r="L565" s="25">
        <f>IFERROR($K565/$H565,"")</f>
        <v/>
      </c>
      <c r="M565" s="39">
        <f>IFERROR(INDEX('10_CLIENTI'!$B$5:$B$204,MATCH($D565,'10_CLIENTI'!$A$5:$A$204,0)),"")</f>
        <v/>
      </c>
      <c r="N565" s="39">
        <f>IFERROR(INDEX('11_PRODUSE'!$B$5:$B$104,MATCH($E565,'11_PRODUSE'!$A$5:$A$104,0)),"")</f>
        <v/>
      </c>
      <c r="O565" s="13" t="n"/>
      <c r="P565" s="13" t="n"/>
    </row>
    <row r="566">
      <c r="A566" s="35" t="n"/>
      <c r="B566" s="39">
        <f>IF($A566="","",YEAR($A566)&amp;"-"&amp;RIGHT("0"&amp;MONTH($A566),2))</f>
        <v/>
      </c>
      <c r="C566" s="13" t="n"/>
      <c r="D566" s="13" t="n"/>
      <c r="E566" s="13" t="n"/>
      <c r="F566" s="13" t="n"/>
      <c r="G566" s="40" t="n"/>
      <c r="H566" s="38" t="n"/>
      <c r="I566" s="38" t="n"/>
      <c r="J566" s="38" t="n"/>
      <c r="K566" s="24">
        <f>IF($H566="","",$H566-N($J566))</f>
        <v/>
      </c>
      <c r="L566" s="25">
        <f>IFERROR($K566/$H566,"")</f>
        <v/>
      </c>
      <c r="M566" s="39">
        <f>IFERROR(INDEX('10_CLIENTI'!$B$5:$B$204,MATCH($D566,'10_CLIENTI'!$A$5:$A$204,0)),"")</f>
        <v/>
      </c>
      <c r="N566" s="39">
        <f>IFERROR(INDEX('11_PRODUSE'!$B$5:$B$104,MATCH($E566,'11_PRODUSE'!$A$5:$A$104,0)),"")</f>
        <v/>
      </c>
      <c r="O566" s="13" t="n"/>
      <c r="P566" s="13" t="n"/>
    </row>
    <row r="567">
      <c r="A567" s="35" t="n"/>
      <c r="B567" s="39">
        <f>IF($A567="","",YEAR($A567)&amp;"-"&amp;RIGHT("0"&amp;MONTH($A567),2))</f>
        <v/>
      </c>
      <c r="C567" s="13" t="n"/>
      <c r="D567" s="13" t="n"/>
      <c r="E567" s="13" t="n"/>
      <c r="F567" s="13" t="n"/>
      <c r="G567" s="40" t="n"/>
      <c r="H567" s="38" t="n"/>
      <c r="I567" s="38" t="n"/>
      <c r="J567" s="38" t="n"/>
      <c r="K567" s="24">
        <f>IF($H567="","",$H567-N($J567))</f>
        <v/>
      </c>
      <c r="L567" s="25">
        <f>IFERROR($K567/$H567,"")</f>
        <v/>
      </c>
      <c r="M567" s="39">
        <f>IFERROR(INDEX('10_CLIENTI'!$B$5:$B$204,MATCH($D567,'10_CLIENTI'!$A$5:$A$204,0)),"")</f>
        <v/>
      </c>
      <c r="N567" s="39">
        <f>IFERROR(INDEX('11_PRODUSE'!$B$5:$B$104,MATCH($E567,'11_PRODUSE'!$A$5:$A$104,0)),"")</f>
        <v/>
      </c>
      <c r="O567" s="13" t="n"/>
      <c r="P567" s="13" t="n"/>
    </row>
    <row r="568">
      <c r="A568" s="35" t="n"/>
      <c r="B568" s="39">
        <f>IF($A568="","",YEAR($A568)&amp;"-"&amp;RIGHT("0"&amp;MONTH($A568),2))</f>
        <v/>
      </c>
      <c r="C568" s="13" t="n"/>
      <c r="D568" s="13" t="n"/>
      <c r="E568" s="13" t="n"/>
      <c r="F568" s="13" t="n"/>
      <c r="G568" s="40" t="n"/>
      <c r="H568" s="38" t="n"/>
      <c r="I568" s="38" t="n"/>
      <c r="J568" s="38" t="n"/>
      <c r="K568" s="24">
        <f>IF($H568="","",$H568-N($J568))</f>
        <v/>
      </c>
      <c r="L568" s="25">
        <f>IFERROR($K568/$H568,"")</f>
        <v/>
      </c>
      <c r="M568" s="39">
        <f>IFERROR(INDEX('10_CLIENTI'!$B$5:$B$204,MATCH($D568,'10_CLIENTI'!$A$5:$A$204,0)),"")</f>
        <v/>
      </c>
      <c r="N568" s="39">
        <f>IFERROR(INDEX('11_PRODUSE'!$B$5:$B$104,MATCH($E568,'11_PRODUSE'!$A$5:$A$104,0)),"")</f>
        <v/>
      </c>
      <c r="O568" s="13" t="n"/>
      <c r="P568" s="13" t="n"/>
    </row>
    <row r="569">
      <c r="A569" s="35" t="n"/>
      <c r="B569" s="39">
        <f>IF($A569="","",YEAR($A569)&amp;"-"&amp;RIGHT("0"&amp;MONTH($A569),2))</f>
        <v/>
      </c>
      <c r="C569" s="13" t="n"/>
      <c r="D569" s="13" t="n"/>
      <c r="E569" s="13" t="n"/>
      <c r="F569" s="13" t="n"/>
      <c r="G569" s="40" t="n"/>
      <c r="H569" s="38" t="n"/>
      <c r="I569" s="38" t="n"/>
      <c r="J569" s="38" t="n"/>
      <c r="K569" s="24">
        <f>IF($H569="","",$H569-N($J569))</f>
        <v/>
      </c>
      <c r="L569" s="25">
        <f>IFERROR($K569/$H569,"")</f>
        <v/>
      </c>
      <c r="M569" s="39">
        <f>IFERROR(INDEX('10_CLIENTI'!$B$5:$B$204,MATCH($D569,'10_CLIENTI'!$A$5:$A$204,0)),"")</f>
        <v/>
      </c>
      <c r="N569" s="39">
        <f>IFERROR(INDEX('11_PRODUSE'!$B$5:$B$104,MATCH($E569,'11_PRODUSE'!$A$5:$A$104,0)),"")</f>
        <v/>
      </c>
      <c r="O569" s="13" t="n"/>
      <c r="P569" s="13" t="n"/>
    </row>
    <row r="570">
      <c r="A570" s="35" t="n"/>
      <c r="B570" s="39">
        <f>IF($A570="","",YEAR($A570)&amp;"-"&amp;RIGHT("0"&amp;MONTH($A570),2))</f>
        <v/>
      </c>
      <c r="C570" s="13" t="n"/>
      <c r="D570" s="13" t="n"/>
      <c r="E570" s="13" t="n"/>
      <c r="F570" s="13" t="n"/>
      <c r="G570" s="40" t="n"/>
      <c r="H570" s="38" t="n"/>
      <c r="I570" s="38" t="n"/>
      <c r="J570" s="38" t="n"/>
      <c r="K570" s="24">
        <f>IF($H570="","",$H570-N($J570))</f>
        <v/>
      </c>
      <c r="L570" s="25">
        <f>IFERROR($K570/$H570,"")</f>
        <v/>
      </c>
      <c r="M570" s="39">
        <f>IFERROR(INDEX('10_CLIENTI'!$B$5:$B$204,MATCH($D570,'10_CLIENTI'!$A$5:$A$204,0)),"")</f>
        <v/>
      </c>
      <c r="N570" s="39">
        <f>IFERROR(INDEX('11_PRODUSE'!$B$5:$B$104,MATCH($E570,'11_PRODUSE'!$A$5:$A$104,0)),"")</f>
        <v/>
      </c>
      <c r="O570" s="13" t="n"/>
      <c r="P570" s="13" t="n"/>
    </row>
    <row r="571">
      <c r="A571" s="35" t="n"/>
      <c r="B571" s="39">
        <f>IF($A571="","",YEAR($A571)&amp;"-"&amp;RIGHT("0"&amp;MONTH($A571),2))</f>
        <v/>
      </c>
      <c r="C571" s="13" t="n"/>
      <c r="D571" s="13" t="n"/>
      <c r="E571" s="13" t="n"/>
      <c r="F571" s="13" t="n"/>
      <c r="G571" s="40" t="n"/>
      <c r="H571" s="38" t="n"/>
      <c r="I571" s="38" t="n"/>
      <c r="J571" s="38" t="n"/>
      <c r="K571" s="24">
        <f>IF($H571="","",$H571-N($J571))</f>
        <v/>
      </c>
      <c r="L571" s="25">
        <f>IFERROR($K571/$H571,"")</f>
        <v/>
      </c>
      <c r="M571" s="39">
        <f>IFERROR(INDEX('10_CLIENTI'!$B$5:$B$204,MATCH($D571,'10_CLIENTI'!$A$5:$A$204,0)),"")</f>
        <v/>
      </c>
      <c r="N571" s="39">
        <f>IFERROR(INDEX('11_PRODUSE'!$B$5:$B$104,MATCH($E571,'11_PRODUSE'!$A$5:$A$104,0)),"")</f>
        <v/>
      </c>
      <c r="O571" s="13" t="n"/>
      <c r="P571" s="13" t="n"/>
    </row>
    <row r="572">
      <c r="A572" s="35" t="n"/>
      <c r="B572" s="39">
        <f>IF($A572="","",YEAR($A572)&amp;"-"&amp;RIGHT("0"&amp;MONTH($A572),2))</f>
        <v/>
      </c>
      <c r="C572" s="13" t="n"/>
      <c r="D572" s="13" t="n"/>
      <c r="E572" s="13" t="n"/>
      <c r="F572" s="13" t="n"/>
      <c r="G572" s="40" t="n"/>
      <c r="H572" s="38" t="n"/>
      <c r="I572" s="38" t="n"/>
      <c r="J572" s="38" t="n"/>
      <c r="K572" s="24">
        <f>IF($H572="","",$H572-N($J572))</f>
        <v/>
      </c>
      <c r="L572" s="25">
        <f>IFERROR($K572/$H572,"")</f>
        <v/>
      </c>
      <c r="M572" s="39">
        <f>IFERROR(INDEX('10_CLIENTI'!$B$5:$B$204,MATCH($D572,'10_CLIENTI'!$A$5:$A$204,0)),"")</f>
        <v/>
      </c>
      <c r="N572" s="39">
        <f>IFERROR(INDEX('11_PRODUSE'!$B$5:$B$104,MATCH($E572,'11_PRODUSE'!$A$5:$A$104,0)),"")</f>
        <v/>
      </c>
      <c r="O572" s="13" t="n"/>
      <c r="P572" s="13" t="n"/>
    </row>
    <row r="573">
      <c r="A573" s="35" t="n"/>
      <c r="B573" s="39">
        <f>IF($A573="","",YEAR($A573)&amp;"-"&amp;RIGHT("0"&amp;MONTH($A573),2))</f>
        <v/>
      </c>
      <c r="C573" s="13" t="n"/>
      <c r="D573" s="13" t="n"/>
      <c r="E573" s="13" t="n"/>
      <c r="F573" s="13" t="n"/>
      <c r="G573" s="40" t="n"/>
      <c r="H573" s="38" t="n"/>
      <c r="I573" s="38" t="n"/>
      <c r="J573" s="38" t="n"/>
      <c r="K573" s="24">
        <f>IF($H573="","",$H573-N($J573))</f>
        <v/>
      </c>
      <c r="L573" s="25">
        <f>IFERROR($K573/$H573,"")</f>
        <v/>
      </c>
      <c r="M573" s="39">
        <f>IFERROR(INDEX('10_CLIENTI'!$B$5:$B$204,MATCH($D573,'10_CLIENTI'!$A$5:$A$204,0)),"")</f>
        <v/>
      </c>
      <c r="N573" s="39">
        <f>IFERROR(INDEX('11_PRODUSE'!$B$5:$B$104,MATCH($E573,'11_PRODUSE'!$A$5:$A$104,0)),"")</f>
        <v/>
      </c>
      <c r="O573" s="13" t="n"/>
      <c r="P573" s="13" t="n"/>
    </row>
    <row r="574">
      <c r="A574" s="35" t="n"/>
      <c r="B574" s="39">
        <f>IF($A574="","",YEAR($A574)&amp;"-"&amp;RIGHT("0"&amp;MONTH($A574),2))</f>
        <v/>
      </c>
      <c r="C574" s="13" t="n"/>
      <c r="D574" s="13" t="n"/>
      <c r="E574" s="13" t="n"/>
      <c r="F574" s="13" t="n"/>
      <c r="G574" s="40" t="n"/>
      <c r="H574" s="38" t="n"/>
      <c r="I574" s="38" t="n"/>
      <c r="J574" s="38" t="n"/>
      <c r="K574" s="24">
        <f>IF($H574="","",$H574-N($J574))</f>
        <v/>
      </c>
      <c r="L574" s="25">
        <f>IFERROR($K574/$H574,"")</f>
        <v/>
      </c>
      <c r="M574" s="39">
        <f>IFERROR(INDEX('10_CLIENTI'!$B$5:$B$204,MATCH($D574,'10_CLIENTI'!$A$5:$A$204,0)),"")</f>
        <v/>
      </c>
      <c r="N574" s="39">
        <f>IFERROR(INDEX('11_PRODUSE'!$B$5:$B$104,MATCH($E574,'11_PRODUSE'!$A$5:$A$104,0)),"")</f>
        <v/>
      </c>
      <c r="O574" s="13" t="n"/>
      <c r="P574" s="13" t="n"/>
    </row>
    <row r="575">
      <c r="A575" s="35" t="n"/>
      <c r="B575" s="39">
        <f>IF($A575="","",YEAR($A575)&amp;"-"&amp;RIGHT("0"&amp;MONTH($A575),2))</f>
        <v/>
      </c>
      <c r="C575" s="13" t="n"/>
      <c r="D575" s="13" t="n"/>
      <c r="E575" s="13" t="n"/>
      <c r="F575" s="13" t="n"/>
      <c r="G575" s="40" t="n"/>
      <c r="H575" s="38" t="n"/>
      <c r="I575" s="38" t="n"/>
      <c r="J575" s="38" t="n"/>
      <c r="K575" s="24">
        <f>IF($H575="","",$H575-N($J575))</f>
        <v/>
      </c>
      <c r="L575" s="25">
        <f>IFERROR($K575/$H575,"")</f>
        <v/>
      </c>
      <c r="M575" s="39">
        <f>IFERROR(INDEX('10_CLIENTI'!$B$5:$B$204,MATCH($D575,'10_CLIENTI'!$A$5:$A$204,0)),"")</f>
        <v/>
      </c>
      <c r="N575" s="39">
        <f>IFERROR(INDEX('11_PRODUSE'!$B$5:$B$104,MATCH($E575,'11_PRODUSE'!$A$5:$A$104,0)),"")</f>
        <v/>
      </c>
      <c r="O575" s="13" t="n"/>
      <c r="P575" s="13" t="n"/>
    </row>
    <row r="576">
      <c r="A576" s="35" t="n"/>
      <c r="B576" s="39">
        <f>IF($A576="","",YEAR($A576)&amp;"-"&amp;RIGHT("0"&amp;MONTH($A576),2))</f>
        <v/>
      </c>
      <c r="C576" s="13" t="n"/>
      <c r="D576" s="13" t="n"/>
      <c r="E576" s="13" t="n"/>
      <c r="F576" s="13" t="n"/>
      <c r="G576" s="40" t="n"/>
      <c r="H576" s="38" t="n"/>
      <c r="I576" s="38" t="n"/>
      <c r="J576" s="38" t="n"/>
      <c r="K576" s="24">
        <f>IF($H576="","",$H576-N($J576))</f>
        <v/>
      </c>
      <c r="L576" s="25">
        <f>IFERROR($K576/$H576,"")</f>
        <v/>
      </c>
      <c r="M576" s="39">
        <f>IFERROR(INDEX('10_CLIENTI'!$B$5:$B$204,MATCH($D576,'10_CLIENTI'!$A$5:$A$204,0)),"")</f>
        <v/>
      </c>
      <c r="N576" s="39">
        <f>IFERROR(INDEX('11_PRODUSE'!$B$5:$B$104,MATCH($E576,'11_PRODUSE'!$A$5:$A$104,0)),"")</f>
        <v/>
      </c>
      <c r="O576" s="13" t="n"/>
      <c r="P576" s="13" t="n"/>
    </row>
    <row r="577">
      <c r="A577" s="35" t="n"/>
      <c r="B577" s="39">
        <f>IF($A577="","",YEAR($A577)&amp;"-"&amp;RIGHT("0"&amp;MONTH($A577),2))</f>
        <v/>
      </c>
      <c r="C577" s="13" t="n"/>
      <c r="D577" s="13" t="n"/>
      <c r="E577" s="13" t="n"/>
      <c r="F577" s="13" t="n"/>
      <c r="G577" s="40" t="n"/>
      <c r="H577" s="38" t="n"/>
      <c r="I577" s="38" t="n"/>
      <c r="J577" s="38" t="n"/>
      <c r="K577" s="24">
        <f>IF($H577="","",$H577-N($J577))</f>
        <v/>
      </c>
      <c r="L577" s="25">
        <f>IFERROR($K577/$H577,"")</f>
        <v/>
      </c>
      <c r="M577" s="39">
        <f>IFERROR(INDEX('10_CLIENTI'!$B$5:$B$204,MATCH($D577,'10_CLIENTI'!$A$5:$A$204,0)),"")</f>
        <v/>
      </c>
      <c r="N577" s="39">
        <f>IFERROR(INDEX('11_PRODUSE'!$B$5:$B$104,MATCH($E577,'11_PRODUSE'!$A$5:$A$104,0)),"")</f>
        <v/>
      </c>
      <c r="O577" s="13" t="n"/>
      <c r="P577" s="13" t="n"/>
    </row>
    <row r="578">
      <c r="A578" s="35" t="n"/>
      <c r="B578" s="39">
        <f>IF($A578="","",YEAR($A578)&amp;"-"&amp;RIGHT("0"&amp;MONTH($A578),2))</f>
        <v/>
      </c>
      <c r="C578" s="13" t="n"/>
      <c r="D578" s="13" t="n"/>
      <c r="E578" s="13" t="n"/>
      <c r="F578" s="13" t="n"/>
      <c r="G578" s="40" t="n"/>
      <c r="H578" s="38" t="n"/>
      <c r="I578" s="38" t="n"/>
      <c r="J578" s="38" t="n"/>
      <c r="K578" s="24">
        <f>IF($H578="","",$H578-N($J578))</f>
        <v/>
      </c>
      <c r="L578" s="25">
        <f>IFERROR($K578/$H578,"")</f>
        <v/>
      </c>
      <c r="M578" s="39">
        <f>IFERROR(INDEX('10_CLIENTI'!$B$5:$B$204,MATCH($D578,'10_CLIENTI'!$A$5:$A$204,0)),"")</f>
        <v/>
      </c>
      <c r="N578" s="39">
        <f>IFERROR(INDEX('11_PRODUSE'!$B$5:$B$104,MATCH($E578,'11_PRODUSE'!$A$5:$A$104,0)),"")</f>
        <v/>
      </c>
      <c r="O578" s="13" t="n"/>
      <c r="P578" s="13" t="n"/>
    </row>
    <row r="579">
      <c r="A579" s="35" t="n"/>
      <c r="B579" s="39">
        <f>IF($A579="","",YEAR($A579)&amp;"-"&amp;RIGHT("0"&amp;MONTH($A579),2))</f>
        <v/>
      </c>
      <c r="C579" s="13" t="n"/>
      <c r="D579" s="13" t="n"/>
      <c r="E579" s="13" t="n"/>
      <c r="F579" s="13" t="n"/>
      <c r="G579" s="40" t="n"/>
      <c r="H579" s="38" t="n"/>
      <c r="I579" s="38" t="n"/>
      <c r="J579" s="38" t="n"/>
      <c r="K579" s="24">
        <f>IF($H579="","",$H579-N($J579))</f>
        <v/>
      </c>
      <c r="L579" s="25">
        <f>IFERROR($K579/$H579,"")</f>
        <v/>
      </c>
      <c r="M579" s="39">
        <f>IFERROR(INDEX('10_CLIENTI'!$B$5:$B$204,MATCH($D579,'10_CLIENTI'!$A$5:$A$204,0)),"")</f>
        <v/>
      </c>
      <c r="N579" s="39">
        <f>IFERROR(INDEX('11_PRODUSE'!$B$5:$B$104,MATCH($E579,'11_PRODUSE'!$A$5:$A$104,0)),"")</f>
        <v/>
      </c>
      <c r="O579" s="13" t="n"/>
      <c r="P579" s="13" t="n"/>
    </row>
    <row r="580">
      <c r="A580" s="35" t="n"/>
      <c r="B580" s="39">
        <f>IF($A580="","",YEAR($A580)&amp;"-"&amp;RIGHT("0"&amp;MONTH($A580),2))</f>
        <v/>
      </c>
      <c r="C580" s="13" t="n"/>
      <c r="D580" s="13" t="n"/>
      <c r="E580" s="13" t="n"/>
      <c r="F580" s="13" t="n"/>
      <c r="G580" s="40" t="n"/>
      <c r="H580" s="38" t="n"/>
      <c r="I580" s="38" t="n"/>
      <c r="J580" s="38" t="n"/>
      <c r="K580" s="24">
        <f>IF($H580="","",$H580-N($J580))</f>
        <v/>
      </c>
      <c r="L580" s="25">
        <f>IFERROR($K580/$H580,"")</f>
        <v/>
      </c>
      <c r="M580" s="39">
        <f>IFERROR(INDEX('10_CLIENTI'!$B$5:$B$204,MATCH($D580,'10_CLIENTI'!$A$5:$A$204,0)),"")</f>
        <v/>
      </c>
      <c r="N580" s="39">
        <f>IFERROR(INDEX('11_PRODUSE'!$B$5:$B$104,MATCH($E580,'11_PRODUSE'!$A$5:$A$104,0)),"")</f>
        <v/>
      </c>
      <c r="O580" s="13" t="n"/>
      <c r="P580" s="13" t="n"/>
    </row>
    <row r="581">
      <c r="A581" s="35" t="n"/>
      <c r="B581" s="39">
        <f>IF($A581="","",YEAR($A581)&amp;"-"&amp;RIGHT("0"&amp;MONTH($A581),2))</f>
        <v/>
      </c>
      <c r="C581" s="13" t="n"/>
      <c r="D581" s="13" t="n"/>
      <c r="E581" s="13" t="n"/>
      <c r="F581" s="13" t="n"/>
      <c r="G581" s="40" t="n"/>
      <c r="H581" s="38" t="n"/>
      <c r="I581" s="38" t="n"/>
      <c r="J581" s="38" t="n"/>
      <c r="K581" s="24">
        <f>IF($H581="","",$H581-N($J581))</f>
        <v/>
      </c>
      <c r="L581" s="25">
        <f>IFERROR($K581/$H581,"")</f>
        <v/>
      </c>
      <c r="M581" s="39">
        <f>IFERROR(INDEX('10_CLIENTI'!$B$5:$B$204,MATCH($D581,'10_CLIENTI'!$A$5:$A$204,0)),"")</f>
        <v/>
      </c>
      <c r="N581" s="39">
        <f>IFERROR(INDEX('11_PRODUSE'!$B$5:$B$104,MATCH($E581,'11_PRODUSE'!$A$5:$A$104,0)),"")</f>
        <v/>
      </c>
      <c r="O581" s="13" t="n"/>
      <c r="P581" s="13" t="n"/>
    </row>
    <row r="582">
      <c r="A582" s="35" t="n"/>
      <c r="B582" s="39">
        <f>IF($A582="","",YEAR($A582)&amp;"-"&amp;RIGHT("0"&amp;MONTH($A582),2))</f>
        <v/>
      </c>
      <c r="C582" s="13" t="n"/>
      <c r="D582" s="13" t="n"/>
      <c r="E582" s="13" t="n"/>
      <c r="F582" s="13" t="n"/>
      <c r="G582" s="40" t="n"/>
      <c r="H582" s="38" t="n"/>
      <c r="I582" s="38" t="n"/>
      <c r="J582" s="38" t="n"/>
      <c r="K582" s="24">
        <f>IF($H582="","",$H582-N($J582))</f>
        <v/>
      </c>
      <c r="L582" s="25">
        <f>IFERROR($K582/$H582,"")</f>
        <v/>
      </c>
      <c r="M582" s="39">
        <f>IFERROR(INDEX('10_CLIENTI'!$B$5:$B$204,MATCH($D582,'10_CLIENTI'!$A$5:$A$204,0)),"")</f>
        <v/>
      </c>
      <c r="N582" s="39">
        <f>IFERROR(INDEX('11_PRODUSE'!$B$5:$B$104,MATCH($E582,'11_PRODUSE'!$A$5:$A$104,0)),"")</f>
        <v/>
      </c>
      <c r="O582" s="13" t="n"/>
      <c r="P582" s="13" t="n"/>
    </row>
    <row r="583">
      <c r="A583" s="35" t="n"/>
      <c r="B583" s="39">
        <f>IF($A583="","",YEAR($A583)&amp;"-"&amp;RIGHT("0"&amp;MONTH($A583),2))</f>
        <v/>
      </c>
      <c r="C583" s="13" t="n"/>
      <c r="D583" s="13" t="n"/>
      <c r="E583" s="13" t="n"/>
      <c r="F583" s="13" t="n"/>
      <c r="G583" s="40" t="n"/>
      <c r="H583" s="38" t="n"/>
      <c r="I583" s="38" t="n"/>
      <c r="J583" s="38" t="n"/>
      <c r="K583" s="24">
        <f>IF($H583="","",$H583-N($J583))</f>
        <v/>
      </c>
      <c r="L583" s="25">
        <f>IFERROR($K583/$H583,"")</f>
        <v/>
      </c>
      <c r="M583" s="39">
        <f>IFERROR(INDEX('10_CLIENTI'!$B$5:$B$204,MATCH($D583,'10_CLIENTI'!$A$5:$A$204,0)),"")</f>
        <v/>
      </c>
      <c r="N583" s="39">
        <f>IFERROR(INDEX('11_PRODUSE'!$B$5:$B$104,MATCH($E583,'11_PRODUSE'!$A$5:$A$104,0)),"")</f>
        <v/>
      </c>
      <c r="O583" s="13" t="n"/>
      <c r="P583" s="13" t="n"/>
    </row>
    <row r="584">
      <c r="A584" s="35" t="n"/>
      <c r="B584" s="39">
        <f>IF($A584="","",YEAR($A584)&amp;"-"&amp;RIGHT("0"&amp;MONTH($A584),2))</f>
        <v/>
      </c>
      <c r="C584" s="13" t="n"/>
      <c r="D584" s="13" t="n"/>
      <c r="E584" s="13" t="n"/>
      <c r="F584" s="13" t="n"/>
      <c r="G584" s="40" t="n"/>
      <c r="H584" s="38" t="n"/>
      <c r="I584" s="38" t="n"/>
      <c r="J584" s="38" t="n"/>
      <c r="K584" s="24">
        <f>IF($H584="","",$H584-N($J584))</f>
        <v/>
      </c>
      <c r="L584" s="25">
        <f>IFERROR($K584/$H584,"")</f>
        <v/>
      </c>
      <c r="M584" s="39">
        <f>IFERROR(INDEX('10_CLIENTI'!$B$5:$B$204,MATCH($D584,'10_CLIENTI'!$A$5:$A$204,0)),"")</f>
        <v/>
      </c>
      <c r="N584" s="39">
        <f>IFERROR(INDEX('11_PRODUSE'!$B$5:$B$104,MATCH($E584,'11_PRODUSE'!$A$5:$A$104,0)),"")</f>
        <v/>
      </c>
      <c r="O584" s="13" t="n"/>
      <c r="P584" s="13" t="n"/>
    </row>
    <row r="585">
      <c r="A585" s="35" t="n"/>
      <c r="B585" s="39">
        <f>IF($A585="","",YEAR($A585)&amp;"-"&amp;RIGHT("0"&amp;MONTH($A585),2))</f>
        <v/>
      </c>
      <c r="C585" s="13" t="n"/>
      <c r="D585" s="13" t="n"/>
      <c r="E585" s="13" t="n"/>
      <c r="F585" s="13" t="n"/>
      <c r="G585" s="40" t="n"/>
      <c r="H585" s="38" t="n"/>
      <c r="I585" s="38" t="n"/>
      <c r="J585" s="38" t="n"/>
      <c r="K585" s="24">
        <f>IF($H585="","",$H585-N($J585))</f>
        <v/>
      </c>
      <c r="L585" s="25">
        <f>IFERROR($K585/$H585,"")</f>
        <v/>
      </c>
      <c r="M585" s="39">
        <f>IFERROR(INDEX('10_CLIENTI'!$B$5:$B$204,MATCH($D585,'10_CLIENTI'!$A$5:$A$204,0)),"")</f>
        <v/>
      </c>
      <c r="N585" s="39">
        <f>IFERROR(INDEX('11_PRODUSE'!$B$5:$B$104,MATCH($E585,'11_PRODUSE'!$A$5:$A$104,0)),"")</f>
        <v/>
      </c>
      <c r="O585" s="13" t="n"/>
      <c r="P585" s="13" t="n"/>
    </row>
    <row r="586">
      <c r="A586" s="35" t="n"/>
      <c r="B586" s="39">
        <f>IF($A586="","",YEAR($A586)&amp;"-"&amp;RIGHT("0"&amp;MONTH($A586),2))</f>
        <v/>
      </c>
      <c r="C586" s="13" t="n"/>
      <c r="D586" s="13" t="n"/>
      <c r="E586" s="13" t="n"/>
      <c r="F586" s="13" t="n"/>
      <c r="G586" s="40" t="n"/>
      <c r="H586" s="38" t="n"/>
      <c r="I586" s="38" t="n"/>
      <c r="J586" s="38" t="n"/>
      <c r="K586" s="24">
        <f>IF($H586="","",$H586-N($J586))</f>
        <v/>
      </c>
      <c r="L586" s="25">
        <f>IFERROR($K586/$H586,"")</f>
        <v/>
      </c>
      <c r="M586" s="39">
        <f>IFERROR(INDEX('10_CLIENTI'!$B$5:$B$204,MATCH($D586,'10_CLIENTI'!$A$5:$A$204,0)),"")</f>
        <v/>
      </c>
      <c r="N586" s="39">
        <f>IFERROR(INDEX('11_PRODUSE'!$B$5:$B$104,MATCH($E586,'11_PRODUSE'!$A$5:$A$104,0)),"")</f>
        <v/>
      </c>
      <c r="O586" s="13" t="n"/>
      <c r="P586" s="13" t="n"/>
    </row>
    <row r="587">
      <c r="A587" s="35" t="n"/>
      <c r="B587" s="39">
        <f>IF($A587="","",YEAR($A587)&amp;"-"&amp;RIGHT("0"&amp;MONTH($A587),2))</f>
        <v/>
      </c>
      <c r="C587" s="13" t="n"/>
      <c r="D587" s="13" t="n"/>
      <c r="E587" s="13" t="n"/>
      <c r="F587" s="13" t="n"/>
      <c r="G587" s="40" t="n"/>
      <c r="H587" s="38" t="n"/>
      <c r="I587" s="38" t="n"/>
      <c r="J587" s="38" t="n"/>
      <c r="K587" s="24">
        <f>IF($H587="","",$H587-N($J587))</f>
        <v/>
      </c>
      <c r="L587" s="25">
        <f>IFERROR($K587/$H587,"")</f>
        <v/>
      </c>
      <c r="M587" s="39">
        <f>IFERROR(INDEX('10_CLIENTI'!$B$5:$B$204,MATCH($D587,'10_CLIENTI'!$A$5:$A$204,0)),"")</f>
        <v/>
      </c>
      <c r="N587" s="39">
        <f>IFERROR(INDEX('11_PRODUSE'!$B$5:$B$104,MATCH($E587,'11_PRODUSE'!$A$5:$A$104,0)),"")</f>
        <v/>
      </c>
      <c r="O587" s="13" t="n"/>
      <c r="P587" s="13" t="n"/>
    </row>
    <row r="588">
      <c r="A588" s="35" t="n"/>
      <c r="B588" s="39">
        <f>IF($A588="","",YEAR($A588)&amp;"-"&amp;RIGHT("0"&amp;MONTH($A588),2))</f>
        <v/>
      </c>
      <c r="C588" s="13" t="n"/>
      <c r="D588" s="13" t="n"/>
      <c r="E588" s="13" t="n"/>
      <c r="F588" s="13" t="n"/>
      <c r="G588" s="40" t="n"/>
      <c r="H588" s="38" t="n"/>
      <c r="I588" s="38" t="n"/>
      <c r="J588" s="38" t="n"/>
      <c r="K588" s="24">
        <f>IF($H588="","",$H588-N($J588))</f>
        <v/>
      </c>
      <c r="L588" s="25">
        <f>IFERROR($K588/$H588,"")</f>
        <v/>
      </c>
      <c r="M588" s="39">
        <f>IFERROR(INDEX('10_CLIENTI'!$B$5:$B$204,MATCH($D588,'10_CLIENTI'!$A$5:$A$204,0)),"")</f>
        <v/>
      </c>
      <c r="N588" s="39">
        <f>IFERROR(INDEX('11_PRODUSE'!$B$5:$B$104,MATCH($E588,'11_PRODUSE'!$A$5:$A$104,0)),"")</f>
        <v/>
      </c>
      <c r="O588" s="13" t="n"/>
      <c r="P588" s="13" t="n"/>
    </row>
    <row r="589">
      <c r="A589" s="35" t="n"/>
      <c r="B589" s="39">
        <f>IF($A589="","",YEAR($A589)&amp;"-"&amp;RIGHT("0"&amp;MONTH($A589),2))</f>
        <v/>
      </c>
      <c r="C589" s="13" t="n"/>
      <c r="D589" s="13" t="n"/>
      <c r="E589" s="13" t="n"/>
      <c r="F589" s="13" t="n"/>
      <c r="G589" s="40" t="n"/>
      <c r="H589" s="38" t="n"/>
      <c r="I589" s="38" t="n"/>
      <c r="J589" s="38" t="n"/>
      <c r="K589" s="24">
        <f>IF($H589="","",$H589-N($J589))</f>
        <v/>
      </c>
      <c r="L589" s="25">
        <f>IFERROR($K589/$H589,"")</f>
        <v/>
      </c>
      <c r="M589" s="39">
        <f>IFERROR(INDEX('10_CLIENTI'!$B$5:$B$204,MATCH($D589,'10_CLIENTI'!$A$5:$A$204,0)),"")</f>
        <v/>
      </c>
      <c r="N589" s="39">
        <f>IFERROR(INDEX('11_PRODUSE'!$B$5:$B$104,MATCH($E589,'11_PRODUSE'!$A$5:$A$104,0)),"")</f>
        <v/>
      </c>
      <c r="O589" s="13" t="n"/>
      <c r="P589" s="13" t="n"/>
    </row>
    <row r="590">
      <c r="A590" s="35" t="n"/>
      <c r="B590" s="39">
        <f>IF($A590="","",YEAR($A590)&amp;"-"&amp;RIGHT("0"&amp;MONTH($A590),2))</f>
        <v/>
      </c>
      <c r="C590" s="13" t="n"/>
      <c r="D590" s="13" t="n"/>
      <c r="E590" s="13" t="n"/>
      <c r="F590" s="13" t="n"/>
      <c r="G590" s="40" t="n"/>
      <c r="H590" s="38" t="n"/>
      <c r="I590" s="38" t="n"/>
      <c r="J590" s="38" t="n"/>
      <c r="K590" s="24">
        <f>IF($H590="","",$H590-N($J590))</f>
        <v/>
      </c>
      <c r="L590" s="25">
        <f>IFERROR($K590/$H590,"")</f>
        <v/>
      </c>
      <c r="M590" s="39">
        <f>IFERROR(INDEX('10_CLIENTI'!$B$5:$B$204,MATCH($D590,'10_CLIENTI'!$A$5:$A$204,0)),"")</f>
        <v/>
      </c>
      <c r="N590" s="39">
        <f>IFERROR(INDEX('11_PRODUSE'!$B$5:$B$104,MATCH($E590,'11_PRODUSE'!$A$5:$A$104,0)),"")</f>
        <v/>
      </c>
      <c r="O590" s="13" t="n"/>
      <c r="P590" s="13" t="n"/>
    </row>
    <row r="591">
      <c r="A591" s="35" t="n"/>
      <c r="B591" s="39">
        <f>IF($A591="","",YEAR($A591)&amp;"-"&amp;RIGHT("0"&amp;MONTH($A591),2))</f>
        <v/>
      </c>
      <c r="C591" s="13" t="n"/>
      <c r="D591" s="13" t="n"/>
      <c r="E591" s="13" t="n"/>
      <c r="F591" s="13" t="n"/>
      <c r="G591" s="40" t="n"/>
      <c r="H591" s="38" t="n"/>
      <c r="I591" s="38" t="n"/>
      <c r="J591" s="38" t="n"/>
      <c r="K591" s="24">
        <f>IF($H591="","",$H591-N($J591))</f>
        <v/>
      </c>
      <c r="L591" s="25">
        <f>IFERROR($K591/$H591,"")</f>
        <v/>
      </c>
      <c r="M591" s="39">
        <f>IFERROR(INDEX('10_CLIENTI'!$B$5:$B$204,MATCH($D591,'10_CLIENTI'!$A$5:$A$204,0)),"")</f>
        <v/>
      </c>
      <c r="N591" s="39">
        <f>IFERROR(INDEX('11_PRODUSE'!$B$5:$B$104,MATCH($E591,'11_PRODUSE'!$A$5:$A$104,0)),"")</f>
        <v/>
      </c>
      <c r="O591" s="13" t="n"/>
      <c r="P591" s="13" t="n"/>
    </row>
    <row r="592">
      <c r="A592" s="35" t="n"/>
      <c r="B592" s="39">
        <f>IF($A592="","",YEAR($A592)&amp;"-"&amp;RIGHT("0"&amp;MONTH($A592),2))</f>
        <v/>
      </c>
      <c r="C592" s="13" t="n"/>
      <c r="D592" s="13" t="n"/>
      <c r="E592" s="13" t="n"/>
      <c r="F592" s="13" t="n"/>
      <c r="G592" s="40" t="n"/>
      <c r="H592" s="38" t="n"/>
      <c r="I592" s="38" t="n"/>
      <c r="J592" s="38" t="n"/>
      <c r="K592" s="24">
        <f>IF($H592="","",$H592-N($J592))</f>
        <v/>
      </c>
      <c r="L592" s="25">
        <f>IFERROR($K592/$H592,"")</f>
        <v/>
      </c>
      <c r="M592" s="39">
        <f>IFERROR(INDEX('10_CLIENTI'!$B$5:$B$204,MATCH($D592,'10_CLIENTI'!$A$5:$A$204,0)),"")</f>
        <v/>
      </c>
      <c r="N592" s="39">
        <f>IFERROR(INDEX('11_PRODUSE'!$B$5:$B$104,MATCH($E592,'11_PRODUSE'!$A$5:$A$104,0)),"")</f>
        <v/>
      </c>
      <c r="O592" s="13" t="n"/>
      <c r="P592" s="13" t="n"/>
    </row>
    <row r="593">
      <c r="A593" s="35" t="n"/>
      <c r="B593" s="39">
        <f>IF($A593="","",YEAR($A593)&amp;"-"&amp;RIGHT("0"&amp;MONTH($A593),2))</f>
        <v/>
      </c>
      <c r="C593" s="13" t="n"/>
      <c r="D593" s="13" t="n"/>
      <c r="E593" s="13" t="n"/>
      <c r="F593" s="13" t="n"/>
      <c r="G593" s="40" t="n"/>
      <c r="H593" s="38" t="n"/>
      <c r="I593" s="38" t="n"/>
      <c r="J593" s="38" t="n"/>
      <c r="K593" s="24">
        <f>IF($H593="","",$H593-N($J593))</f>
        <v/>
      </c>
      <c r="L593" s="25">
        <f>IFERROR($K593/$H593,"")</f>
        <v/>
      </c>
      <c r="M593" s="39">
        <f>IFERROR(INDEX('10_CLIENTI'!$B$5:$B$204,MATCH($D593,'10_CLIENTI'!$A$5:$A$204,0)),"")</f>
        <v/>
      </c>
      <c r="N593" s="39">
        <f>IFERROR(INDEX('11_PRODUSE'!$B$5:$B$104,MATCH($E593,'11_PRODUSE'!$A$5:$A$104,0)),"")</f>
        <v/>
      </c>
      <c r="O593" s="13" t="n"/>
      <c r="P593" s="13" t="n"/>
    </row>
    <row r="594">
      <c r="A594" s="35" t="n"/>
      <c r="B594" s="39">
        <f>IF($A594="","",YEAR($A594)&amp;"-"&amp;RIGHT("0"&amp;MONTH($A594),2))</f>
        <v/>
      </c>
      <c r="C594" s="13" t="n"/>
      <c r="D594" s="13" t="n"/>
      <c r="E594" s="13" t="n"/>
      <c r="F594" s="13" t="n"/>
      <c r="G594" s="40" t="n"/>
      <c r="H594" s="38" t="n"/>
      <c r="I594" s="38" t="n"/>
      <c r="J594" s="38" t="n"/>
      <c r="K594" s="24">
        <f>IF($H594="","",$H594-N($J594))</f>
        <v/>
      </c>
      <c r="L594" s="25">
        <f>IFERROR($K594/$H594,"")</f>
        <v/>
      </c>
      <c r="M594" s="39">
        <f>IFERROR(INDEX('10_CLIENTI'!$B$5:$B$204,MATCH($D594,'10_CLIENTI'!$A$5:$A$204,0)),"")</f>
        <v/>
      </c>
      <c r="N594" s="39">
        <f>IFERROR(INDEX('11_PRODUSE'!$B$5:$B$104,MATCH($E594,'11_PRODUSE'!$A$5:$A$104,0)),"")</f>
        <v/>
      </c>
      <c r="O594" s="13" t="n"/>
      <c r="P594" s="13" t="n"/>
    </row>
    <row r="595">
      <c r="A595" s="35" t="n"/>
      <c r="B595" s="39">
        <f>IF($A595="","",YEAR($A595)&amp;"-"&amp;RIGHT("0"&amp;MONTH($A595),2))</f>
        <v/>
      </c>
      <c r="C595" s="13" t="n"/>
      <c r="D595" s="13" t="n"/>
      <c r="E595" s="13" t="n"/>
      <c r="F595" s="13" t="n"/>
      <c r="G595" s="40" t="n"/>
      <c r="H595" s="38" t="n"/>
      <c r="I595" s="38" t="n"/>
      <c r="J595" s="38" t="n"/>
      <c r="K595" s="24">
        <f>IF($H595="","",$H595-N($J595))</f>
        <v/>
      </c>
      <c r="L595" s="25">
        <f>IFERROR($K595/$H595,"")</f>
        <v/>
      </c>
      <c r="M595" s="39">
        <f>IFERROR(INDEX('10_CLIENTI'!$B$5:$B$204,MATCH($D595,'10_CLIENTI'!$A$5:$A$204,0)),"")</f>
        <v/>
      </c>
      <c r="N595" s="39">
        <f>IFERROR(INDEX('11_PRODUSE'!$B$5:$B$104,MATCH($E595,'11_PRODUSE'!$A$5:$A$104,0)),"")</f>
        <v/>
      </c>
      <c r="O595" s="13" t="n"/>
      <c r="P595" s="13" t="n"/>
    </row>
    <row r="596">
      <c r="A596" s="35" t="n"/>
      <c r="B596" s="39">
        <f>IF($A596="","",YEAR($A596)&amp;"-"&amp;RIGHT("0"&amp;MONTH($A596),2))</f>
        <v/>
      </c>
      <c r="C596" s="13" t="n"/>
      <c r="D596" s="13" t="n"/>
      <c r="E596" s="13" t="n"/>
      <c r="F596" s="13" t="n"/>
      <c r="G596" s="40" t="n"/>
      <c r="H596" s="38" t="n"/>
      <c r="I596" s="38" t="n"/>
      <c r="J596" s="38" t="n"/>
      <c r="K596" s="24">
        <f>IF($H596="","",$H596-N($J596))</f>
        <v/>
      </c>
      <c r="L596" s="25">
        <f>IFERROR($K596/$H596,"")</f>
        <v/>
      </c>
      <c r="M596" s="39">
        <f>IFERROR(INDEX('10_CLIENTI'!$B$5:$B$204,MATCH($D596,'10_CLIENTI'!$A$5:$A$204,0)),"")</f>
        <v/>
      </c>
      <c r="N596" s="39">
        <f>IFERROR(INDEX('11_PRODUSE'!$B$5:$B$104,MATCH($E596,'11_PRODUSE'!$A$5:$A$104,0)),"")</f>
        <v/>
      </c>
      <c r="O596" s="13" t="n"/>
      <c r="P596" s="13" t="n"/>
    </row>
    <row r="597">
      <c r="A597" s="35" t="n"/>
      <c r="B597" s="39">
        <f>IF($A597="","",YEAR($A597)&amp;"-"&amp;RIGHT("0"&amp;MONTH($A597),2))</f>
        <v/>
      </c>
      <c r="C597" s="13" t="n"/>
      <c r="D597" s="13" t="n"/>
      <c r="E597" s="13" t="n"/>
      <c r="F597" s="13" t="n"/>
      <c r="G597" s="40" t="n"/>
      <c r="H597" s="38" t="n"/>
      <c r="I597" s="38" t="n"/>
      <c r="J597" s="38" t="n"/>
      <c r="K597" s="24">
        <f>IF($H597="","",$H597-N($J597))</f>
        <v/>
      </c>
      <c r="L597" s="25">
        <f>IFERROR($K597/$H597,"")</f>
        <v/>
      </c>
      <c r="M597" s="39">
        <f>IFERROR(INDEX('10_CLIENTI'!$B$5:$B$204,MATCH($D597,'10_CLIENTI'!$A$5:$A$204,0)),"")</f>
        <v/>
      </c>
      <c r="N597" s="39">
        <f>IFERROR(INDEX('11_PRODUSE'!$B$5:$B$104,MATCH($E597,'11_PRODUSE'!$A$5:$A$104,0)),"")</f>
        <v/>
      </c>
      <c r="O597" s="13" t="n"/>
      <c r="P597" s="13" t="n"/>
    </row>
    <row r="598">
      <c r="A598" s="35" t="n"/>
      <c r="B598" s="39">
        <f>IF($A598="","",YEAR($A598)&amp;"-"&amp;RIGHT("0"&amp;MONTH($A598),2))</f>
        <v/>
      </c>
      <c r="C598" s="13" t="n"/>
      <c r="D598" s="13" t="n"/>
      <c r="E598" s="13" t="n"/>
      <c r="F598" s="13" t="n"/>
      <c r="G598" s="40" t="n"/>
      <c r="H598" s="38" t="n"/>
      <c r="I598" s="38" t="n"/>
      <c r="J598" s="38" t="n"/>
      <c r="K598" s="24">
        <f>IF($H598="","",$H598-N($J598))</f>
        <v/>
      </c>
      <c r="L598" s="25">
        <f>IFERROR($K598/$H598,"")</f>
        <v/>
      </c>
      <c r="M598" s="39">
        <f>IFERROR(INDEX('10_CLIENTI'!$B$5:$B$204,MATCH($D598,'10_CLIENTI'!$A$5:$A$204,0)),"")</f>
        <v/>
      </c>
      <c r="N598" s="39">
        <f>IFERROR(INDEX('11_PRODUSE'!$B$5:$B$104,MATCH($E598,'11_PRODUSE'!$A$5:$A$104,0)),"")</f>
        <v/>
      </c>
      <c r="O598" s="13" t="n"/>
      <c r="P598" s="13" t="n"/>
    </row>
    <row r="599">
      <c r="A599" s="35" t="n"/>
      <c r="B599" s="39">
        <f>IF($A599="","",YEAR($A599)&amp;"-"&amp;RIGHT("0"&amp;MONTH($A599),2))</f>
        <v/>
      </c>
      <c r="C599" s="13" t="n"/>
      <c r="D599" s="13" t="n"/>
      <c r="E599" s="13" t="n"/>
      <c r="F599" s="13" t="n"/>
      <c r="G599" s="40" t="n"/>
      <c r="H599" s="38" t="n"/>
      <c r="I599" s="38" t="n"/>
      <c r="J599" s="38" t="n"/>
      <c r="K599" s="24">
        <f>IF($H599="","",$H599-N($J599))</f>
        <v/>
      </c>
      <c r="L599" s="25">
        <f>IFERROR($K599/$H599,"")</f>
        <v/>
      </c>
      <c r="M599" s="39">
        <f>IFERROR(INDEX('10_CLIENTI'!$B$5:$B$204,MATCH($D599,'10_CLIENTI'!$A$5:$A$204,0)),"")</f>
        <v/>
      </c>
      <c r="N599" s="39">
        <f>IFERROR(INDEX('11_PRODUSE'!$B$5:$B$104,MATCH($E599,'11_PRODUSE'!$A$5:$A$104,0)),"")</f>
        <v/>
      </c>
      <c r="O599" s="13" t="n"/>
      <c r="P599" s="13" t="n"/>
    </row>
    <row r="600">
      <c r="A600" s="35" t="n"/>
      <c r="B600" s="39">
        <f>IF($A600="","",YEAR($A600)&amp;"-"&amp;RIGHT("0"&amp;MONTH($A600),2))</f>
        <v/>
      </c>
      <c r="C600" s="13" t="n"/>
      <c r="D600" s="13" t="n"/>
      <c r="E600" s="13" t="n"/>
      <c r="F600" s="13" t="n"/>
      <c r="G600" s="40" t="n"/>
      <c r="H600" s="38" t="n"/>
      <c r="I600" s="38" t="n"/>
      <c r="J600" s="38" t="n"/>
      <c r="K600" s="24">
        <f>IF($H600="","",$H600-N($J600))</f>
        <v/>
      </c>
      <c r="L600" s="25">
        <f>IFERROR($K600/$H600,"")</f>
        <v/>
      </c>
      <c r="M600" s="39">
        <f>IFERROR(INDEX('10_CLIENTI'!$B$5:$B$204,MATCH($D600,'10_CLIENTI'!$A$5:$A$204,0)),"")</f>
        <v/>
      </c>
      <c r="N600" s="39">
        <f>IFERROR(INDEX('11_PRODUSE'!$B$5:$B$104,MATCH($E600,'11_PRODUSE'!$A$5:$A$104,0)),"")</f>
        <v/>
      </c>
      <c r="O600" s="13" t="n"/>
      <c r="P600" s="13" t="n"/>
    </row>
    <row r="601">
      <c r="A601" s="35" t="n"/>
      <c r="B601" s="39">
        <f>IF($A601="","",YEAR($A601)&amp;"-"&amp;RIGHT("0"&amp;MONTH($A601),2))</f>
        <v/>
      </c>
      <c r="C601" s="13" t="n"/>
      <c r="D601" s="13" t="n"/>
      <c r="E601" s="13" t="n"/>
      <c r="F601" s="13" t="n"/>
      <c r="G601" s="40" t="n"/>
      <c r="H601" s="38" t="n"/>
      <c r="I601" s="38" t="n"/>
      <c r="J601" s="38" t="n"/>
      <c r="K601" s="24">
        <f>IF($H601="","",$H601-N($J601))</f>
        <v/>
      </c>
      <c r="L601" s="25">
        <f>IFERROR($K601/$H601,"")</f>
        <v/>
      </c>
      <c r="M601" s="39">
        <f>IFERROR(INDEX('10_CLIENTI'!$B$5:$B$204,MATCH($D601,'10_CLIENTI'!$A$5:$A$204,0)),"")</f>
        <v/>
      </c>
      <c r="N601" s="39">
        <f>IFERROR(INDEX('11_PRODUSE'!$B$5:$B$104,MATCH($E601,'11_PRODUSE'!$A$5:$A$104,0)),"")</f>
        <v/>
      </c>
      <c r="O601" s="13" t="n"/>
      <c r="P601" s="13" t="n"/>
    </row>
    <row r="602">
      <c r="A602" s="35" t="n"/>
      <c r="B602" s="39">
        <f>IF($A602="","",YEAR($A602)&amp;"-"&amp;RIGHT("0"&amp;MONTH($A602),2))</f>
        <v/>
      </c>
      <c r="C602" s="13" t="n"/>
      <c r="D602" s="13" t="n"/>
      <c r="E602" s="13" t="n"/>
      <c r="F602" s="13" t="n"/>
      <c r="G602" s="40" t="n"/>
      <c r="H602" s="38" t="n"/>
      <c r="I602" s="38" t="n"/>
      <c r="J602" s="38" t="n"/>
      <c r="K602" s="24">
        <f>IF($H602="","",$H602-N($J602))</f>
        <v/>
      </c>
      <c r="L602" s="25">
        <f>IFERROR($K602/$H602,"")</f>
        <v/>
      </c>
      <c r="M602" s="39">
        <f>IFERROR(INDEX('10_CLIENTI'!$B$5:$B$204,MATCH($D602,'10_CLIENTI'!$A$5:$A$204,0)),"")</f>
        <v/>
      </c>
      <c r="N602" s="39">
        <f>IFERROR(INDEX('11_PRODUSE'!$B$5:$B$104,MATCH($E602,'11_PRODUSE'!$A$5:$A$104,0)),"")</f>
        <v/>
      </c>
      <c r="O602" s="13" t="n"/>
      <c r="P602" s="13" t="n"/>
    </row>
    <row r="603">
      <c r="A603" s="35" t="n"/>
      <c r="B603" s="39">
        <f>IF($A603="","",YEAR($A603)&amp;"-"&amp;RIGHT("0"&amp;MONTH($A603),2))</f>
        <v/>
      </c>
      <c r="C603" s="13" t="n"/>
      <c r="D603" s="13" t="n"/>
      <c r="E603" s="13" t="n"/>
      <c r="F603" s="13" t="n"/>
      <c r="G603" s="40" t="n"/>
      <c r="H603" s="38" t="n"/>
      <c r="I603" s="38" t="n"/>
      <c r="J603" s="38" t="n"/>
      <c r="K603" s="24">
        <f>IF($H603="","",$H603-N($J603))</f>
        <v/>
      </c>
      <c r="L603" s="25">
        <f>IFERROR($K603/$H603,"")</f>
        <v/>
      </c>
      <c r="M603" s="39">
        <f>IFERROR(INDEX('10_CLIENTI'!$B$5:$B$204,MATCH($D603,'10_CLIENTI'!$A$5:$A$204,0)),"")</f>
        <v/>
      </c>
      <c r="N603" s="39">
        <f>IFERROR(INDEX('11_PRODUSE'!$B$5:$B$104,MATCH($E603,'11_PRODUSE'!$A$5:$A$104,0)),"")</f>
        <v/>
      </c>
      <c r="O603" s="13" t="n"/>
      <c r="P603" s="13" t="n"/>
    </row>
    <row r="604">
      <c r="A604" s="35" t="n"/>
      <c r="B604" s="39">
        <f>IF($A604="","",YEAR($A604)&amp;"-"&amp;RIGHT("0"&amp;MONTH($A604),2))</f>
        <v/>
      </c>
      <c r="C604" s="13" t="n"/>
      <c r="D604" s="13" t="n"/>
      <c r="E604" s="13" t="n"/>
      <c r="F604" s="13" t="n"/>
      <c r="G604" s="40" t="n"/>
      <c r="H604" s="38" t="n"/>
      <c r="I604" s="38" t="n"/>
      <c r="J604" s="38" t="n"/>
      <c r="K604" s="24">
        <f>IF($H604="","",$H604-N($J604))</f>
        <v/>
      </c>
      <c r="L604" s="25">
        <f>IFERROR($K604/$H604,"")</f>
        <v/>
      </c>
      <c r="M604" s="39">
        <f>IFERROR(INDEX('10_CLIENTI'!$B$5:$B$204,MATCH($D604,'10_CLIENTI'!$A$5:$A$204,0)),"")</f>
        <v/>
      </c>
      <c r="N604" s="39">
        <f>IFERROR(INDEX('11_PRODUSE'!$B$5:$B$104,MATCH($E604,'11_PRODUSE'!$A$5:$A$104,0)),"")</f>
        <v/>
      </c>
      <c r="O604" s="13" t="n"/>
      <c r="P604" s="13" t="n"/>
    </row>
    <row r="605">
      <c r="A605" s="35" t="n"/>
      <c r="B605" s="39">
        <f>IF($A605="","",YEAR($A605)&amp;"-"&amp;RIGHT("0"&amp;MONTH($A605),2))</f>
        <v/>
      </c>
      <c r="C605" s="13" t="n"/>
      <c r="D605" s="13" t="n"/>
      <c r="E605" s="13" t="n"/>
      <c r="F605" s="13" t="n"/>
      <c r="G605" s="40" t="n"/>
      <c r="H605" s="38" t="n"/>
      <c r="I605" s="38" t="n"/>
      <c r="J605" s="38" t="n"/>
      <c r="K605" s="24">
        <f>IF($H605="","",$H605-N($J605))</f>
        <v/>
      </c>
      <c r="L605" s="25">
        <f>IFERROR($K605/$H605,"")</f>
        <v/>
      </c>
      <c r="M605" s="39">
        <f>IFERROR(INDEX('10_CLIENTI'!$B$5:$B$204,MATCH($D605,'10_CLIENTI'!$A$5:$A$204,0)),"")</f>
        <v/>
      </c>
      <c r="N605" s="39">
        <f>IFERROR(INDEX('11_PRODUSE'!$B$5:$B$104,MATCH($E605,'11_PRODUSE'!$A$5:$A$104,0)),"")</f>
        <v/>
      </c>
      <c r="O605" s="13" t="n"/>
      <c r="P605" s="13" t="n"/>
    </row>
    <row r="606">
      <c r="A606" s="35" t="n"/>
      <c r="B606" s="39">
        <f>IF($A606="","",YEAR($A606)&amp;"-"&amp;RIGHT("0"&amp;MONTH($A606),2))</f>
        <v/>
      </c>
      <c r="C606" s="13" t="n"/>
      <c r="D606" s="13" t="n"/>
      <c r="E606" s="13" t="n"/>
      <c r="F606" s="13" t="n"/>
      <c r="G606" s="40" t="n"/>
      <c r="H606" s="38" t="n"/>
      <c r="I606" s="38" t="n"/>
      <c r="J606" s="38" t="n"/>
      <c r="K606" s="24">
        <f>IF($H606="","",$H606-N($J606))</f>
        <v/>
      </c>
      <c r="L606" s="25">
        <f>IFERROR($K606/$H606,"")</f>
        <v/>
      </c>
      <c r="M606" s="39">
        <f>IFERROR(INDEX('10_CLIENTI'!$B$5:$B$204,MATCH($D606,'10_CLIENTI'!$A$5:$A$204,0)),"")</f>
        <v/>
      </c>
      <c r="N606" s="39">
        <f>IFERROR(INDEX('11_PRODUSE'!$B$5:$B$104,MATCH($E606,'11_PRODUSE'!$A$5:$A$104,0)),"")</f>
        <v/>
      </c>
      <c r="O606" s="13" t="n"/>
      <c r="P606" s="13" t="n"/>
    </row>
    <row r="607">
      <c r="A607" s="35" t="n"/>
      <c r="B607" s="39">
        <f>IF($A607="","",YEAR($A607)&amp;"-"&amp;RIGHT("0"&amp;MONTH($A607),2))</f>
        <v/>
      </c>
      <c r="C607" s="13" t="n"/>
      <c r="D607" s="13" t="n"/>
      <c r="E607" s="13" t="n"/>
      <c r="F607" s="13" t="n"/>
      <c r="G607" s="40" t="n"/>
      <c r="H607" s="38" t="n"/>
      <c r="I607" s="38" t="n"/>
      <c r="J607" s="38" t="n"/>
      <c r="K607" s="24">
        <f>IF($H607="","",$H607-N($J607))</f>
        <v/>
      </c>
      <c r="L607" s="25">
        <f>IFERROR($K607/$H607,"")</f>
        <v/>
      </c>
      <c r="M607" s="39">
        <f>IFERROR(INDEX('10_CLIENTI'!$B$5:$B$204,MATCH($D607,'10_CLIENTI'!$A$5:$A$204,0)),"")</f>
        <v/>
      </c>
      <c r="N607" s="39">
        <f>IFERROR(INDEX('11_PRODUSE'!$B$5:$B$104,MATCH($E607,'11_PRODUSE'!$A$5:$A$104,0)),"")</f>
        <v/>
      </c>
      <c r="O607" s="13" t="n"/>
      <c r="P607" s="13" t="n"/>
    </row>
    <row r="608">
      <c r="A608" s="35" t="n"/>
      <c r="B608" s="39">
        <f>IF($A608="","",YEAR($A608)&amp;"-"&amp;RIGHT("0"&amp;MONTH($A608),2))</f>
        <v/>
      </c>
      <c r="C608" s="13" t="n"/>
      <c r="D608" s="13" t="n"/>
      <c r="E608" s="13" t="n"/>
      <c r="F608" s="13" t="n"/>
      <c r="G608" s="40" t="n"/>
      <c r="H608" s="38" t="n"/>
      <c r="I608" s="38" t="n"/>
      <c r="J608" s="38" t="n"/>
      <c r="K608" s="24">
        <f>IF($H608="","",$H608-N($J608))</f>
        <v/>
      </c>
      <c r="L608" s="25">
        <f>IFERROR($K608/$H608,"")</f>
        <v/>
      </c>
      <c r="M608" s="39">
        <f>IFERROR(INDEX('10_CLIENTI'!$B$5:$B$204,MATCH($D608,'10_CLIENTI'!$A$5:$A$204,0)),"")</f>
        <v/>
      </c>
      <c r="N608" s="39">
        <f>IFERROR(INDEX('11_PRODUSE'!$B$5:$B$104,MATCH($E608,'11_PRODUSE'!$A$5:$A$104,0)),"")</f>
        <v/>
      </c>
      <c r="O608" s="13" t="n"/>
      <c r="P608" s="13" t="n"/>
    </row>
    <row r="609">
      <c r="A609" s="35" t="n"/>
      <c r="B609" s="39">
        <f>IF($A609="","",YEAR($A609)&amp;"-"&amp;RIGHT("0"&amp;MONTH($A609),2))</f>
        <v/>
      </c>
      <c r="C609" s="13" t="n"/>
      <c r="D609" s="13" t="n"/>
      <c r="E609" s="13" t="n"/>
      <c r="F609" s="13" t="n"/>
      <c r="G609" s="40" t="n"/>
      <c r="H609" s="38" t="n"/>
      <c r="I609" s="38" t="n"/>
      <c r="J609" s="38" t="n"/>
      <c r="K609" s="24">
        <f>IF($H609="","",$H609-N($J609))</f>
        <v/>
      </c>
      <c r="L609" s="25">
        <f>IFERROR($K609/$H609,"")</f>
        <v/>
      </c>
      <c r="M609" s="39">
        <f>IFERROR(INDEX('10_CLIENTI'!$B$5:$B$204,MATCH($D609,'10_CLIENTI'!$A$5:$A$204,0)),"")</f>
        <v/>
      </c>
      <c r="N609" s="39">
        <f>IFERROR(INDEX('11_PRODUSE'!$B$5:$B$104,MATCH($E609,'11_PRODUSE'!$A$5:$A$104,0)),"")</f>
        <v/>
      </c>
      <c r="O609" s="13" t="n"/>
      <c r="P609" s="13" t="n"/>
    </row>
    <row r="610">
      <c r="A610" s="35" t="n"/>
      <c r="B610" s="39">
        <f>IF($A610="","",YEAR($A610)&amp;"-"&amp;RIGHT("0"&amp;MONTH($A610),2))</f>
        <v/>
      </c>
      <c r="C610" s="13" t="n"/>
      <c r="D610" s="13" t="n"/>
      <c r="E610" s="13" t="n"/>
      <c r="F610" s="13" t="n"/>
      <c r="G610" s="40" t="n"/>
      <c r="H610" s="38" t="n"/>
      <c r="I610" s="38" t="n"/>
      <c r="J610" s="38" t="n"/>
      <c r="K610" s="24">
        <f>IF($H610="","",$H610-N($J610))</f>
        <v/>
      </c>
      <c r="L610" s="25">
        <f>IFERROR($K610/$H610,"")</f>
        <v/>
      </c>
      <c r="M610" s="39">
        <f>IFERROR(INDEX('10_CLIENTI'!$B$5:$B$204,MATCH($D610,'10_CLIENTI'!$A$5:$A$204,0)),"")</f>
        <v/>
      </c>
      <c r="N610" s="39">
        <f>IFERROR(INDEX('11_PRODUSE'!$B$5:$B$104,MATCH($E610,'11_PRODUSE'!$A$5:$A$104,0)),"")</f>
        <v/>
      </c>
      <c r="O610" s="13" t="n"/>
      <c r="P610" s="13" t="n"/>
    </row>
    <row r="611">
      <c r="A611" s="35" t="n"/>
      <c r="B611" s="39">
        <f>IF($A611="","",YEAR($A611)&amp;"-"&amp;RIGHT("0"&amp;MONTH($A611),2))</f>
        <v/>
      </c>
      <c r="C611" s="13" t="n"/>
      <c r="D611" s="13" t="n"/>
      <c r="E611" s="13" t="n"/>
      <c r="F611" s="13" t="n"/>
      <c r="G611" s="40" t="n"/>
      <c r="H611" s="38" t="n"/>
      <c r="I611" s="38" t="n"/>
      <c r="J611" s="38" t="n"/>
      <c r="K611" s="24">
        <f>IF($H611="","",$H611-N($J611))</f>
        <v/>
      </c>
      <c r="L611" s="25">
        <f>IFERROR($K611/$H611,"")</f>
        <v/>
      </c>
      <c r="M611" s="39">
        <f>IFERROR(INDEX('10_CLIENTI'!$B$5:$B$204,MATCH($D611,'10_CLIENTI'!$A$5:$A$204,0)),"")</f>
        <v/>
      </c>
      <c r="N611" s="39">
        <f>IFERROR(INDEX('11_PRODUSE'!$B$5:$B$104,MATCH($E611,'11_PRODUSE'!$A$5:$A$104,0)),"")</f>
        <v/>
      </c>
      <c r="O611" s="13" t="n"/>
      <c r="P611" s="13" t="n"/>
    </row>
    <row r="612">
      <c r="A612" s="35" t="n"/>
      <c r="B612" s="39">
        <f>IF($A612="","",YEAR($A612)&amp;"-"&amp;RIGHT("0"&amp;MONTH($A612),2))</f>
        <v/>
      </c>
      <c r="C612" s="13" t="n"/>
      <c r="D612" s="13" t="n"/>
      <c r="E612" s="13" t="n"/>
      <c r="F612" s="13" t="n"/>
      <c r="G612" s="40" t="n"/>
      <c r="H612" s="38" t="n"/>
      <c r="I612" s="38" t="n"/>
      <c r="J612" s="38" t="n"/>
      <c r="K612" s="24">
        <f>IF($H612="","",$H612-N($J612))</f>
        <v/>
      </c>
      <c r="L612" s="25">
        <f>IFERROR($K612/$H612,"")</f>
        <v/>
      </c>
      <c r="M612" s="39">
        <f>IFERROR(INDEX('10_CLIENTI'!$B$5:$B$204,MATCH($D612,'10_CLIENTI'!$A$5:$A$204,0)),"")</f>
        <v/>
      </c>
      <c r="N612" s="39">
        <f>IFERROR(INDEX('11_PRODUSE'!$B$5:$B$104,MATCH($E612,'11_PRODUSE'!$A$5:$A$104,0)),"")</f>
        <v/>
      </c>
      <c r="O612" s="13" t="n"/>
      <c r="P612" s="13" t="n"/>
    </row>
    <row r="613">
      <c r="A613" s="35" t="n"/>
      <c r="B613" s="39">
        <f>IF($A613="","",YEAR($A613)&amp;"-"&amp;RIGHT("0"&amp;MONTH($A613),2))</f>
        <v/>
      </c>
      <c r="C613" s="13" t="n"/>
      <c r="D613" s="13" t="n"/>
      <c r="E613" s="13" t="n"/>
      <c r="F613" s="13" t="n"/>
      <c r="G613" s="40" t="n"/>
      <c r="H613" s="38" t="n"/>
      <c r="I613" s="38" t="n"/>
      <c r="J613" s="38" t="n"/>
      <c r="K613" s="24">
        <f>IF($H613="","",$H613-N($J613))</f>
        <v/>
      </c>
      <c r="L613" s="25">
        <f>IFERROR($K613/$H613,"")</f>
        <v/>
      </c>
      <c r="M613" s="39">
        <f>IFERROR(INDEX('10_CLIENTI'!$B$5:$B$204,MATCH($D613,'10_CLIENTI'!$A$5:$A$204,0)),"")</f>
        <v/>
      </c>
      <c r="N613" s="39">
        <f>IFERROR(INDEX('11_PRODUSE'!$B$5:$B$104,MATCH($E613,'11_PRODUSE'!$A$5:$A$104,0)),"")</f>
        <v/>
      </c>
      <c r="O613" s="13" t="n"/>
      <c r="P613" s="13" t="n"/>
    </row>
    <row r="614">
      <c r="A614" s="35" t="n"/>
      <c r="B614" s="39">
        <f>IF($A614="","",YEAR($A614)&amp;"-"&amp;RIGHT("0"&amp;MONTH($A614),2))</f>
        <v/>
      </c>
      <c r="C614" s="13" t="n"/>
      <c r="D614" s="13" t="n"/>
      <c r="E614" s="13" t="n"/>
      <c r="F614" s="13" t="n"/>
      <c r="G614" s="40" t="n"/>
      <c r="H614" s="38" t="n"/>
      <c r="I614" s="38" t="n"/>
      <c r="J614" s="38" t="n"/>
      <c r="K614" s="24">
        <f>IF($H614="","",$H614-N($J614))</f>
        <v/>
      </c>
      <c r="L614" s="25">
        <f>IFERROR($K614/$H614,"")</f>
        <v/>
      </c>
      <c r="M614" s="39">
        <f>IFERROR(INDEX('10_CLIENTI'!$B$5:$B$204,MATCH($D614,'10_CLIENTI'!$A$5:$A$204,0)),"")</f>
        <v/>
      </c>
      <c r="N614" s="39">
        <f>IFERROR(INDEX('11_PRODUSE'!$B$5:$B$104,MATCH($E614,'11_PRODUSE'!$A$5:$A$104,0)),"")</f>
        <v/>
      </c>
      <c r="O614" s="13" t="n"/>
      <c r="P614" s="13" t="n"/>
    </row>
    <row r="615">
      <c r="A615" s="35" t="n"/>
      <c r="B615" s="39">
        <f>IF($A615="","",YEAR($A615)&amp;"-"&amp;RIGHT("0"&amp;MONTH($A615),2))</f>
        <v/>
      </c>
      <c r="C615" s="13" t="n"/>
      <c r="D615" s="13" t="n"/>
      <c r="E615" s="13" t="n"/>
      <c r="F615" s="13" t="n"/>
      <c r="G615" s="40" t="n"/>
      <c r="H615" s="38" t="n"/>
      <c r="I615" s="38" t="n"/>
      <c r="J615" s="38" t="n"/>
      <c r="K615" s="24">
        <f>IF($H615="","",$H615-N($J615))</f>
        <v/>
      </c>
      <c r="L615" s="25">
        <f>IFERROR($K615/$H615,"")</f>
        <v/>
      </c>
      <c r="M615" s="39">
        <f>IFERROR(INDEX('10_CLIENTI'!$B$5:$B$204,MATCH($D615,'10_CLIENTI'!$A$5:$A$204,0)),"")</f>
        <v/>
      </c>
      <c r="N615" s="39">
        <f>IFERROR(INDEX('11_PRODUSE'!$B$5:$B$104,MATCH($E615,'11_PRODUSE'!$A$5:$A$104,0)),"")</f>
        <v/>
      </c>
      <c r="O615" s="13" t="n"/>
      <c r="P615" s="13" t="n"/>
    </row>
    <row r="616">
      <c r="A616" s="35" t="n"/>
      <c r="B616" s="39">
        <f>IF($A616="","",YEAR($A616)&amp;"-"&amp;RIGHT("0"&amp;MONTH($A616),2))</f>
        <v/>
      </c>
      <c r="C616" s="13" t="n"/>
      <c r="D616" s="13" t="n"/>
      <c r="E616" s="13" t="n"/>
      <c r="F616" s="13" t="n"/>
      <c r="G616" s="40" t="n"/>
      <c r="H616" s="38" t="n"/>
      <c r="I616" s="38" t="n"/>
      <c r="J616" s="38" t="n"/>
      <c r="K616" s="24">
        <f>IF($H616="","",$H616-N($J616))</f>
        <v/>
      </c>
      <c r="L616" s="25">
        <f>IFERROR($K616/$H616,"")</f>
        <v/>
      </c>
      <c r="M616" s="39">
        <f>IFERROR(INDEX('10_CLIENTI'!$B$5:$B$204,MATCH($D616,'10_CLIENTI'!$A$5:$A$204,0)),"")</f>
        <v/>
      </c>
      <c r="N616" s="39">
        <f>IFERROR(INDEX('11_PRODUSE'!$B$5:$B$104,MATCH($E616,'11_PRODUSE'!$A$5:$A$104,0)),"")</f>
        <v/>
      </c>
      <c r="O616" s="13" t="n"/>
      <c r="P616" s="13" t="n"/>
    </row>
    <row r="617">
      <c r="A617" s="35" t="n"/>
      <c r="B617" s="39">
        <f>IF($A617="","",YEAR($A617)&amp;"-"&amp;RIGHT("0"&amp;MONTH($A617),2))</f>
        <v/>
      </c>
      <c r="C617" s="13" t="n"/>
      <c r="D617" s="13" t="n"/>
      <c r="E617" s="13" t="n"/>
      <c r="F617" s="13" t="n"/>
      <c r="G617" s="40" t="n"/>
      <c r="H617" s="38" t="n"/>
      <c r="I617" s="38" t="n"/>
      <c r="J617" s="38" t="n"/>
      <c r="K617" s="24">
        <f>IF($H617="","",$H617-N($J617))</f>
        <v/>
      </c>
      <c r="L617" s="25">
        <f>IFERROR($K617/$H617,"")</f>
        <v/>
      </c>
      <c r="M617" s="39">
        <f>IFERROR(INDEX('10_CLIENTI'!$B$5:$B$204,MATCH($D617,'10_CLIENTI'!$A$5:$A$204,0)),"")</f>
        <v/>
      </c>
      <c r="N617" s="39">
        <f>IFERROR(INDEX('11_PRODUSE'!$B$5:$B$104,MATCH($E617,'11_PRODUSE'!$A$5:$A$104,0)),"")</f>
        <v/>
      </c>
      <c r="O617" s="13" t="n"/>
      <c r="P617" s="13" t="n"/>
    </row>
    <row r="618">
      <c r="A618" s="35" t="n"/>
      <c r="B618" s="39">
        <f>IF($A618="","",YEAR($A618)&amp;"-"&amp;RIGHT("0"&amp;MONTH($A618),2))</f>
        <v/>
      </c>
      <c r="C618" s="13" t="n"/>
      <c r="D618" s="13" t="n"/>
      <c r="E618" s="13" t="n"/>
      <c r="F618" s="13" t="n"/>
      <c r="G618" s="40" t="n"/>
      <c r="H618" s="38" t="n"/>
      <c r="I618" s="38" t="n"/>
      <c r="J618" s="38" t="n"/>
      <c r="K618" s="24">
        <f>IF($H618="","",$H618-N($J618))</f>
        <v/>
      </c>
      <c r="L618" s="25">
        <f>IFERROR($K618/$H618,"")</f>
        <v/>
      </c>
      <c r="M618" s="39">
        <f>IFERROR(INDEX('10_CLIENTI'!$B$5:$B$204,MATCH($D618,'10_CLIENTI'!$A$5:$A$204,0)),"")</f>
        <v/>
      </c>
      <c r="N618" s="39">
        <f>IFERROR(INDEX('11_PRODUSE'!$B$5:$B$104,MATCH($E618,'11_PRODUSE'!$A$5:$A$104,0)),"")</f>
        <v/>
      </c>
      <c r="O618" s="13" t="n"/>
      <c r="P618" s="13" t="n"/>
    </row>
    <row r="619">
      <c r="A619" s="35" t="n"/>
      <c r="B619" s="39">
        <f>IF($A619="","",YEAR($A619)&amp;"-"&amp;RIGHT("0"&amp;MONTH($A619),2))</f>
        <v/>
      </c>
      <c r="C619" s="13" t="n"/>
      <c r="D619" s="13" t="n"/>
      <c r="E619" s="13" t="n"/>
      <c r="F619" s="13" t="n"/>
      <c r="G619" s="40" t="n"/>
      <c r="H619" s="38" t="n"/>
      <c r="I619" s="38" t="n"/>
      <c r="J619" s="38" t="n"/>
      <c r="K619" s="24">
        <f>IF($H619="","",$H619-N($J619))</f>
        <v/>
      </c>
      <c r="L619" s="25">
        <f>IFERROR($K619/$H619,"")</f>
        <v/>
      </c>
      <c r="M619" s="39">
        <f>IFERROR(INDEX('10_CLIENTI'!$B$5:$B$204,MATCH($D619,'10_CLIENTI'!$A$5:$A$204,0)),"")</f>
        <v/>
      </c>
      <c r="N619" s="39">
        <f>IFERROR(INDEX('11_PRODUSE'!$B$5:$B$104,MATCH($E619,'11_PRODUSE'!$A$5:$A$104,0)),"")</f>
        <v/>
      </c>
      <c r="O619" s="13" t="n"/>
      <c r="P619" s="13" t="n"/>
    </row>
    <row r="620">
      <c r="A620" s="35" t="n"/>
      <c r="B620" s="39">
        <f>IF($A620="","",YEAR($A620)&amp;"-"&amp;RIGHT("0"&amp;MONTH($A620),2))</f>
        <v/>
      </c>
      <c r="C620" s="13" t="n"/>
      <c r="D620" s="13" t="n"/>
      <c r="E620" s="13" t="n"/>
      <c r="F620" s="13" t="n"/>
      <c r="G620" s="40" t="n"/>
      <c r="H620" s="38" t="n"/>
      <c r="I620" s="38" t="n"/>
      <c r="J620" s="38" t="n"/>
      <c r="K620" s="24">
        <f>IF($H620="","",$H620-N($J620))</f>
        <v/>
      </c>
      <c r="L620" s="25">
        <f>IFERROR($K620/$H620,"")</f>
        <v/>
      </c>
      <c r="M620" s="39">
        <f>IFERROR(INDEX('10_CLIENTI'!$B$5:$B$204,MATCH($D620,'10_CLIENTI'!$A$5:$A$204,0)),"")</f>
        <v/>
      </c>
      <c r="N620" s="39">
        <f>IFERROR(INDEX('11_PRODUSE'!$B$5:$B$104,MATCH($E620,'11_PRODUSE'!$A$5:$A$104,0)),"")</f>
        <v/>
      </c>
      <c r="O620" s="13" t="n"/>
      <c r="P620" s="13" t="n"/>
    </row>
    <row r="621">
      <c r="A621" s="35" t="n"/>
      <c r="B621" s="39">
        <f>IF($A621="","",YEAR($A621)&amp;"-"&amp;RIGHT("0"&amp;MONTH($A621),2))</f>
        <v/>
      </c>
      <c r="C621" s="13" t="n"/>
      <c r="D621" s="13" t="n"/>
      <c r="E621" s="13" t="n"/>
      <c r="F621" s="13" t="n"/>
      <c r="G621" s="40" t="n"/>
      <c r="H621" s="38" t="n"/>
      <c r="I621" s="38" t="n"/>
      <c r="J621" s="38" t="n"/>
      <c r="K621" s="24">
        <f>IF($H621="","",$H621-N($J621))</f>
        <v/>
      </c>
      <c r="L621" s="25">
        <f>IFERROR($K621/$H621,"")</f>
        <v/>
      </c>
      <c r="M621" s="39">
        <f>IFERROR(INDEX('10_CLIENTI'!$B$5:$B$204,MATCH($D621,'10_CLIENTI'!$A$5:$A$204,0)),"")</f>
        <v/>
      </c>
      <c r="N621" s="39">
        <f>IFERROR(INDEX('11_PRODUSE'!$B$5:$B$104,MATCH($E621,'11_PRODUSE'!$A$5:$A$104,0)),"")</f>
        <v/>
      </c>
      <c r="O621" s="13" t="n"/>
      <c r="P621" s="13" t="n"/>
    </row>
    <row r="622">
      <c r="A622" s="35" t="n"/>
      <c r="B622" s="39">
        <f>IF($A622="","",YEAR($A622)&amp;"-"&amp;RIGHT("0"&amp;MONTH($A622),2))</f>
        <v/>
      </c>
      <c r="C622" s="13" t="n"/>
      <c r="D622" s="13" t="n"/>
      <c r="E622" s="13" t="n"/>
      <c r="F622" s="13" t="n"/>
      <c r="G622" s="40" t="n"/>
      <c r="H622" s="38" t="n"/>
      <c r="I622" s="38" t="n"/>
      <c r="J622" s="38" t="n"/>
      <c r="K622" s="24">
        <f>IF($H622="","",$H622-N($J622))</f>
        <v/>
      </c>
      <c r="L622" s="25">
        <f>IFERROR($K622/$H622,"")</f>
        <v/>
      </c>
      <c r="M622" s="39">
        <f>IFERROR(INDEX('10_CLIENTI'!$B$5:$B$204,MATCH($D622,'10_CLIENTI'!$A$5:$A$204,0)),"")</f>
        <v/>
      </c>
      <c r="N622" s="39">
        <f>IFERROR(INDEX('11_PRODUSE'!$B$5:$B$104,MATCH($E622,'11_PRODUSE'!$A$5:$A$104,0)),"")</f>
        <v/>
      </c>
      <c r="O622" s="13" t="n"/>
      <c r="P622" s="13" t="n"/>
    </row>
    <row r="623">
      <c r="A623" s="35" t="n"/>
      <c r="B623" s="39">
        <f>IF($A623="","",YEAR($A623)&amp;"-"&amp;RIGHT("0"&amp;MONTH($A623),2))</f>
        <v/>
      </c>
      <c r="C623" s="13" t="n"/>
      <c r="D623" s="13" t="n"/>
      <c r="E623" s="13" t="n"/>
      <c r="F623" s="13" t="n"/>
      <c r="G623" s="40" t="n"/>
      <c r="H623" s="38" t="n"/>
      <c r="I623" s="38" t="n"/>
      <c r="J623" s="38" t="n"/>
      <c r="K623" s="24">
        <f>IF($H623="","",$H623-N($J623))</f>
        <v/>
      </c>
      <c r="L623" s="25">
        <f>IFERROR($K623/$H623,"")</f>
        <v/>
      </c>
      <c r="M623" s="39">
        <f>IFERROR(INDEX('10_CLIENTI'!$B$5:$B$204,MATCH($D623,'10_CLIENTI'!$A$5:$A$204,0)),"")</f>
        <v/>
      </c>
      <c r="N623" s="39">
        <f>IFERROR(INDEX('11_PRODUSE'!$B$5:$B$104,MATCH($E623,'11_PRODUSE'!$A$5:$A$104,0)),"")</f>
        <v/>
      </c>
      <c r="O623" s="13" t="n"/>
      <c r="P623" s="13" t="n"/>
    </row>
    <row r="624">
      <c r="A624" s="35" t="n"/>
      <c r="B624" s="39">
        <f>IF($A624="","",YEAR($A624)&amp;"-"&amp;RIGHT("0"&amp;MONTH($A624),2))</f>
        <v/>
      </c>
      <c r="C624" s="13" t="n"/>
      <c r="D624" s="13" t="n"/>
      <c r="E624" s="13" t="n"/>
      <c r="F624" s="13" t="n"/>
      <c r="G624" s="40" t="n"/>
      <c r="H624" s="38" t="n"/>
      <c r="I624" s="38" t="n"/>
      <c r="J624" s="38" t="n"/>
      <c r="K624" s="24">
        <f>IF($H624="","",$H624-N($J624))</f>
        <v/>
      </c>
      <c r="L624" s="25">
        <f>IFERROR($K624/$H624,"")</f>
        <v/>
      </c>
      <c r="M624" s="39">
        <f>IFERROR(INDEX('10_CLIENTI'!$B$5:$B$204,MATCH($D624,'10_CLIENTI'!$A$5:$A$204,0)),"")</f>
        <v/>
      </c>
      <c r="N624" s="39">
        <f>IFERROR(INDEX('11_PRODUSE'!$B$5:$B$104,MATCH($E624,'11_PRODUSE'!$A$5:$A$104,0)),"")</f>
        <v/>
      </c>
      <c r="O624" s="13" t="n"/>
      <c r="P624" s="13" t="n"/>
    </row>
    <row r="625">
      <c r="A625" s="35" t="n"/>
      <c r="B625" s="39">
        <f>IF($A625="","",YEAR($A625)&amp;"-"&amp;RIGHT("0"&amp;MONTH($A625),2))</f>
        <v/>
      </c>
      <c r="C625" s="13" t="n"/>
      <c r="D625" s="13" t="n"/>
      <c r="E625" s="13" t="n"/>
      <c r="F625" s="13" t="n"/>
      <c r="G625" s="40" t="n"/>
      <c r="H625" s="38" t="n"/>
      <c r="I625" s="38" t="n"/>
      <c r="J625" s="38" t="n"/>
      <c r="K625" s="24">
        <f>IF($H625="","",$H625-N($J625))</f>
        <v/>
      </c>
      <c r="L625" s="25">
        <f>IFERROR($K625/$H625,"")</f>
        <v/>
      </c>
      <c r="M625" s="39">
        <f>IFERROR(INDEX('10_CLIENTI'!$B$5:$B$204,MATCH($D625,'10_CLIENTI'!$A$5:$A$204,0)),"")</f>
        <v/>
      </c>
      <c r="N625" s="39">
        <f>IFERROR(INDEX('11_PRODUSE'!$B$5:$B$104,MATCH($E625,'11_PRODUSE'!$A$5:$A$104,0)),"")</f>
        <v/>
      </c>
      <c r="O625" s="13" t="n"/>
      <c r="P625" s="13" t="n"/>
    </row>
    <row r="626">
      <c r="A626" s="35" t="n"/>
      <c r="B626" s="39">
        <f>IF($A626="","",YEAR($A626)&amp;"-"&amp;RIGHT("0"&amp;MONTH($A626),2))</f>
        <v/>
      </c>
      <c r="C626" s="13" t="n"/>
      <c r="D626" s="13" t="n"/>
      <c r="E626" s="13" t="n"/>
      <c r="F626" s="13" t="n"/>
      <c r="G626" s="40" t="n"/>
      <c r="H626" s="38" t="n"/>
      <c r="I626" s="38" t="n"/>
      <c r="J626" s="38" t="n"/>
      <c r="K626" s="24">
        <f>IF($H626="","",$H626-N($J626))</f>
        <v/>
      </c>
      <c r="L626" s="25">
        <f>IFERROR($K626/$H626,"")</f>
        <v/>
      </c>
      <c r="M626" s="39">
        <f>IFERROR(INDEX('10_CLIENTI'!$B$5:$B$204,MATCH($D626,'10_CLIENTI'!$A$5:$A$204,0)),"")</f>
        <v/>
      </c>
      <c r="N626" s="39">
        <f>IFERROR(INDEX('11_PRODUSE'!$B$5:$B$104,MATCH($E626,'11_PRODUSE'!$A$5:$A$104,0)),"")</f>
        <v/>
      </c>
      <c r="O626" s="13" t="n"/>
      <c r="P626" s="13" t="n"/>
    </row>
    <row r="627">
      <c r="A627" s="35" t="n"/>
      <c r="B627" s="39">
        <f>IF($A627="","",YEAR($A627)&amp;"-"&amp;RIGHT("0"&amp;MONTH($A627),2))</f>
        <v/>
      </c>
      <c r="C627" s="13" t="n"/>
      <c r="D627" s="13" t="n"/>
      <c r="E627" s="13" t="n"/>
      <c r="F627" s="13" t="n"/>
      <c r="G627" s="40" t="n"/>
      <c r="H627" s="38" t="n"/>
      <c r="I627" s="38" t="n"/>
      <c r="J627" s="38" t="n"/>
      <c r="K627" s="24">
        <f>IF($H627="","",$H627-N($J627))</f>
        <v/>
      </c>
      <c r="L627" s="25">
        <f>IFERROR($K627/$H627,"")</f>
        <v/>
      </c>
      <c r="M627" s="39">
        <f>IFERROR(INDEX('10_CLIENTI'!$B$5:$B$204,MATCH($D627,'10_CLIENTI'!$A$5:$A$204,0)),"")</f>
        <v/>
      </c>
      <c r="N627" s="39">
        <f>IFERROR(INDEX('11_PRODUSE'!$B$5:$B$104,MATCH($E627,'11_PRODUSE'!$A$5:$A$104,0)),"")</f>
        <v/>
      </c>
      <c r="O627" s="13" t="n"/>
      <c r="P627" s="13" t="n"/>
    </row>
    <row r="628">
      <c r="A628" s="35" t="n"/>
      <c r="B628" s="39">
        <f>IF($A628="","",YEAR($A628)&amp;"-"&amp;RIGHT("0"&amp;MONTH($A628),2))</f>
        <v/>
      </c>
      <c r="C628" s="13" t="n"/>
      <c r="D628" s="13" t="n"/>
      <c r="E628" s="13" t="n"/>
      <c r="F628" s="13" t="n"/>
      <c r="G628" s="40" t="n"/>
      <c r="H628" s="38" t="n"/>
      <c r="I628" s="38" t="n"/>
      <c r="J628" s="38" t="n"/>
      <c r="K628" s="24">
        <f>IF($H628="","",$H628-N($J628))</f>
        <v/>
      </c>
      <c r="L628" s="25">
        <f>IFERROR($K628/$H628,"")</f>
        <v/>
      </c>
      <c r="M628" s="39">
        <f>IFERROR(INDEX('10_CLIENTI'!$B$5:$B$204,MATCH($D628,'10_CLIENTI'!$A$5:$A$204,0)),"")</f>
        <v/>
      </c>
      <c r="N628" s="39">
        <f>IFERROR(INDEX('11_PRODUSE'!$B$5:$B$104,MATCH($E628,'11_PRODUSE'!$A$5:$A$104,0)),"")</f>
        <v/>
      </c>
      <c r="O628" s="13" t="n"/>
      <c r="P628" s="13" t="n"/>
    </row>
    <row r="629">
      <c r="A629" s="35" t="n"/>
      <c r="B629" s="39">
        <f>IF($A629="","",YEAR($A629)&amp;"-"&amp;RIGHT("0"&amp;MONTH($A629),2))</f>
        <v/>
      </c>
      <c r="C629" s="13" t="n"/>
      <c r="D629" s="13" t="n"/>
      <c r="E629" s="13" t="n"/>
      <c r="F629" s="13" t="n"/>
      <c r="G629" s="40" t="n"/>
      <c r="H629" s="38" t="n"/>
      <c r="I629" s="38" t="n"/>
      <c r="J629" s="38" t="n"/>
      <c r="K629" s="24">
        <f>IF($H629="","",$H629-N($J629))</f>
        <v/>
      </c>
      <c r="L629" s="25">
        <f>IFERROR($K629/$H629,"")</f>
        <v/>
      </c>
      <c r="M629" s="39">
        <f>IFERROR(INDEX('10_CLIENTI'!$B$5:$B$204,MATCH($D629,'10_CLIENTI'!$A$5:$A$204,0)),"")</f>
        <v/>
      </c>
      <c r="N629" s="39">
        <f>IFERROR(INDEX('11_PRODUSE'!$B$5:$B$104,MATCH($E629,'11_PRODUSE'!$A$5:$A$104,0)),"")</f>
        <v/>
      </c>
      <c r="O629" s="13" t="n"/>
      <c r="P629" s="13" t="n"/>
    </row>
    <row r="630">
      <c r="A630" s="35" t="n"/>
      <c r="B630" s="39">
        <f>IF($A630="","",YEAR($A630)&amp;"-"&amp;RIGHT("0"&amp;MONTH($A630),2))</f>
        <v/>
      </c>
      <c r="C630" s="13" t="n"/>
      <c r="D630" s="13" t="n"/>
      <c r="E630" s="13" t="n"/>
      <c r="F630" s="13" t="n"/>
      <c r="G630" s="40" t="n"/>
      <c r="H630" s="38" t="n"/>
      <c r="I630" s="38" t="n"/>
      <c r="J630" s="38" t="n"/>
      <c r="K630" s="24">
        <f>IF($H630="","",$H630-N($J630))</f>
        <v/>
      </c>
      <c r="L630" s="25">
        <f>IFERROR($K630/$H630,"")</f>
        <v/>
      </c>
      <c r="M630" s="39">
        <f>IFERROR(INDEX('10_CLIENTI'!$B$5:$B$204,MATCH($D630,'10_CLIENTI'!$A$5:$A$204,0)),"")</f>
        <v/>
      </c>
      <c r="N630" s="39">
        <f>IFERROR(INDEX('11_PRODUSE'!$B$5:$B$104,MATCH($E630,'11_PRODUSE'!$A$5:$A$104,0)),"")</f>
        <v/>
      </c>
      <c r="O630" s="13" t="n"/>
      <c r="P630" s="13" t="n"/>
    </row>
    <row r="631">
      <c r="A631" s="35" t="n"/>
      <c r="B631" s="39">
        <f>IF($A631="","",YEAR($A631)&amp;"-"&amp;RIGHT("0"&amp;MONTH($A631),2))</f>
        <v/>
      </c>
      <c r="C631" s="13" t="n"/>
      <c r="D631" s="13" t="n"/>
      <c r="E631" s="13" t="n"/>
      <c r="F631" s="13" t="n"/>
      <c r="G631" s="40" t="n"/>
      <c r="H631" s="38" t="n"/>
      <c r="I631" s="38" t="n"/>
      <c r="J631" s="38" t="n"/>
      <c r="K631" s="24">
        <f>IF($H631="","",$H631-N($J631))</f>
        <v/>
      </c>
      <c r="L631" s="25">
        <f>IFERROR($K631/$H631,"")</f>
        <v/>
      </c>
      <c r="M631" s="39">
        <f>IFERROR(INDEX('10_CLIENTI'!$B$5:$B$204,MATCH($D631,'10_CLIENTI'!$A$5:$A$204,0)),"")</f>
        <v/>
      </c>
      <c r="N631" s="39">
        <f>IFERROR(INDEX('11_PRODUSE'!$B$5:$B$104,MATCH($E631,'11_PRODUSE'!$A$5:$A$104,0)),"")</f>
        <v/>
      </c>
      <c r="O631" s="13" t="n"/>
      <c r="P631" s="13" t="n"/>
    </row>
    <row r="632">
      <c r="A632" s="35" t="n"/>
      <c r="B632" s="39">
        <f>IF($A632="","",YEAR($A632)&amp;"-"&amp;RIGHT("0"&amp;MONTH($A632),2))</f>
        <v/>
      </c>
      <c r="C632" s="13" t="n"/>
      <c r="D632" s="13" t="n"/>
      <c r="E632" s="13" t="n"/>
      <c r="F632" s="13" t="n"/>
      <c r="G632" s="40" t="n"/>
      <c r="H632" s="38" t="n"/>
      <c r="I632" s="38" t="n"/>
      <c r="J632" s="38" t="n"/>
      <c r="K632" s="24">
        <f>IF($H632="","",$H632-N($J632))</f>
        <v/>
      </c>
      <c r="L632" s="25">
        <f>IFERROR($K632/$H632,"")</f>
        <v/>
      </c>
      <c r="M632" s="39">
        <f>IFERROR(INDEX('10_CLIENTI'!$B$5:$B$204,MATCH($D632,'10_CLIENTI'!$A$5:$A$204,0)),"")</f>
        <v/>
      </c>
      <c r="N632" s="39">
        <f>IFERROR(INDEX('11_PRODUSE'!$B$5:$B$104,MATCH($E632,'11_PRODUSE'!$A$5:$A$104,0)),"")</f>
        <v/>
      </c>
      <c r="O632" s="13" t="n"/>
      <c r="P632" s="13" t="n"/>
    </row>
    <row r="633">
      <c r="A633" s="35" t="n"/>
      <c r="B633" s="39">
        <f>IF($A633="","",YEAR($A633)&amp;"-"&amp;RIGHT("0"&amp;MONTH($A633),2))</f>
        <v/>
      </c>
      <c r="C633" s="13" t="n"/>
      <c r="D633" s="13" t="n"/>
      <c r="E633" s="13" t="n"/>
      <c r="F633" s="13" t="n"/>
      <c r="G633" s="40" t="n"/>
      <c r="H633" s="38" t="n"/>
      <c r="I633" s="38" t="n"/>
      <c r="J633" s="38" t="n"/>
      <c r="K633" s="24">
        <f>IF($H633="","",$H633-N($J633))</f>
        <v/>
      </c>
      <c r="L633" s="25">
        <f>IFERROR($K633/$H633,"")</f>
        <v/>
      </c>
      <c r="M633" s="39">
        <f>IFERROR(INDEX('10_CLIENTI'!$B$5:$B$204,MATCH($D633,'10_CLIENTI'!$A$5:$A$204,0)),"")</f>
        <v/>
      </c>
      <c r="N633" s="39">
        <f>IFERROR(INDEX('11_PRODUSE'!$B$5:$B$104,MATCH($E633,'11_PRODUSE'!$A$5:$A$104,0)),"")</f>
        <v/>
      </c>
      <c r="O633" s="13" t="n"/>
      <c r="P633" s="13" t="n"/>
    </row>
    <row r="634">
      <c r="A634" s="35" t="n"/>
      <c r="B634" s="39">
        <f>IF($A634="","",YEAR($A634)&amp;"-"&amp;RIGHT("0"&amp;MONTH($A634),2))</f>
        <v/>
      </c>
      <c r="C634" s="13" t="n"/>
      <c r="D634" s="13" t="n"/>
      <c r="E634" s="13" t="n"/>
      <c r="F634" s="13" t="n"/>
      <c r="G634" s="40" t="n"/>
      <c r="H634" s="38" t="n"/>
      <c r="I634" s="38" t="n"/>
      <c r="J634" s="38" t="n"/>
      <c r="K634" s="24">
        <f>IF($H634="","",$H634-N($J634))</f>
        <v/>
      </c>
      <c r="L634" s="25">
        <f>IFERROR($K634/$H634,"")</f>
        <v/>
      </c>
      <c r="M634" s="39">
        <f>IFERROR(INDEX('10_CLIENTI'!$B$5:$B$204,MATCH($D634,'10_CLIENTI'!$A$5:$A$204,0)),"")</f>
        <v/>
      </c>
      <c r="N634" s="39">
        <f>IFERROR(INDEX('11_PRODUSE'!$B$5:$B$104,MATCH($E634,'11_PRODUSE'!$A$5:$A$104,0)),"")</f>
        <v/>
      </c>
      <c r="O634" s="13" t="n"/>
      <c r="P634" s="13" t="n"/>
    </row>
    <row r="635">
      <c r="A635" s="35" t="n"/>
      <c r="B635" s="39">
        <f>IF($A635="","",YEAR($A635)&amp;"-"&amp;RIGHT("0"&amp;MONTH($A635),2))</f>
        <v/>
      </c>
      <c r="C635" s="13" t="n"/>
      <c r="D635" s="13" t="n"/>
      <c r="E635" s="13" t="n"/>
      <c r="F635" s="13" t="n"/>
      <c r="G635" s="40" t="n"/>
      <c r="H635" s="38" t="n"/>
      <c r="I635" s="38" t="n"/>
      <c r="J635" s="38" t="n"/>
      <c r="K635" s="24">
        <f>IF($H635="","",$H635-N($J635))</f>
        <v/>
      </c>
      <c r="L635" s="25">
        <f>IFERROR($K635/$H635,"")</f>
        <v/>
      </c>
      <c r="M635" s="39">
        <f>IFERROR(INDEX('10_CLIENTI'!$B$5:$B$204,MATCH($D635,'10_CLIENTI'!$A$5:$A$204,0)),"")</f>
        <v/>
      </c>
      <c r="N635" s="39">
        <f>IFERROR(INDEX('11_PRODUSE'!$B$5:$B$104,MATCH($E635,'11_PRODUSE'!$A$5:$A$104,0)),"")</f>
        <v/>
      </c>
      <c r="O635" s="13" t="n"/>
      <c r="P635" s="13" t="n"/>
    </row>
    <row r="636">
      <c r="A636" s="35" t="n"/>
      <c r="B636" s="39">
        <f>IF($A636="","",YEAR($A636)&amp;"-"&amp;RIGHT("0"&amp;MONTH($A636),2))</f>
        <v/>
      </c>
      <c r="C636" s="13" t="n"/>
      <c r="D636" s="13" t="n"/>
      <c r="E636" s="13" t="n"/>
      <c r="F636" s="13" t="n"/>
      <c r="G636" s="40" t="n"/>
      <c r="H636" s="38" t="n"/>
      <c r="I636" s="38" t="n"/>
      <c r="J636" s="38" t="n"/>
      <c r="K636" s="24">
        <f>IF($H636="","",$H636-N($J636))</f>
        <v/>
      </c>
      <c r="L636" s="25">
        <f>IFERROR($K636/$H636,"")</f>
        <v/>
      </c>
      <c r="M636" s="39">
        <f>IFERROR(INDEX('10_CLIENTI'!$B$5:$B$204,MATCH($D636,'10_CLIENTI'!$A$5:$A$204,0)),"")</f>
        <v/>
      </c>
      <c r="N636" s="39">
        <f>IFERROR(INDEX('11_PRODUSE'!$B$5:$B$104,MATCH($E636,'11_PRODUSE'!$A$5:$A$104,0)),"")</f>
        <v/>
      </c>
      <c r="O636" s="13" t="n"/>
      <c r="P636" s="13" t="n"/>
    </row>
    <row r="637">
      <c r="A637" s="35" t="n"/>
      <c r="B637" s="39">
        <f>IF($A637="","",YEAR($A637)&amp;"-"&amp;RIGHT("0"&amp;MONTH($A637),2))</f>
        <v/>
      </c>
      <c r="C637" s="13" t="n"/>
      <c r="D637" s="13" t="n"/>
      <c r="E637" s="13" t="n"/>
      <c r="F637" s="13" t="n"/>
      <c r="G637" s="40" t="n"/>
      <c r="H637" s="38" t="n"/>
      <c r="I637" s="38" t="n"/>
      <c r="J637" s="38" t="n"/>
      <c r="K637" s="24">
        <f>IF($H637="","",$H637-N($J637))</f>
        <v/>
      </c>
      <c r="L637" s="25">
        <f>IFERROR($K637/$H637,"")</f>
        <v/>
      </c>
      <c r="M637" s="39">
        <f>IFERROR(INDEX('10_CLIENTI'!$B$5:$B$204,MATCH($D637,'10_CLIENTI'!$A$5:$A$204,0)),"")</f>
        <v/>
      </c>
      <c r="N637" s="39">
        <f>IFERROR(INDEX('11_PRODUSE'!$B$5:$B$104,MATCH($E637,'11_PRODUSE'!$A$5:$A$104,0)),"")</f>
        <v/>
      </c>
      <c r="O637" s="13" t="n"/>
      <c r="P637" s="13" t="n"/>
    </row>
    <row r="638">
      <c r="A638" s="35" t="n"/>
      <c r="B638" s="39">
        <f>IF($A638="","",YEAR($A638)&amp;"-"&amp;RIGHT("0"&amp;MONTH($A638),2))</f>
        <v/>
      </c>
      <c r="C638" s="13" t="n"/>
      <c r="D638" s="13" t="n"/>
      <c r="E638" s="13" t="n"/>
      <c r="F638" s="13" t="n"/>
      <c r="G638" s="40" t="n"/>
      <c r="H638" s="38" t="n"/>
      <c r="I638" s="38" t="n"/>
      <c r="J638" s="38" t="n"/>
      <c r="K638" s="24">
        <f>IF($H638="","",$H638-N($J638))</f>
        <v/>
      </c>
      <c r="L638" s="25">
        <f>IFERROR($K638/$H638,"")</f>
        <v/>
      </c>
      <c r="M638" s="39">
        <f>IFERROR(INDEX('10_CLIENTI'!$B$5:$B$204,MATCH($D638,'10_CLIENTI'!$A$5:$A$204,0)),"")</f>
        <v/>
      </c>
      <c r="N638" s="39">
        <f>IFERROR(INDEX('11_PRODUSE'!$B$5:$B$104,MATCH($E638,'11_PRODUSE'!$A$5:$A$104,0)),"")</f>
        <v/>
      </c>
      <c r="O638" s="13" t="n"/>
      <c r="P638" s="13" t="n"/>
    </row>
    <row r="639">
      <c r="A639" s="35" t="n"/>
      <c r="B639" s="39">
        <f>IF($A639="","",YEAR($A639)&amp;"-"&amp;RIGHT("0"&amp;MONTH($A639),2))</f>
        <v/>
      </c>
      <c r="C639" s="13" t="n"/>
      <c r="D639" s="13" t="n"/>
      <c r="E639" s="13" t="n"/>
      <c r="F639" s="13" t="n"/>
      <c r="G639" s="40" t="n"/>
      <c r="H639" s="38" t="n"/>
      <c r="I639" s="38" t="n"/>
      <c r="J639" s="38" t="n"/>
      <c r="K639" s="24">
        <f>IF($H639="","",$H639-N($J639))</f>
        <v/>
      </c>
      <c r="L639" s="25">
        <f>IFERROR($K639/$H639,"")</f>
        <v/>
      </c>
      <c r="M639" s="39">
        <f>IFERROR(INDEX('10_CLIENTI'!$B$5:$B$204,MATCH($D639,'10_CLIENTI'!$A$5:$A$204,0)),"")</f>
        <v/>
      </c>
      <c r="N639" s="39">
        <f>IFERROR(INDEX('11_PRODUSE'!$B$5:$B$104,MATCH($E639,'11_PRODUSE'!$A$5:$A$104,0)),"")</f>
        <v/>
      </c>
      <c r="O639" s="13" t="n"/>
      <c r="P639" s="13" t="n"/>
    </row>
    <row r="640">
      <c r="A640" s="35" t="n"/>
      <c r="B640" s="39">
        <f>IF($A640="","",YEAR($A640)&amp;"-"&amp;RIGHT("0"&amp;MONTH($A640),2))</f>
        <v/>
      </c>
      <c r="C640" s="13" t="n"/>
      <c r="D640" s="13" t="n"/>
      <c r="E640" s="13" t="n"/>
      <c r="F640" s="13" t="n"/>
      <c r="G640" s="40" t="n"/>
      <c r="H640" s="38" t="n"/>
      <c r="I640" s="38" t="n"/>
      <c r="J640" s="38" t="n"/>
      <c r="K640" s="24">
        <f>IF($H640="","",$H640-N($J640))</f>
        <v/>
      </c>
      <c r="L640" s="25">
        <f>IFERROR($K640/$H640,"")</f>
        <v/>
      </c>
      <c r="M640" s="39">
        <f>IFERROR(INDEX('10_CLIENTI'!$B$5:$B$204,MATCH($D640,'10_CLIENTI'!$A$5:$A$204,0)),"")</f>
        <v/>
      </c>
      <c r="N640" s="39">
        <f>IFERROR(INDEX('11_PRODUSE'!$B$5:$B$104,MATCH($E640,'11_PRODUSE'!$A$5:$A$104,0)),"")</f>
        <v/>
      </c>
      <c r="O640" s="13" t="n"/>
      <c r="P640" s="13" t="n"/>
    </row>
    <row r="641">
      <c r="A641" s="35" t="n"/>
      <c r="B641" s="39">
        <f>IF($A641="","",YEAR($A641)&amp;"-"&amp;RIGHT("0"&amp;MONTH($A641),2))</f>
        <v/>
      </c>
      <c r="C641" s="13" t="n"/>
      <c r="D641" s="13" t="n"/>
      <c r="E641" s="13" t="n"/>
      <c r="F641" s="13" t="n"/>
      <c r="G641" s="40" t="n"/>
      <c r="H641" s="38" t="n"/>
      <c r="I641" s="38" t="n"/>
      <c r="J641" s="38" t="n"/>
      <c r="K641" s="24">
        <f>IF($H641="","",$H641-N($J641))</f>
        <v/>
      </c>
      <c r="L641" s="25">
        <f>IFERROR($K641/$H641,"")</f>
        <v/>
      </c>
      <c r="M641" s="39">
        <f>IFERROR(INDEX('10_CLIENTI'!$B$5:$B$204,MATCH($D641,'10_CLIENTI'!$A$5:$A$204,0)),"")</f>
        <v/>
      </c>
      <c r="N641" s="39">
        <f>IFERROR(INDEX('11_PRODUSE'!$B$5:$B$104,MATCH($E641,'11_PRODUSE'!$A$5:$A$104,0)),"")</f>
        <v/>
      </c>
      <c r="O641" s="13" t="n"/>
      <c r="P641" s="13" t="n"/>
    </row>
    <row r="642">
      <c r="A642" s="35" t="n"/>
      <c r="B642" s="39">
        <f>IF($A642="","",YEAR($A642)&amp;"-"&amp;RIGHT("0"&amp;MONTH($A642),2))</f>
        <v/>
      </c>
      <c r="C642" s="13" t="n"/>
      <c r="D642" s="13" t="n"/>
      <c r="E642" s="13" t="n"/>
      <c r="F642" s="13" t="n"/>
      <c r="G642" s="40" t="n"/>
      <c r="H642" s="38" t="n"/>
      <c r="I642" s="38" t="n"/>
      <c r="J642" s="38" t="n"/>
      <c r="K642" s="24">
        <f>IF($H642="","",$H642-N($J642))</f>
        <v/>
      </c>
      <c r="L642" s="25">
        <f>IFERROR($K642/$H642,"")</f>
        <v/>
      </c>
      <c r="M642" s="39">
        <f>IFERROR(INDEX('10_CLIENTI'!$B$5:$B$204,MATCH($D642,'10_CLIENTI'!$A$5:$A$204,0)),"")</f>
        <v/>
      </c>
      <c r="N642" s="39">
        <f>IFERROR(INDEX('11_PRODUSE'!$B$5:$B$104,MATCH($E642,'11_PRODUSE'!$A$5:$A$104,0)),"")</f>
        <v/>
      </c>
      <c r="O642" s="13" t="n"/>
      <c r="P642" s="13" t="n"/>
    </row>
    <row r="643">
      <c r="A643" s="35" t="n"/>
      <c r="B643" s="39">
        <f>IF($A643="","",YEAR($A643)&amp;"-"&amp;RIGHT("0"&amp;MONTH($A643),2))</f>
        <v/>
      </c>
      <c r="C643" s="13" t="n"/>
      <c r="D643" s="13" t="n"/>
      <c r="E643" s="13" t="n"/>
      <c r="F643" s="13" t="n"/>
      <c r="G643" s="40" t="n"/>
      <c r="H643" s="38" t="n"/>
      <c r="I643" s="38" t="n"/>
      <c r="J643" s="38" t="n"/>
      <c r="K643" s="24">
        <f>IF($H643="","",$H643-N($J643))</f>
        <v/>
      </c>
      <c r="L643" s="25">
        <f>IFERROR($K643/$H643,"")</f>
        <v/>
      </c>
      <c r="M643" s="39">
        <f>IFERROR(INDEX('10_CLIENTI'!$B$5:$B$204,MATCH($D643,'10_CLIENTI'!$A$5:$A$204,0)),"")</f>
        <v/>
      </c>
      <c r="N643" s="39">
        <f>IFERROR(INDEX('11_PRODUSE'!$B$5:$B$104,MATCH($E643,'11_PRODUSE'!$A$5:$A$104,0)),"")</f>
        <v/>
      </c>
      <c r="O643" s="13" t="n"/>
      <c r="P643" s="13" t="n"/>
    </row>
    <row r="644">
      <c r="A644" s="35" t="n"/>
      <c r="B644" s="39">
        <f>IF($A644="","",YEAR($A644)&amp;"-"&amp;RIGHT("0"&amp;MONTH($A644),2))</f>
        <v/>
      </c>
      <c r="C644" s="13" t="n"/>
      <c r="D644" s="13" t="n"/>
      <c r="E644" s="13" t="n"/>
      <c r="F644" s="13" t="n"/>
      <c r="G644" s="40" t="n"/>
      <c r="H644" s="38" t="n"/>
      <c r="I644" s="38" t="n"/>
      <c r="J644" s="38" t="n"/>
      <c r="K644" s="24">
        <f>IF($H644="","",$H644-N($J644))</f>
        <v/>
      </c>
      <c r="L644" s="25">
        <f>IFERROR($K644/$H644,"")</f>
        <v/>
      </c>
      <c r="M644" s="39">
        <f>IFERROR(INDEX('10_CLIENTI'!$B$5:$B$204,MATCH($D644,'10_CLIENTI'!$A$5:$A$204,0)),"")</f>
        <v/>
      </c>
      <c r="N644" s="39">
        <f>IFERROR(INDEX('11_PRODUSE'!$B$5:$B$104,MATCH($E644,'11_PRODUSE'!$A$5:$A$104,0)),"")</f>
        <v/>
      </c>
      <c r="O644" s="13" t="n"/>
      <c r="P644" s="13" t="n"/>
    </row>
    <row r="645">
      <c r="A645" s="35" t="n"/>
      <c r="B645" s="39">
        <f>IF($A645="","",YEAR($A645)&amp;"-"&amp;RIGHT("0"&amp;MONTH($A645),2))</f>
        <v/>
      </c>
      <c r="C645" s="13" t="n"/>
      <c r="D645" s="13" t="n"/>
      <c r="E645" s="13" t="n"/>
      <c r="F645" s="13" t="n"/>
      <c r="G645" s="40" t="n"/>
      <c r="H645" s="38" t="n"/>
      <c r="I645" s="38" t="n"/>
      <c r="J645" s="38" t="n"/>
      <c r="K645" s="24">
        <f>IF($H645="","",$H645-N($J645))</f>
        <v/>
      </c>
      <c r="L645" s="25">
        <f>IFERROR($K645/$H645,"")</f>
        <v/>
      </c>
      <c r="M645" s="39">
        <f>IFERROR(INDEX('10_CLIENTI'!$B$5:$B$204,MATCH($D645,'10_CLIENTI'!$A$5:$A$204,0)),"")</f>
        <v/>
      </c>
      <c r="N645" s="39">
        <f>IFERROR(INDEX('11_PRODUSE'!$B$5:$B$104,MATCH($E645,'11_PRODUSE'!$A$5:$A$104,0)),"")</f>
        <v/>
      </c>
      <c r="O645" s="13" t="n"/>
      <c r="P645" s="13" t="n"/>
    </row>
    <row r="646">
      <c r="A646" s="35" t="n"/>
      <c r="B646" s="39">
        <f>IF($A646="","",YEAR($A646)&amp;"-"&amp;RIGHT("0"&amp;MONTH($A646),2))</f>
        <v/>
      </c>
      <c r="C646" s="13" t="n"/>
      <c r="D646" s="13" t="n"/>
      <c r="E646" s="13" t="n"/>
      <c r="F646" s="13" t="n"/>
      <c r="G646" s="40" t="n"/>
      <c r="H646" s="38" t="n"/>
      <c r="I646" s="38" t="n"/>
      <c r="J646" s="38" t="n"/>
      <c r="K646" s="24">
        <f>IF($H646="","",$H646-N($J646))</f>
        <v/>
      </c>
      <c r="L646" s="25">
        <f>IFERROR($K646/$H646,"")</f>
        <v/>
      </c>
      <c r="M646" s="39">
        <f>IFERROR(INDEX('10_CLIENTI'!$B$5:$B$204,MATCH($D646,'10_CLIENTI'!$A$5:$A$204,0)),"")</f>
        <v/>
      </c>
      <c r="N646" s="39">
        <f>IFERROR(INDEX('11_PRODUSE'!$B$5:$B$104,MATCH($E646,'11_PRODUSE'!$A$5:$A$104,0)),"")</f>
        <v/>
      </c>
      <c r="O646" s="13" t="n"/>
      <c r="P646" s="13" t="n"/>
    </row>
    <row r="647">
      <c r="A647" s="35" t="n"/>
      <c r="B647" s="39">
        <f>IF($A647="","",YEAR($A647)&amp;"-"&amp;RIGHT("0"&amp;MONTH($A647),2))</f>
        <v/>
      </c>
      <c r="C647" s="13" t="n"/>
      <c r="D647" s="13" t="n"/>
      <c r="E647" s="13" t="n"/>
      <c r="F647" s="13" t="n"/>
      <c r="G647" s="40" t="n"/>
      <c r="H647" s="38" t="n"/>
      <c r="I647" s="38" t="n"/>
      <c r="J647" s="38" t="n"/>
      <c r="K647" s="24">
        <f>IF($H647="","",$H647-N($J647))</f>
        <v/>
      </c>
      <c r="L647" s="25">
        <f>IFERROR($K647/$H647,"")</f>
        <v/>
      </c>
      <c r="M647" s="39">
        <f>IFERROR(INDEX('10_CLIENTI'!$B$5:$B$204,MATCH($D647,'10_CLIENTI'!$A$5:$A$204,0)),"")</f>
        <v/>
      </c>
      <c r="N647" s="39">
        <f>IFERROR(INDEX('11_PRODUSE'!$B$5:$B$104,MATCH($E647,'11_PRODUSE'!$A$5:$A$104,0)),"")</f>
        <v/>
      </c>
      <c r="O647" s="13" t="n"/>
      <c r="P647" s="13" t="n"/>
    </row>
    <row r="648">
      <c r="A648" s="35" t="n"/>
      <c r="B648" s="39">
        <f>IF($A648="","",YEAR($A648)&amp;"-"&amp;RIGHT("0"&amp;MONTH($A648),2))</f>
        <v/>
      </c>
      <c r="C648" s="13" t="n"/>
      <c r="D648" s="13" t="n"/>
      <c r="E648" s="13" t="n"/>
      <c r="F648" s="13" t="n"/>
      <c r="G648" s="40" t="n"/>
      <c r="H648" s="38" t="n"/>
      <c r="I648" s="38" t="n"/>
      <c r="J648" s="38" t="n"/>
      <c r="K648" s="24">
        <f>IF($H648="","",$H648-N($J648))</f>
        <v/>
      </c>
      <c r="L648" s="25">
        <f>IFERROR($K648/$H648,"")</f>
        <v/>
      </c>
      <c r="M648" s="39">
        <f>IFERROR(INDEX('10_CLIENTI'!$B$5:$B$204,MATCH($D648,'10_CLIENTI'!$A$5:$A$204,0)),"")</f>
        <v/>
      </c>
      <c r="N648" s="39">
        <f>IFERROR(INDEX('11_PRODUSE'!$B$5:$B$104,MATCH($E648,'11_PRODUSE'!$A$5:$A$104,0)),"")</f>
        <v/>
      </c>
      <c r="O648" s="13" t="n"/>
      <c r="P648" s="13" t="n"/>
    </row>
    <row r="649">
      <c r="A649" s="35" t="n"/>
      <c r="B649" s="39">
        <f>IF($A649="","",YEAR($A649)&amp;"-"&amp;RIGHT("0"&amp;MONTH($A649),2))</f>
        <v/>
      </c>
      <c r="C649" s="13" t="n"/>
      <c r="D649" s="13" t="n"/>
      <c r="E649" s="13" t="n"/>
      <c r="F649" s="13" t="n"/>
      <c r="G649" s="40" t="n"/>
      <c r="H649" s="38" t="n"/>
      <c r="I649" s="38" t="n"/>
      <c r="J649" s="38" t="n"/>
      <c r="K649" s="24">
        <f>IF($H649="","",$H649-N($J649))</f>
        <v/>
      </c>
      <c r="L649" s="25">
        <f>IFERROR($K649/$H649,"")</f>
        <v/>
      </c>
      <c r="M649" s="39">
        <f>IFERROR(INDEX('10_CLIENTI'!$B$5:$B$204,MATCH($D649,'10_CLIENTI'!$A$5:$A$204,0)),"")</f>
        <v/>
      </c>
      <c r="N649" s="39">
        <f>IFERROR(INDEX('11_PRODUSE'!$B$5:$B$104,MATCH($E649,'11_PRODUSE'!$A$5:$A$104,0)),"")</f>
        <v/>
      </c>
      <c r="O649" s="13" t="n"/>
      <c r="P649" s="13" t="n"/>
    </row>
    <row r="650">
      <c r="A650" s="35" t="n"/>
      <c r="B650" s="39">
        <f>IF($A650="","",YEAR($A650)&amp;"-"&amp;RIGHT("0"&amp;MONTH($A650),2))</f>
        <v/>
      </c>
      <c r="C650" s="13" t="n"/>
      <c r="D650" s="13" t="n"/>
      <c r="E650" s="13" t="n"/>
      <c r="F650" s="13" t="n"/>
      <c r="G650" s="40" t="n"/>
      <c r="H650" s="38" t="n"/>
      <c r="I650" s="38" t="n"/>
      <c r="J650" s="38" t="n"/>
      <c r="K650" s="24">
        <f>IF($H650="","",$H650-N($J650))</f>
        <v/>
      </c>
      <c r="L650" s="25">
        <f>IFERROR($K650/$H650,"")</f>
        <v/>
      </c>
      <c r="M650" s="39">
        <f>IFERROR(INDEX('10_CLIENTI'!$B$5:$B$204,MATCH($D650,'10_CLIENTI'!$A$5:$A$204,0)),"")</f>
        <v/>
      </c>
      <c r="N650" s="39">
        <f>IFERROR(INDEX('11_PRODUSE'!$B$5:$B$104,MATCH($E650,'11_PRODUSE'!$A$5:$A$104,0)),"")</f>
        <v/>
      </c>
      <c r="O650" s="13" t="n"/>
      <c r="P650" s="13" t="n"/>
    </row>
    <row r="651">
      <c r="A651" s="35" t="n"/>
      <c r="B651" s="39">
        <f>IF($A651="","",YEAR($A651)&amp;"-"&amp;RIGHT("0"&amp;MONTH($A651),2))</f>
        <v/>
      </c>
      <c r="C651" s="13" t="n"/>
      <c r="D651" s="13" t="n"/>
      <c r="E651" s="13" t="n"/>
      <c r="F651" s="13" t="n"/>
      <c r="G651" s="40" t="n"/>
      <c r="H651" s="38" t="n"/>
      <c r="I651" s="38" t="n"/>
      <c r="J651" s="38" t="n"/>
      <c r="K651" s="24">
        <f>IF($H651="","",$H651-N($J651))</f>
        <v/>
      </c>
      <c r="L651" s="25">
        <f>IFERROR($K651/$H651,"")</f>
        <v/>
      </c>
      <c r="M651" s="39">
        <f>IFERROR(INDEX('10_CLIENTI'!$B$5:$B$204,MATCH($D651,'10_CLIENTI'!$A$5:$A$204,0)),"")</f>
        <v/>
      </c>
      <c r="N651" s="39">
        <f>IFERROR(INDEX('11_PRODUSE'!$B$5:$B$104,MATCH($E651,'11_PRODUSE'!$A$5:$A$104,0)),"")</f>
        <v/>
      </c>
      <c r="O651" s="13" t="n"/>
      <c r="P651" s="13" t="n"/>
    </row>
    <row r="652">
      <c r="A652" s="35" t="n"/>
      <c r="B652" s="39">
        <f>IF($A652="","",YEAR($A652)&amp;"-"&amp;RIGHT("0"&amp;MONTH($A652),2))</f>
        <v/>
      </c>
      <c r="C652" s="13" t="n"/>
      <c r="D652" s="13" t="n"/>
      <c r="E652" s="13" t="n"/>
      <c r="F652" s="13" t="n"/>
      <c r="G652" s="40" t="n"/>
      <c r="H652" s="38" t="n"/>
      <c r="I652" s="38" t="n"/>
      <c r="J652" s="38" t="n"/>
      <c r="K652" s="24">
        <f>IF($H652="","",$H652-N($J652))</f>
        <v/>
      </c>
      <c r="L652" s="25">
        <f>IFERROR($K652/$H652,"")</f>
        <v/>
      </c>
      <c r="M652" s="39">
        <f>IFERROR(INDEX('10_CLIENTI'!$B$5:$B$204,MATCH($D652,'10_CLIENTI'!$A$5:$A$204,0)),"")</f>
        <v/>
      </c>
      <c r="N652" s="39">
        <f>IFERROR(INDEX('11_PRODUSE'!$B$5:$B$104,MATCH($E652,'11_PRODUSE'!$A$5:$A$104,0)),"")</f>
        <v/>
      </c>
      <c r="O652" s="13" t="n"/>
      <c r="P652" s="13" t="n"/>
    </row>
    <row r="653">
      <c r="A653" s="35" t="n"/>
      <c r="B653" s="39">
        <f>IF($A653="","",YEAR($A653)&amp;"-"&amp;RIGHT("0"&amp;MONTH($A653),2))</f>
        <v/>
      </c>
      <c r="C653" s="13" t="n"/>
      <c r="D653" s="13" t="n"/>
      <c r="E653" s="13" t="n"/>
      <c r="F653" s="13" t="n"/>
      <c r="G653" s="40" t="n"/>
      <c r="H653" s="38" t="n"/>
      <c r="I653" s="38" t="n"/>
      <c r="J653" s="38" t="n"/>
      <c r="K653" s="24">
        <f>IF($H653="","",$H653-N($J653))</f>
        <v/>
      </c>
      <c r="L653" s="25">
        <f>IFERROR($K653/$H653,"")</f>
        <v/>
      </c>
      <c r="M653" s="39">
        <f>IFERROR(INDEX('10_CLIENTI'!$B$5:$B$204,MATCH($D653,'10_CLIENTI'!$A$5:$A$204,0)),"")</f>
        <v/>
      </c>
      <c r="N653" s="39">
        <f>IFERROR(INDEX('11_PRODUSE'!$B$5:$B$104,MATCH($E653,'11_PRODUSE'!$A$5:$A$104,0)),"")</f>
        <v/>
      </c>
      <c r="O653" s="13" t="n"/>
      <c r="P653" s="13" t="n"/>
    </row>
    <row r="654">
      <c r="A654" s="35" t="n"/>
      <c r="B654" s="39">
        <f>IF($A654="","",YEAR($A654)&amp;"-"&amp;RIGHT("0"&amp;MONTH($A654),2))</f>
        <v/>
      </c>
      <c r="C654" s="13" t="n"/>
      <c r="D654" s="13" t="n"/>
      <c r="E654" s="13" t="n"/>
      <c r="F654" s="13" t="n"/>
      <c r="G654" s="40" t="n"/>
      <c r="H654" s="38" t="n"/>
      <c r="I654" s="38" t="n"/>
      <c r="J654" s="38" t="n"/>
      <c r="K654" s="24">
        <f>IF($H654="","",$H654-N($J654))</f>
        <v/>
      </c>
      <c r="L654" s="25">
        <f>IFERROR($K654/$H654,"")</f>
        <v/>
      </c>
      <c r="M654" s="39">
        <f>IFERROR(INDEX('10_CLIENTI'!$B$5:$B$204,MATCH($D654,'10_CLIENTI'!$A$5:$A$204,0)),"")</f>
        <v/>
      </c>
      <c r="N654" s="39">
        <f>IFERROR(INDEX('11_PRODUSE'!$B$5:$B$104,MATCH($E654,'11_PRODUSE'!$A$5:$A$104,0)),"")</f>
        <v/>
      </c>
      <c r="O654" s="13" t="n"/>
      <c r="P654" s="13" t="n"/>
    </row>
    <row r="655">
      <c r="A655" s="35" t="n"/>
      <c r="B655" s="39">
        <f>IF($A655="","",YEAR($A655)&amp;"-"&amp;RIGHT("0"&amp;MONTH($A655),2))</f>
        <v/>
      </c>
      <c r="C655" s="13" t="n"/>
      <c r="D655" s="13" t="n"/>
      <c r="E655" s="13" t="n"/>
      <c r="F655" s="13" t="n"/>
      <c r="G655" s="40" t="n"/>
      <c r="H655" s="38" t="n"/>
      <c r="I655" s="38" t="n"/>
      <c r="J655" s="38" t="n"/>
      <c r="K655" s="24">
        <f>IF($H655="","",$H655-N($J655))</f>
        <v/>
      </c>
      <c r="L655" s="25">
        <f>IFERROR($K655/$H655,"")</f>
        <v/>
      </c>
      <c r="M655" s="39">
        <f>IFERROR(INDEX('10_CLIENTI'!$B$5:$B$204,MATCH($D655,'10_CLIENTI'!$A$5:$A$204,0)),"")</f>
        <v/>
      </c>
      <c r="N655" s="39">
        <f>IFERROR(INDEX('11_PRODUSE'!$B$5:$B$104,MATCH($E655,'11_PRODUSE'!$A$5:$A$104,0)),"")</f>
        <v/>
      </c>
      <c r="O655" s="13" t="n"/>
      <c r="P655" s="13" t="n"/>
    </row>
    <row r="656">
      <c r="A656" s="35" t="n"/>
      <c r="B656" s="39">
        <f>IF($A656="","",YEAR($A656)&amp;"-"&amp;RIGHT("0"&amp;MONTH($A656),2))</f>
        <v/>
      </c>
      <c r="C656" s="13" t="n"/>
      <c r="D656" s="13" t="n"/>
      <c r="E656" s="13" t="n"/>
      <c r="F656" s="13" t="n"/>
      <c r="G656" s="40" t="n"/>
      <c r="H656" s="38" t="n"/>
      <c r="I656" s="38" t="n"/>
      <c r="J656" s="38" t="n"/>
      <c r="K656" s="24">
        <f>IF($H656="","",$H656-N($J656))</f>
        <v/>
      </c>
      <c r="L656" s="25">
        <f>IFERROR($K656/$H656,"")</f>
        <v/>
      </c>
      <c r="M656" s="39">
        <f>IFERROR(INDEX('10_CLIENTI'!$B$5:$B$204,MATCH($D656,'10_CLIENTI'!$A$5:$A$204,0)),"")</f>
        <v/>
      </c>
      <c r="N656" s="39">
        <f>IFERROR(INDEX('11_PRODUSE'!$B$5:$B$104,MATCH($E656,'11_PRODUSE'!$A$5:$A$104,0)),"")</f>
        <v/>
      </c>
      <c r="O656" s="13" t="n"/>
      <c r="P656" s="13" t="n"/>
    </row>
    <row r="657">
      <c r="A657" s="35" t="n"/>
      <c r="B657" s="39">
        <f>IF($A657="","",YEAR($A657)&amp;"-"&amp;RIGHT("0"&amp;MONTH($A657),2))</f>
        <v/>
      </c>
      <c r="C657" s="13" t="n"/>
      <c r="D657" s="13" t="n"/>
      <c r="E657" s="13" t="n"/>
      <c r="F657" s="13" t="n"/>
      <c r="G657" s="40" t="n"/>
      <c r="H657" s="38" t="n"/>
      <c r="I657" s="38" t="n"/>
      <c r="J657" s="38" t="n"/>
      <c r="K657" s="24">
        <f>IF($H657="","",$H657-N($J657))</f>
        <v/>
      </c>
      <c r="L657" s="25">
        <f>IFERROR($K657/$H657,"")</f>
        <v/>
      </c>
      <c r="M657" s="39">
        <f>IFERROR(INDEX('10_CLIENTI'!$B$5:$B$204,MATCH($D657,'10_CLIENTI'!$A$5:$A$204,0)),"")</f>
        <v/>
      </c>
      <c r="N657" s="39">
        <f>IFERROR(INDEX('11_PRODUSE'!$B$5:$B$104,MATCH($E657,'11_PRODUSE'!$A$5:$A$104,0)),"")</f>
        <v/>
      </c>
      <c r="O657" s="13" t="n"/>
      <c r="P657" s="13" t="n"/>
    </row>
    <row r="658">
      <c r="A658" s="35" t="n"/>
      <c r="B658" s="39">
        <f>IF($A658="","",YEAR($A658)&amp;"-"&amp;RIGHT("0"&amp;MONTH($A658),2))</f>
        <v/>
      </c>
      <c r="C658" s="13" t="n"/>
      <c r="D658" s="13" t="n"/>
      <c r="E658" s="13" t="n"/>
      <c r="F658" s="13" t="n"/>
      <c r="G658" s="40" t="n"/>
      <c r="H658" s="38" t="n"/>
      <c r="I658" s="38" t="n"/>
      <c r="J658" s="38" t="n"/>
      <c r="K658" s="24">
        <f>IF($H658="","",$H658-N($J658))</f>
        <v/>
      </c>
      <c r="L658" s="25">
        <f>IFERROR($K658/$H658,"")</f>
        <v/>
      </c>
      <c r="M658" s="39">
        <f>IFERROR(INDEX('10_CLIENTI'!$B$5:$B$204,MATCH($D658,'10_CLIENTI'!$A$5:$A$204,0)),"")</f>
        <v/>
      </c>
      <c r="N658" s="39">
        <f>IFERROR(INDEX('11_PRODUSE'!$B$5:$B$104,MATCH($E658,'11_PRODUSE'!$A$5:$A$104,0)),"")</f>
        <v/>
      </c>
      <c r="O658" s="13" t="n"/>
      <c r="P658" s="13" t="n"/>
    </row>
    <row r="659">
      <c r="A659" s="35" t="n"/>
      <c r="B659" s="39">
        <f>IF($A659="","",YEAR($A659)&amp;"-"&amp;RIGHT("0"&amp;MONTH($A659),2))</f>
        <v/>
      </c>
      <c r="C659" s="13" t="n"/>
      <c r="D659" s="13" t="n"/>
      <c r="E659" s="13" t="n"/>
      <c r="F659" s="13" t="n"/>
      <c r="G659" s="40" t="n"/>
      <c r="H659" s="38" t="n"/>
      <c r="I659" s="38" t="n"/>
      <c r="J659" s="38" t="n"/>
      <c r="K659" s="24">
        <f>IF($H659="","",$H659-N($J659))</f>
        <v/>
      </c>
      <c r="L659" s="25">
        <f>IFERROR($K659/$H659,"")</f>
        <v/>
      </c>
      <c r="M659" s="39">
        <f>IFERROR(INDEX('10_CLIENTI'!$B$5:$B$204,MATCH($D659,'10_CLIENTI'!$A$5:$A$204,0)),"")</f>
        <v/>
      </c>
      <c r="N659" s="39">
        <f>IFERROR(INDEX('11_PRODUSE'!$B$5:$B$104,MATCH($E659,'11_PRODUSE'!$A$5:$A$104,0)),"")</f>
        <v/>
      </c>
      <c r="O659" s="13" t="n"/>
      <c r="P659" s="13" t="n"/>
    </row>
    <row r="660">
      <c r="A660" s="35" t="n"/>
      <c r="B660" s="39">
        <f>IF($A660="","",YEAR($A660)&amp;"-"&amp;RIGHT("0"&amp;MONTH($A660),2))</f>
        <v/>
      </c>
      <c r="C660" s="13" t="n"/>
      <c r="D660" s="13" t="n"/>
      <c r="E660" s="13" t="n"/>
      <c r="F660" s="13" t="n"/>
      <c r="G660" s="40" t="n"/>
      <c r="H660" s="38" t="n"/>
      <c r="I660" s="38" t="n"/>
      <c r="J660" s="38" t="n"/>
      <c r="K660" s="24">
        <f>IF($H660="","",$H660-N($J660))</f>
        <v/>
      </c>
      <c r="L660" s="25">
        <f>IFERROR($K660/$H660,"")</f>
        <v/>
      </c>
      <c r="M660" s="39">
        <f>IFERROR(INDEX('10_CLIENTI'!$B$5:$B$204,MATCH($D660,'10_CLIENTI'!$A$5:$A$204,0)),"")</f>
        <v/>
      </c>
      <c r="N660" s="39">
        <f>IFERROR(INDEX('11_PRODUSE'!$B$5:$B$104,MATCH($E660,'11_PRODUSE'!$A$5:$A$104,0)),"")</f>
        <v/>
      </c>
      <c r="O660" s="13" t="n"/>
      <c r="P660" s="13" t="n"/>
    </row>
    <row r="661">
      <c r="A661" s="35" t="n"/>
      <c r="B661" s="39">
        <f>IF($A661="","",YEAR($A661)&amp;"-"&amp;RIGHT("0"&amp;MONTH($A661),2))</f>
        <v/>
      </c>
      <c r="C661" s="13" t="n"/>
      <c r="D661" s="13" t="n"/>
      <c r="E661" s="13" t="n"/>
      <c r="F661" s="13" t="n"/>
      <c r="G661" s="40" t="n"/>
      <c r="H661" s="38" t="n"/>
      <c r="I661" s="38" t="n"/>
      <c r="J661" s="38" t="n"/>
      <c r="K661" s="24">
        <f>IF($H661="","",$H661-N($J661))</f>
        <v/>
      </c>
      <c r="L661" s="25">
        <f>IFERROR($K661/$H661,"")</f>
        <v/>
      </c>
      <c r="M661" s="39">
        <f>IFERROR(INDEX('10_CLIENTI'!$B$5:$B$204,MATCH($D661,'10_CLIENTI'!$A$5:$A$204,0)),"")</f>
        <v/>
      </c>
      <c r="N661" s="39">
        <f>IFERROR(INDEX('11_PRODUSE'!$B$5:$B$104,MATCH($E661,'11_PRODUSE'!$A$5:$A$104,0)),"")</f>
        <v/>
      </c>
      <c r="O661" s="13" t="n"/>
      <c r="P661" s="13" t="n"/>
    </row>
    <row r="662">
      <c r="A662" s="35" t="n"/>
      <c r="B662" s="39">
        <f>IF($A662="","",YEAR($A662)&amp;"-"&amp;RIGHT("0"&amp;MONTH($A662),2))</f>
        <v/>
      </c>
      <c r="C662" s="13" t="n"/>
      <c r="D662" s="13" t="n"/>
      <c r="E662" s="13" t="n"/>
      <c r="F662" s="13" t="n"/>
      <c r="G662" s="40" t="n"/>
      <c r="H662" s="38" t="n"/>
      <c r="I662" s="38" t="n"/>
      <c r="J662" s="38" t="n"/>
      <c r="K662" s="24">
        <f>IF($H662="","",$H662-N($J662))</f>
        <v/>
      </c>
      <c r="L662" s="25">
        <f>IFERROR($K662/$H662,"")</f>
        <v/>
      </c>
      <c r="M662" s="39">
        <f>IFERROR(INDEX('10_CLIENTI'!$B$5:$B$204,MATCH($D662,'10_CLIENTI'!$A$5:$A$204,0)),"")</f>
        <v/>
      </c>
      <c r="N662" s="39">
        <f>IFERROR(INDEX('11_PRODUSE'!$B$5:$B$104,MATCH($E662,'11_PRODUSE'!$A$5:$A$104,0)),"")</f>
        <v/>
      </c>
      <c r="O662" s="13" t="n"/>
      <c r="P662" s="13" t="n"/>
    </row>
    <row r="663">
      <c r="A663" s="35" t="n"/>
      <c r="B663" s="39">
        <f>IF($A663="","",YEAR($A663)&amp;"-"&amp;RIGHT("0"&amp;MONTH($A663),2))</f>
        <v/>
      </c>
      <c r="C663" s="13" t="n"/>
      <c r="D663" s="13" t="n"/>
      <c r="E663" s="13" t="n"/>
      <c r="F663" s="13" t="n"/>
      <c r="G663" s="40" t="n"/>
      <c r="H663" s="38" t="n"/>
      <c r="I663" s="38" t="n"/>
      <c r="J663" s="38" t="n"/>
      <c r="K663" s="24">
        <f>IF($H663="","",$H663-N($J663))</f>
        <v/>
      </c>
      <c r="L663" s="25">
        <f>IFERROR($K663/$H663,"")</f>
        <v/>
      </c>
      <c r="M663" s="39">
        <f>IFERROR(INDEX('10_CLIENTI'!$B$5:$B$204,MATCH($D663,'10_CLIENTI'!$A$5:$A$204,0)),"")</f>
        <v/>
      </c>
      <c r="N663" s="39">
        <f>IFERROR(INDEX('11_PRODUSE'!$B$5:$B$104,MATCH($E663,'11_PRODUSE'!$A$5:$A$104,0)),"")</f>
        <v/>
      </c>
      <c r="O663" s="13" t="n"/>
      <c r="P663" s="13" t="n"/>
    </row>
    <row r="664">
      <c r="A664" s="35" t="n"/>
      <c r="B664" s="39">
        <f>IF($A664="","",YEAR($A664)&amp;"-"&amp;RIGHT("0"&amp;MONTH($A664),2))</f>
        <v/>
      </c>
      <c r="C664" s="13" t="n"/>
      <c r="D664" s="13" t="n"/>
      <c r="E664" s="13" t="n"/>
      <c r="F664" s="13" t="n"/>
      <c r="G664" s="40" t="n"/>
      <c r="H664" s="38" t="n"/>
      <c r="I664" s="38" t="n"/>
      <c r="J664" s="38" t="n"/>
      <c r="K664" s="24">
        <f>IF($H664="","",$H664-N($J664))</f>
        <v/>
      </c>
      <c r="L664" s="25">
        <f>IFERROR($K664/$H664,"")</f>
        <v/>
      </c>
      <c r="M664" s="39">
        <f>IFERROR(INDEX('10_CLIENTI'!$B$5:$B$204,MATCH($D664,'10_CLIENTI'!$A$5:$A$204,0)),"")</f>
        <v/>
      </c>
      <c r="N664" s="39">
        <f>IFERROR(INDEX('11_PRODUSE'!$B$5:$B$104,MATCH($E664,'11_PRODUSE'!$A$5:$A$104,0)),"")</f>
        <v/>
      </c>
      <c r="O664" s="13" t="n"/>
      <c r="P664" s="13" t="n"/>
    </row>
    <row r="665">
      <c r="A665" s="35" t="n"/>
      <c r="B665" s="39">
        <f>IF($A665="","",YEAR($A665)&amp;"-"&amp;RIGHT("0"&amp;MONTH($A665),2))</f>
        <v/>
      </c>
      <c r="C665" s="13" t="n"/>
      <c r="D665" s="13" t="n"/>
      <c r="E665" s="13" t="n"/>
      <c r="F665" s="13" t="n"/>
      <c r="G665" s="40" t="n"/>
      <c r="H665" s="38" t="n"/>
      <c r="I665" s="38" t="n"/>
      <c r="J665" s="38" t="n"/>
      <c r="K665" s="24">
        <f>IF($H665="","",$H665-N($J665))</f>
        <v/>
      </c>
      <c r="L665" s="25">
        <f>IFERROR($K665/$H665,"")</f>
        <v/>
      </c>
      <c r="M665" s="39">
        <f>IFERROR(INDEX('10_CLIENTI'!$B$5:$B$204,MATCH($D665,'10_CLIENTI'!$A$5:$A$204,0)),"")</f>
        <v/>
      </c>
      <c r="N665" s="39">
        <f>IFERROR(INDEX('11_PRODUSE'!$B$5:$B$104,MATCH($E665,'11_PRODUSE'!$A$5:$A$104,0)),"")</f>
        <v/>
      </c>
      <c r="O665" s="13" t="n"/>
      <c r="P665" s="13" t="n"/>
    </row>
    <row r="666">
      <c r="A666" s="35" t="n"/>
      <c r="B666" s="39">
        <f>IF($A666="","",YEAR($A666)&amp;"-"&amp;RIGHT("0"&amp;MONTH($A666),2))</f>
        <v/>
      </c>
      <c r="C666" s="13" t="n"/>
      <c r="D666" s="13" t="n"/>
      <c r="E666" s="13" t="n"/>
      <c r="F666" s="13" t="n"/>
      <c r="G666" s="40" t="n"/>
      <c r="H666" s="38" t="n"/>
      <c r="I666" s="38" t="n"/>
      <c r="J666" s="38" t="n"/>
      <c r="K666" s="24">
        <f>IF($H666="","",$H666-N($J666))</f>
        <v/>
      </c>
      <c r="L666" s="25">
        <f>IFERROR($K666/$H666,"")</f>
        <v/>
      </c>
      <c r="M666" s="39">
        <f>IFERROR(INDEX('10_CLIENTI'!$B$5:$B$204,MATCH($D666,'10_CLIENTI'!$A$5:$A$204,0)),"")</f>
        <v/>
      </c>
      <c r="N666" s="39">
        <f>IFERROR(INDEX('11_PRODUSE'!$B$5:$B$104,MATCH($E666,'11_PRODUSE'!$A$5:$A$104,0)),"")</f>
        <v/>
      </c>
      <c r="O666" s="13" t="n"/>
      <c r="P666" s="13" t="n"/>
    </row>
    <row r="667">
      <c r="A667" s="35" t="n"/>
      <c r="B667" s="39">
        <f>IF($A667="","",YEAR($A667)&amp;"-"&amp;RIGHT("0"&amp;MONTH($A667),2))</f>
        <v/>
      </c>
      <c r="C667" s="13" t="n"/>
      <c r="D667" s="13" t="n"/>
      <c r="E667" s="13" t="n"/>
      <c r="F667" s="13" t="n"/>
      <c r="G667" s="40" t="n"/>
      <c r="H667" s="38" t="n"/>
      <c r="I667" s="38" t="n"/>
      <c r="J667" s="38" t="n"/>
      <c r="K667" s="24">
        <f>IF($H667="","",$H667-N($J667))</f>
        <v/>
      </c>
      <c r="L667" s="25">
        <f>IFERROR($K667/$H667,"")</f>
        <v/>
      </c>
      <c r="M667" s="39">
        <f>IFERROR(INDEX('10_CLIENTI'!$B$5:$B$204,MATCH($D667,'10_CLIENTI'!$A$5:$A$204,0)),"")</f>
        <v/>
      </c>
      <c r="N667" s="39">
        <f>IFERROR(INDEX('11_PRODUSE'!$B$5:$B$104,MATCH($E667,'11_PRODUSE'!$A$5:$A$104,0)),"")</f>
        <v/>
      </c>
      <c r="O667" s="13" t="n"/>
      <c r="P667" s="13" t="n"/>
    </row>
    <row r="668">
      <c r="A668" s="35" t="n"/>
      <c r="B668" s="39">
        <f>IF($A668="","",YEAR($A668)&amp;"-"&amp;RIGHT("0"&amp;MONTH($A668),2))</f>
        <v/>
      </c>
      <c r="C668" s="13" t="n"/>
      <c r="D668" s="13" t="n"/>
      <c r="E668" s="13" t="n"/>
      <c r="F668" s="13" t="n"/>
      <c r="G668" s="40" t="n"/>
      <c r="H668" s="38" t="n"/>
      <c r="I668" s="38" t="n"/>
      <c r="J668" s="38" t="n"/>
      <c r="K668" s="24">
        <f>IF($H668="","",$H668-N($J668))</f>
        <v/>
      </c>
      <c r="L668" s="25">
        <f>IFERROR($K668/$H668,"")</f>
        <v/>
      </c>
      <c r="M668" s="39">
        <f>IFERROR(INDEX('10_CLIENTI'!$B$5:$B$204,MATCH($D668,'10_CLIENTI'!$A$5:$A$204,0)),"")</f>
        <v/>
      </c>
      <c r="N668" s="39">
        <f>IFERROR(INDEX('11_PRODUSE'!$B$5:$B$104,MATCH($E668,'11_PRODUSE'!$A$5:$A$104,0)),"")</f>
        <v/>
      </c>
      <c r="O668" s="13" t="n"/>
      <c r="P668" s="13" t="n"/>
    </row>
    <row r="669">
      <c r="A669" s="35" t="n"/>
      <c r="B669" s="39">
        <f>IF($A669="","",YEAR($A669)&amp;"-"&amp;RIGHT("0"&amp;MONTH($A669),2))</f>
        <v/>
      </c>
      <c r="C669" s="13" t="n"/>
      <c r="D669" s="13" t="n"/>
      <c r="E669" s="13" t="n"/>
      <c r="F669" s="13" t="n"/>
      <c r="G669" s="40" t="n"/>
      <c r="H669" s="38" t="n"/>
      <c r="I669" s="38" t="n"/>
      <c r="J669" s="38" t="n"/>
      <c r="K669" s="24">
        <f>IF($H669="","",$H669-N($J669))</f>
        <v/>
      </c>
      <c r="L669" s="25">
        <f>IFERROR($K669/$H669,"")</f>
        <v/>
      </c>
      <c r="M669" s="39">
        <f>IFERROR(INDEX('10_CLIENTI'!$B$5:$B$204,MATCH($D669,'10_CLIENTI'!$A$5:$A$204,0)),"")</f>
        <v/>
      </c>
      <c r="N669" s="39">
        <f>IFERROR(INDEX('11_PRODUSE'!$B$5:$B$104,MATCH($E669,'11_PRODUSE'!$A$5:$A$104,0)),"")</f>
        <v/>
      </c>
      <c r="O669" s="13" t="n"/>
      <c r="P669" s="13" t="n"/>
    </row>
    <row r="670">
      <c r="A670" s="35" t="n"/>
      <c r="B670" s="39">
        <f>IF($A670="","",YEAR($A670)&amp;"-"&amp;RIGHT("0"&amp;MONTH($A670),2))</f>
        <v/>
      </c>
      <c r="C670" s="13" t="n"/>
      <c r="D670" s="13" t="n"/>
      <c r="E670" s="13" t="n"/>
      <c r="F670" s="13" t="n"/>
      <c r="G670" s="40" t="n"/>
      <c r="H670" s="38" t="n"/>
      <c r="I670" s="38" t="n"/>
      <c r="J670" s="38" t="n"/>
      <c r="K670" s="24">
        <f>IF($H670="","",$H670-N($J670))</f>
        <v/>
      </c>
      <c r="L670" s="25">
        <f>IFERROR($K670/$H670,"")</f>
        <v/>
      </c>
      <c r="M670" s="39">
        <f>IFERROR(INDEX('10_CLIENTI'!$B$5:$B$204,MATCH($D670,'10_CLIENTI'!$A$5:$A$204,0)),"")</f>
        <v/>
      </c>
      <c r="N670" s="39">
        <f>IFERROR(INDEX('11_PRODUSE'!$B$5:$B$104,MATCH($E670,'11_PRODUSE'!$A$5:$A$104,0)),"")</f>
        <v/>
      </c>
      <c r="O670" s="13" t="n"/>
      <c r="P670" s="13" t="n"/>
    </row>
    <row r="671">
      <c r="A671" s="35" t="n"/>
      <c r="B671" s="39">
        <f>IF($A671="","",YEAR($A671)&amp;"-"&amp;RIGHT("0"&amp;MONTH($A671),2))</f>
        <v/>
      </c>
      <c r="C671" s="13" t="n"/>
      <c r="D671" s="13" t="n"/>
      <c r="E671" s="13" t="n"/>
      <c r="F671" s="13" t="n"/>
      <c r="G671" s="40" t="n"/>
      <c r="H671" s="38" t="n"/>
      <c r="I671" s="38" t="n"/>
      <c r="J671" s="38" t="n"/>
      <c r="K671" s="24">
        <f>IF($H671="","",$H671-N($J671))</f>
        <v/>
      </c>
      <c r="L671" s="25">
        <f>IFERROR($K671/$H671,"")</f>
        <v/>
      </c>
      <c r="M671" s="39">
        <f>IFERROR(INDEX('10_CLIENTI'!$B$5:$B$204,MATCH($D671,'10_CLIENTI'!$A$5:$A$204,0)),"")</f>
        <v/>
      </c>
      <c r="N671" s="39">
        <f>IFERROR(INDEX('11_PRODUSE'!$B$5:$B$104,MATCH($E671,'11_PRODUSE'!$A$5:$A$104,0)),"")</f>
        <v/>
      </c>
      <c r="O671" s="13" t="n"/>
      <c r="P671" s="13" t="n"/>
    </row>
    <row r="672">
      <c r="A672" s="35" t="n"/>
      <c r="B672" s="39">
        <f>IF($A672="","",YEAR($A672)&amp;"-"&amp;RIGHT("0"&amp;MONTH($A672),2))</f>
        <v/>
      </c>
      <c r="C672" s="13" t="n"/>
      <c r="D672" s="13" t="n"/>
      <c r="E672" s="13" t="n"/>
      <c r="F672" s="13" t="n"/>
      <c r="G672" s="40" t="n"/>
      <c r="H672" s="38" t="n"/>
      <c r="I672" s="38" t="n"/>
      <c r="J672" s="38" t="n"/>
      <c r="K672" s="24">
        <f>IF($H672="","",$H672-N($J672))</f>
        <v/>
      </c>
      <c r="L672" s="25">
        <f>IFERROR($K672/$H672,"")</f>
        <v/>
      </c>
      <c r="M672" s="39">
        <f>IFERROR(INDEX('10_CLIENTI'!$B$5:$B$204,MATCH($D672,'10_CLIENTI'!$A$5:$A$204,0)),"")</f>
        <v/>
      </c>
      <c r="N672" s="39">
        <f>IFERROR(INDEX('11_PRODUSE'!$B$5:$B$104,MATCH($E672,'11_PRODUSE'!$A$5:$A$104,0)),"")</f>
        <v/>
      </c>
      <c r="O672" s="13" t="n"/>
      <c r="P672" s="13" t="n"/>
    </row>
    <row r="673">
      <c r="A673" s="35" t="n"/>
      <c r="B673" s="39">
        <f>IF($A673="","",YEAR($A673)&amp;"-"&amp;RIGHT("0"&amp;MONTH($A673),2))</f>
        <v/>
      </c>
      <c r="C673" s="13" t="n"/>
      <c r="D673" s="13" t="n"/>
      <c r="E673" s="13" t="n"/>
      <c r="F673" s="13" t="n"/>
      <c r="G673" s="40" t="n"/>
      <c r="H673" s="38" t="n"/>
      <c r="I673" s="38" t="n"/>
      <c r="J673" s="38" t="n"/>
      <c r="K673" s="24">
        <f>IF($H673="","",$H673-N($J673))</f>
        <v/>
      </c>
      <c r="L673" s="25">
        <f>IFERROR($K673/$H673,"")</f>
        <v/>
      </c>
      <c r="M673" s="39">
        <f>IFERROR(INDEX('10_CLIENTI'!$B$5:$B$204,MATCH($D673,'10_CLIENTI'!$A$5:$A$204,0)),"")</f>
        <v/>
      </c>
      <c r="N673" s="39">
        <f>IFERROR(INDEX('11_PRODUSE'!$B$5:$B$104,MATCH($E673,'11_PRODUSE'!$A$5:$A$104,0)),"")</f>
        <v/>
      </c>
      <c r="O673" s="13" t="n"/>
      <c r="P673" s="13" t="n"/>
    </row>
    <row r="674">
      <c r="A674" s="35" t="n"/>
      <c r="B674" s="39">
        <f>IF($A674="","",YEAR($A674)&amp;"-"&amp;RIGHT("0"&amp;MONTH($A674),2))</f>
        <v/>
      </c>
      <c r="C674" s="13" t="n"/>
      <c r="D674" s="13" t="n"/>
      <c r="E674" s="13" t="n"/>
      <c r="F674" s="13" t="n"/>
      <c r="G674" s="40" t="n"/>
      <c r="H674" s="38" t="n"/>
      <c r="I674" s="38" t="n"/>
      <c r="J674" s="38" t="n"/>
      <c r="K674" s="24">
        <f>IF($H674="","",$H674-N($J674))</f>
        <v/>
      </c>
      <c r="L674" s="25">
        <f>IFERROR($K674/$H674,"")</f>
        <v/>
      </c>
      <c r="M674" s="39">
        <f>IFERROR(INDEX('10_CLIENTI'!$B$5:$B$204,MATCH($D674,'10_CLIENTI'!$A$5:$A$204,0)),"")</f>
        <v/>
      </c>
      <c r="N674" s="39">
        <f>IFERROR(INDEX('11_PRODUSE'!$B$5:$B$104,MATCH($E674,'11_PRODUSE'!$A$5:$A$104,0)),"")</f>
        <v/>
      </c>
      <c r="O674" s="13" t="n"/>
      <c r="P674" s="13" t="n"/>
    </row>
    <row r="675">
      <c r="A675" s="35" t="n"/>
      <c r="B675" s="39">
        <f>IF($A675="","",YEAR($A675)&amp;"-"&amp;RIGHT("0"&amp;MONTH($A675),2))</f>
        <v/>
      </c>
      <c r="C675" s="13" t="n"/>
      <c r="D675" s="13" t="n"/>
      <c r="E675" s="13" t="n"/>
      <c r="F675" s="13" t="n"/>
      <c r="G675" s="40" t="n"/>
      <c r="H675" s="38" t="n"/>
      <c r="I675" s="38" t="n"/>
      <c r="J675" s="38" t="n"/>
      <c r="K675" s="24">
        <f>IF($H675="","",$H675-N($J675))</f>
        <v/>
      </c>
      <c r="L675" s="25">
        <f>IFERROR($K675/$H675,"")</f>
        <v/>
      </c>
      <c r="M675" s="39">
        <f>IFERROR(INDEX('10_CLIENTI'!$B$5:$B$204,MATCH($D675,'10_CLIENTI'!$A$5:$A$204,0)),"")</f>
        <v/>
      </c>
      <c r="N675" s="39">
        <f>IFERROR(INDEX('11_PRODUSE'!$B$5:$B$104,MATCH($E675,'11_PRODUSE'!$A$5:$A$104,0)),"")</f>
        <v/>
      </c>
      <c r="O675" s="13" t="n"/>
      <c r="P675" s="13" t="n"/>
    </row>
    <row r="676">
      <c r="A676" s="35" t="n"/>
      <c r="B676" s="39">
        <f>IF($A676="","",YEAR($A676)&amp;"-"&amp;RIGHT("0"&amp;MONTH($A676),2))</f>
        <v/>
      </c>
      <c r="C676" s="13" t="n"/>
      <c r="D676" s="13" t="n"/>
      <c r="E676" s="13" t="n"/>
      <c r="F676" s="13" t="n"/>
      <c r="G676" s="40" t="n"/>
      <c r="H676" s="38" t="n"/>
      <c r="I676" s="38" t="n"/>
      <c r="J676" s="38" t="n"/>
      <c r="K676" s="24">
        <f>IF($H676="","",$H676-N($J676))</f>
        <v/>
      </c>
      <c r="L676" s="25">
        <f>IFERROR($K676/$H676,"")</f>
        <v/>
      </c>
      <c r="M676" s="39">
        <f>IFERROR(INDEX('10_CLIENTI'!$B$5:$B$204,MATCH($D676,'10_CLIENTI'!$A$5:$A$204,0)),"")</f>
        <v/>
      </c>
      <c r="N676" s="39">
        <f>IFERROR(INDEX('11_PRODUSE'!$B$5:$B$104,MATCH($E676,'11_PRODUSE'!$A$5:$A$104,0)),"")</f>
        <v/>
      </c>
      <c r="O676" s="13" t="n"/>
      <c r="P676" s="13" t="n"/>
    </row>
    <row r="677">
      <c r="A677" s="35" t="n"/>
      <c r="B677" s="39">
        <f>IF($A677="","",YEAR($A677)&amp;"-"&amp;RIGHT("0"&amp;MONTH($A677),2))</f>
        <v/>
      </c>
      <c r="C677" s="13" t="n"/>
      <c r="D677" s="13" t="n"/>
      <c r="E677" s="13" t="n"/>
      <c r="F677" s="13" t="n"/>
      <c r="G677" s="40" t="n"/>
      <c r="H677" s="38" t="n"/>
      <c r="I677" s="38" t="n"/>
      <c r="J677" s="38" t="n"/>
      <c r="K677" s="24">
        <f>IF($H677="","",$H677-N($J677))</f>
        <v/>
      </c>
      <c r="L677" s="25">
        <f>IFERROR($K677/$H677,"")</f>
        <v/>
      </c>
      <c r="M677" s="39">
        <f>IFERROR(INDEX('10_CLIENTI'!$B$5:$B$204,MATCH($D677,'10_CLIENTI'!$A$5:$A$204,0)),"")</f>
        <v/>
      </c>
      <c r="N677" s="39">
        <f>IFERROR(INDEX('11_PRODUSE'!$B$5:$B$104,MATCH($E677,'11_PRODUSE'!$A$5:$A$104,0)),"")</f>
        <v/>
      </c>
      <c r="O677" s="13" t="n"/>
      <c r="P677" s="13" t="n"/>
    </row>
    <row r="678">
      <c r="A678" s="35" t="n"/>
      <c r="B678" s="39">
        <f>IF($A678="","",YEAR($A678)&amp;"-"&amp;RIGHT("0"&amp;MONTH($A678),2))</f>
        <v/>
      </c>
      <c r="C678" s="13" t="n"/>
      <c r="D678" s="13" t="n"/>
      <c r="E678" s="13" t="n"/>
      <c r="F678" s="13" t="n"/>
      <c r="G678" s="40" t="n"/>
      <c r="H678" s="38" t="n"/>
      <c r="I678" s="38" t="n"/>
      <c r="J678" s="38" t="n"/>
      <c r="K678" s="24">
        <f>IF($H678="","",$H678-N($J678))</f>
        <v/>
      </c>
      <c r="L678" s="25">
        <f>IFERROR($K678/$H678,"")</f>
        <v/>
      </c>
      <c r="M678" s="39">
        <f>IFERROR(INDEX('10_CLIENTI'!$B$5:$B$204,MATCH($D678,'10_CLIENTI'!$A$5:$A$204,0)),"")</f>
        <v/>
      </c>
      <c r="N678" s="39">
        <f>IFERROR(INDEX('11_PRODUSE'!$B$5:$B$104,MATCH($E678,'11_PRODUSE'!$A$5:$A$104,0)),"")</f>
        <v/>
      </c>
      <c r="O678" s="13" t="n"/>
      <c r="P678" s="13" t="n"/>
    </row>
    <row r="679">
      <c r="A679" s="35" t="n"/>
      <c r="B679" s="39">
        <f>IF($A679="","",YEAR($A679)&amp;"-"&amp;RIGHT("0"&amp;MONTH($A679),2))</f>
        <v/>
      </c>
      <c r="C679" s="13" t="n"/>
      <c r="D679" s="13" t="n"/>
      <c r="E679" s="13" t="n"/>
      <c r="F679" s="13" t="n"/>
      <c r="G679" s="40" t="n"/>
      <c r="H679" s="38" t="n"/>
      <c r="I679" s="38" t="n"/>
      <c r="J679" s="38" t="n"/>
      <c r="K679" s="24">
        <f>IF($H679="","",$H679-N($J679))</f>
        <v/>
      </c>
      <c r="L679" s="25">
        <f>IFERROR($K679/$H679,"")</f>
        <v/>
      </c>
      <c r="M679" s="39">
        <f>IFERROR(INDEX('10_CLIENTI'!$B$5:$B$204,MATCH($D679,'10_CLIENTI'!$A$5:$A$204,0)),"")</f>
        <v/>
      </c>
      <c r="N679" s="39">
        <f>IFERROR(INDEX('11_PRODUSE'!$B$5:$B$104,MATCH($E679,'11_PRODUSE'!$A$5:$A$104,0)),"")</f>
        <v/>
      </c>
      <c r="O679" s="13" t="n"/>
      <c r="P679" s="13" t="n"/>
    </row>
    <row r="680">
      <c r="A680" s="35" t="n"/>
      <c r="B680" s="39">
        <f>IF($A680="","",YEAR($A680)&amp;"-"&amp;RIGHT("0"&amp;MONTH($A680),2))</f>
        <v/>
      </c>
      <c r="C680" s="13" t="n"/>
      <c r="D680" s="13" t="n"/>
      <c r="E680" s="13" t="n"/>
      <c r="F680" s="13" t="n"/>
      <c r="G680" s="40" t="n"/>
      <c r="H680" s="38" t="n"/>
      <c r="I680" s="38" t="n"/>
      <c r="J680" s="38" t="n"/>
      <c r="K680" s="24">
        <f>IF($H680="","",$H680-N($J680))</f>
        <v/>
      </c>
      <c r="L680" s="25">
        <f>IFERROR($K680/$H680,"")</f>
        <v/>
      </c>
      <c r="M680" s="39">
        <f>IFERROR(INDEX('10_CLIENTI'!$B$5:$B$204,MATCH($D680,'10_CLIENTI'!$A$5:$A$204,0)),"")</f>
        <v/>
      </c>
      <c r="N680" s="39">
        <f>IFERROR(INDEX('11_PRODUSE'!$B$5:$B$104,MATCH($E680,'11_PRODUSE'!$A$5:$A$104,0)),"")</f>
        <v/>
      </c>
      <c r="O680" s="13" t="n"/>
      <c r="P680" s="13" t="n"/>
    </row>
    <row r="681">
      <c r="A681" s="35" t="n"/>
      <c r="B681" s="39">
        <f>IF($A681="","",YEAR($A681)&amp;"-"&amp;RIGHT("0"&amp;MONTH($A681),2))</f>
        <v/>
      </c>
      <c r="C681" s="13" t="n"/>
      <c r="D681" s="13" t="n"/>
      <c r="E681" s="13" t="n"/>
      <c r="F681" s="13" t="n"/>
      <c r="G681" s="40" t="n"/>
      <c r="H681" s="38" t="n"/>
      <c r="I681" s="38" t="n"/>
      <c r="J681" s="38" t="n"/>
      <c r="K681" s="24">
        <f>IF($H681="","",$H681-N($J681))</f>
        <v/>
      </c>
      <c r="L681" s="25">
        <f>IFERROR($K681/$H681,"")</f>
        <v/>
      </c>
      <c r="M681" s="39">
        <f>IFERROR(INDEX('10_CLIENTI'!$B$5:$B$204,MATCH($D681,'10_CLIENTI'!$A$5:$A$204,0)),"")</f>
        <v/>
      </c>
      <c r="N681" s="39">
        <f>IFERROR(INDEX('11_PRODUSE'!$B$5:$B$104,MATCH($E681,'11_PRODUSE'!$A$5:$A$104,0)),"")</f>
        <v/>
      </c>
      <c r="O681" s="13" t="n"/>
      <c r="P681" s="13" t="n"/>
    </row>
    <row r="682">
      <c r="A682" s="35" t="n"/>
      <c r="B682" s="39">
        <f>IF($A682="","",YEAR($A682)&amp;"-"&amp;RIGHT("0"&amp;MONTH($A682),2))</f>
        <v/>
      </c>
      <c r="C682" s="13" t="n"/>
      <c r="D682" s="13" t="n"/>
      <c r="E682" s="13" t="n"/>
      <c r="F682" s="13" t="n"/>
      <c r="G682" s="40" t="n"/>
      <c r="H682" s="38" t="n"/>
      <c r="I682" s="38" t="n"/>
      <c r="J682" s="38" t="n"/>
      <c r="K682" s="24">
        <f>IF($H682="","",$H682-N($J682))</f>
        <v/>
      </c>
      <c r="L682" s="25">
        <f>IFERROR($K682/$H682,"")</f>
        <v/>
      </c>
      <c r="M682" s="39">
        <f>IFERROR(INDEX('10_CLIENTI'!$B$5:$B$204,MATCH($D682,'10_CLIENTI'!$A$5:$A$204,0)),"")</f>
        <v/>
      </c>
      <c r="N682" s="39">
        <f>IFERROR(INDEX('11_PRODUSE'!$B$5:$B$104,MATCH($E682,'11_PRODUSE'!$A$5:$A$104,0)),"")</f>
        <v/>
      </c>
      <c r="O682" s="13" t="n"/>
      <c r="P682" s="13" t="n"/>
    </row>
    <row r="683">
      <c r="A683" s="35" t="n"/>
      <c r="B683" s="39">
        <f>IF($A683="","",YEAR($A683)&amp;"-"&amp;RIGHT("0"&amp;MONTH($A683),2))</f>
        <v/>
      </c>
      <c r="C683" s="13" t="n"/>
      <c r="D683" s="13" t="n"/>
      <c r="E683" s="13" t="n"/>
      <c r="F683" s="13" t="n"/>
      <c r="G683" s="40" t="n"/>
      <c r="H683" s="38" t="n"/>
      <c r="I683" s="38" t="n"/>
      <c r="J683" s="38" t="n"/>
      <c r="K683" s="24">
        <f>IF($H683="","",$H683-N($J683))</f>
        <v/>
      </c>
      <c r="L683" s="25">
        <f>IFERROR($K683/$H683,"")</f>
        <v/>
      </c>
      <c r="M683" s="39">
        <f>IFERROR(INDEX('10_CLIENTI'!$B$5:$B$204,MATCH($D683,'10_CLIENTI'!$A$5:$A$204,0)),"")</f>
        <v/>
      </c>
      <c r="N683" s="39">
        <f>IFERROR(INDEX('11_PRODUSE'!$B$5:$B$104,MATCH($E683,'11_PRODUSE'!$A$5:$A$104,0)),"")</f>
        <v/>
      </c>
      <c r="O683" s="13" t="n"/>
      <c r="P683" s="13" t="n"/>
    </row>
    <row r="684">
      <c r="A684" s="35" t="n"/>
      <c r="B684" s="39">
        <f>IF($A684="","",YEAR($A684)&amp;"-"&amp;RIGHT("0"&amp;MONTH($A684),2))</f>
        <v/>
      </c>
      <c r="C684" s="13" t="n"/>
      <c r="D684" s="13" t="n"/>
      <c r="E684" s="13" t="n"/>
      <c r="F684" s="13" t="n"/>
      <c r="G684" s="40" t="n"/>
      <c r="H684" s="38" t="n"/>
      <c r="I684" s="38" t="n"/>
      <c r="J684" s="38" t="n"/>
      <c r="K684" s="24">
        <f>IF($H684="","",$H684-N($J684))</f>
        <v/>
      </c>
      <c r="L684" s="25">
        <f>IFERROR($K684/$H684,"")</f>
        <v/>
      </c>
      <c r="M684" s="39">
        <f>IFERROR(INDEX('10_CLIENTI'!$B$5:$B$204,MATCH($D684,'10_CLIENTI'!$A$5:$A$204,0)),"")</f>
        <v/>
      </c>
      <c r="N684" s="39">
        <f>IFERROR(INDEX('11_PRODUSE'!$B$5:$B$104,MATCH($E684,'11_PRODUSE'!$A$5:$A$104,0)),"")</f>
        <v/>
      </c>
      <c r="O684" s="13" t="n"/>
      <c r="P684" s="13" t="n"/>
    </row>
    <row r="685">
      <c r="A685" s="35" t="n"/>
      <c r="B685" s="39">
        <f>IF($A685="","",YEAR($A685)&amp;"-"&amp;RIGHT("0"&amp;MONTH($A685),2))</f>
        <v/>
      </c>
      <c r="C685" s="13" t="n"/>
      <c r="D685" s="13" t="n"/>
      <c r="E685" s="13" t="n"/>
      <c r="F685" s="13" t="n"/>
      <c r="G685" s="40" t="n"/>
      <c r="H685" s="38" t="n"/>
      <c r="I685" s="38" t="n"/>
      <c r="J685" s="38" t="n"/>
      <c r="K685" s="24">
        <f>IF($H685="","",$H685-N($J685))</f>
        <v/>
      </c>
      <c r="L685" s="25">
        <f>IFERROR($K685/$H685,"")</f>
        <v/>
      </c>
      <c r="M685" s="39">
        <f>IFERROR(INDEX('10_CLIENTI'!$B$5:$B$204,MATCH($D685,'10_CLIENTI'!$A$5:$A$204,0)),"")</f>
        <v/>
      </c>
      <c r="N685" s="39">
        <f>IFERROR(INDEX('11_PRODUSE'!$B$5:$B$104,MATCH($E685,'11_PRODUSE'!$A$5:$A$104,0)),"")</f>
        <v/>
      </c>
      <c r="O685" s="13" t="n"/>
      <c r="P685" s="13" t="n"/>
    </row>
    <row r="686">
      <c r="A686" s="35" t="n"/>
      <c r="B686" s="39">
        <f>IF($A686="","",YEAR($A686)&amp;"-"&amp;RIGHT("0"&amp;MONTH($A686),2))</f>
        <v/>
      </c>
      <c r="C686" s="13" t="n"/>
      <c r="D686" s="13" t="n"/>
      <c r="E686" s="13" t="n"/>
      <c r="F686" s="13" t="n"/>
      <c r="G686" s="40" t="n"/>
      <c r="H686" s="38" t="n"/>
      <c r="I686" s="38" t="n"/>
      <c r="J686" s="38" t="n"/>
      <c r="K686" s="24">
        <f>IF($H686="","",$H686-N($J686))</f>
        <v/>
      </c>
      <c r="L686" s="25">
        <f>IFERROR($K686/$H686,"")</f>
        <v/>
      </c>
      <c r="M686" s="39">
        <f>IFERROR(INDEX('10_CLIENTI'!$B$5:$B$204,MATCH($D686,'10_CLIENTI'!$A$5:$A$204,0)),"")</f>
        <v/>
      </c>
      <c r="N686" s="39">
        <f>IFERROR(INDEX('11_PRODUSE'!$B$5:$B$104,MATCH($E686,'11_PRODUSE'!$A$5:$A$104,0)),"")</f>
        <v/>
      </c>
      <c r="O686" s="13" t="n"/>
      <c r="P686" s="13" t="n"/>
    </row>
    <row r="687">
      <c r="A687" s="35" t="n"/>
      <c r="B687" s="39">
        <f>IF($A687="","",YEAR($A687)&amp;"-"&amp;RIGHT("0"&amp;MONTH($A687),2))</f>
        <v/>
      </c>
      <c r="C687" s="13" t="n"/>
      <c r="D687" s="13" t="n"/>
      <c r="E687" s="13" t="n"/>
      <c r="F687" s="13" t="n"/>
      <c r="G687" s="40" t="n"/>
      <c r="H687" s="38" t="n"/>
      <c r="I687" s="38" t="n"/>
      <c r="J687" s="38" t="n"/>
      <c r="K687" s="24">
        <f>IF($H687="","",$H687-N($J687))</f>
        <v/>
      </c>
      <c r="L687" s="25">
        <f>IFERROR($K687/$H687,"")</f>
        <v/>
      </c>
      <c r="M687" s="39">
        <f>IFERROR(INDEX('10_CLIENTI'!$B$5:$B$204,MATCH($D687,'10_CLIENTI'!$A$5:$A$204,0)),"")</f>
        <v/>
      </c>
      <c r="N687" s="39">
        <f>IFERROR(INDEX('11_PRODUSE'!$B$5:$B$104,MATCH($E687,'11_PRODUSE'!$A$5:$A$104,0)),"")</f>
        <v/>
      </c>
      <c r="O687" s="13" t="n"/>
      <c r="P687" s="13" t="n"/>
    </row>
    <row r="688">
      <c r="A688" s="35" t="n"/>
      <c r="B688" s="39">
        <f>IF($A688="","",YEAR($A688)&amp;"-"&amp;RIGHT("0"&amp;MONTH($A688),2))</f>
        <v/>
      </c>
      <c r="C688" s="13" t="n"/>
      <c r="D688" s="13" t="n"/>
      <c r="E688" s="13" t="n"/>
      <c r="F688" s="13" t="n"/>
      <c r="G688" s="40" t="n"/>
      <c r="H688" s="38" t="n"/>
      <c r="I688" s="38" t="n"/>
      <c r="J688" s="38" t="n"/>
      <c r="K688" s="24">
        <f>IF($H688="","",$H688-N($J688))</f>
        <v/>
      </c>
      <c r="L688" s="25">
        <f>IFERROR($K688/$H688,"")</f>
        <v/>
      </c>
      <c r="M688" s="39">
        <f>IFERROR(INDEX('10_CLIENTI'!$B$5:$B$204,MATCH($D688,'10_CLIENTI'!$A$5:$A$204,0)),"")</f>
        <v/>
      </c>
      <c r="N688" s="39">
        <f>IFERROR(INDEX('11_PRODUSE'!$B$5:$B$104,MATCH($E688,'11_PRODUSE'!$A$5:$A$104,0)),"")</f>
        <v/>
      </c>
      <c r="O688" s="13" t="n"/>
      <c r="P688" s="13" t="n"/>
    </row>
    <row r="689">
      <c r="A689" s="35" t="n"/>
      <c r="B689" s="39">
        <f>IF($A689="","",YEAR($A689)&amp;"-"&amp;RIGHT("0"&amp;MONTH($A689),2))</f>
        <v/>
      </c>
      <c r="C689" s="13" t="n"/>
      <c r="D689" s="13" t="n"/>
      <c r="E689" s="13" t="n"/>
      <c r="F689" s="13" t="n"/>
      <c r="G689" s="40" t="n"/>
      <c r="H689" s="38" t="n"/>
      <c r="I689" s="38" t="n"/>
      <c r="J689" s="38" t="n"/>
      <c r="K689" s="24">
        <f>IF($H689="","",$H689-N($J689))</f>
        <v/>
      </c>
      <c r="L689" s="25">
        <f>IFERROR($K689/$H689,"")</f>
        <v/>
      </c>
      <c r="M689" s="39">
        <f>IFERROR(INDEX('10_CLIENTI'!$B$5:$B$204,MATCH($D689,'10_CLIENTI'!$A$5:$A$204,0)),"")</f>
        <v/>
      </c>
      <c r="N689" s="39">
        <f>IFERROR(INDEX('11_PRODUSE'!$B$5:$B$104,MATCH($E689,'11_PRODUSE'!$A$5:$A$104,0)),"")</f>
        <v/>
      </c>
      <c r="O689" s="13" t="n"/>
      <c r="P689" s="13" t="n"/>
    </row>
    <row r="690">
      <c r="A690" s="35" t="n"/>
      <c r="B690" s="39">
        <f>IF($A690="","",YEAR($A690)&amp;"-"&amp;RIGHT("0"&amp;MONTH($A690),2))</f>
        <v/>
      </c>
      <c r="C690" s="13" t="n"/>
      <c r="D690" s="13" t="n"/>
      <c r="E690" s="13" t="n"/>
      <c r="F690" s="13" t="n"/>
      <c r="G690" s="40" t="n"/>
      <c r="H690" s="38" t="n"/>
      <c r="I690" s="38" t="n"/>
      <c r="J690" s="38" t="n"/>
      <c r="K690" s="24">
        <f>IF($H690="","",$H690-N($J690))</f>
        <v/>
      </c>
      <c r="L690" s="25">
        <f>IFERROR($K690/$H690,"")</f>
        <v/>
      </c>
      <c r="M690" s="39">
        <f>IFERROR(INDEX('10_CLIENTI'!$B$5:$B$204,MATCH($D690,'10_CLIENTI'!$A$5:$A$204,0)),"")</f>
        <v/>
      </c>
      <c r="N690" s="39">
        <f>IFERROR(INDEX('11_PRODUSE'!$B$5:$B$104,MATCH($E690,'11_PRODUSE'!$A$5:$A$104,0)),"")</f>
        <v/>
      </c>
      <c r="O690" s="13" t="n"/>
      <c r="P690" s="13" t="n"/>
    </row>
    <row r="691">
      <c r="A691" s="35" t="n"/>
      <c r="B691" s="39">
        <f>IF($A691="","",YEAR($A691)&amp;"-"&amp;RIGHT("0"&amp;MONTH($A691),2))</f>
        <v/>
      </c>
      <c r="C691" s="13" t="n"/>
      <c r="D691" s="13" t="n"/>
      <c r="E691" s="13" t="n"/>
      <c r="F691" s="13" t="n"/>
      <c r="G691" s="40" t="n"/>
      <c r="H691" s="38" t="n"/>
      <c r="I691" s="38" t="n"/>
      <c r="J691" s="38" t="n"/>
      <c r="K691" s="24">
        <f>IF($H691="","",$H691-N($J691))</f>
        <v/>
      </c>
      <c r="L691" s="25">
        <f>IFERROR($K691/$H691,"")</f>
        <v/>
      </c>
      <c r="M691" s="39">
        <f>IFERROR(INDEX('10_CLIENTI'!$B$5:$B$204,MATCH($D691,'10_CLIENTI'!$A$5:$A$204,0)),"")</f>
        <v/>
      </c>
      <c r="N691" s="39">
        <f>IFERROR(INDEX('11_PRODUSE'!$B$5:$B$104,MATCH($E691,'11_PRODUSE'!$A$5:$A$104,0)),"")</f>
        <v/>
      </c>
      <c r="O691" s="13" t="n"/>
      <c r="P691" s="13" t="n"/>
    </row>
    <row r="692">
      <c r="A692" s="35" t="n"/>
      <c r="B692" s="39">
        <f>IF($A692="","",YEAR($A692)&amp;"-"&amp;RIGHT("0"&amp;MONTH($A692),2))</f>
        <v/>
      </c>
      <c r="C692" s="13" t="n"/>
      <c r="D692" s="13" t="n"/>
      <c r="E692" s="13" t="n"/>
      <c r="F692" s="13" t="n"/>
      <c r="G692" s="40" t="n"/>
      <c r="H692" s="38" t="n"/>
      <c r="I692" s="38" t="n"/>
      <c r="J692" s="38" t="n"/>
      <c r="K692" s="24">
        <f>IF($H692="","",$H692-N($J692))</f>
        <v/>
      </c>
      <c r="L692" s="25">
        <f>IFERROR($K692/$H692,"")</f>
        <v/>
      </c>
      <c r="M692" s="39">
        <f>IFERROR(INDEX('10_CLIENTI'!$B$5:$B$204,MATCH($D692,'10_CLIENTI'!$A$5:$A$204,0)),"")</f>
        <v/>
      </c>
      <c r="N692" s="39">
        <f>IFERROR(INDEX('11_PRODUSE'!$B$5:$B$104,MATCH($E692,'11_PRODUSE'!$A$5:$A$104,0)),"")</f>
        <v/>
      </c>
      <c r="O692" s="13" t="n"/>
      <c r="P692" s="13" t="n"/>
    </row>
    <row r="693">
      <c r="A693" s="35" t="n"/>
      <c r="B693" s="39">
        <f>IF($A693="","",YEAR($A693)&amp;"-"&amp;RIGHT("0"&amp;MONTH($A693),2))</f>
        <v/>
      </c>
      <c r="C693" s="13" t="n"/>
      <c r="D693" s="13" t="n"/>
      <c r="E693" s="13" t="n"/>
      <c r="F693" s="13" t="n"/>
      <c r="G693" s="40" t="n"/>
      <c r="H693" s="38" t="n"/>
      <c r="I693" s="38" t="n"/>
      <c r="J693" s="38" t="n"/>
      <c r="K693" s="24">
        <f>IF($H693="","",$H693-N($J693))</f>
        <v/>
      </c>
      <c r="L693" s="25">
        <f>IFERROR($K693/$H693,"")</f>
        <v/>
      </c>
      <c r="M693" s="39">
        <f>IFERROR(INDEX('10_CLIENTI'!$B$5:$B$204,MATCH($D693,'10_CLIENTI'!$A$5:$A$204,0)),"")</f>
        <v/>
      </c>
      <c r="N693" s="39">
        <f>IFERROR(INDEX('11_PRODUSE'!$B$5:$B$104,MATCH($E693,'11_PRODUSE'!$A$5:$A$104,0)),"")</f>
        <v/>
      </c>
      <c r="O693" s="13" t="n"/>
      <c r="P693" s="13" t="n"/>
    </row>
    <row r="694">
      <c r="A694" s="35" t="n"/>
      <c r="B694" s="39">
        <f>IF($A694="","",YEAR($A694)&amp;"-"&amp;RIGHT("0"&amp;MONTH($A694),2))</f>
        <v/>
      </c>
      <c r="C694" s="13" t="n"/>
      <c r="D694" s="13" t="n"/>
      <c r="E694" s="13" t="n"/>
      <c r="F694" s="13" t="n"/>
      <c r="G694" s="40" t="n"/>
      <c r="H694" s="38" t="n"/>
      <c r="I694" s="38" t="n"/>
      <c r="J694" s="38" t="n"/>
      <c r="K694" s="24">
        <f>IF($H694="","",$H694-N($J694))</f>
        <v/>
      </c>
      <c r="L694" s="25">
        <f>IFERROR($K694/$H694,"")</f>
        <v/>
      </c>
      <c r="M694" s="39">
        <f>IFERROR(INDEX('10_CLIENTI'!$B$5:$B$204,MATCH($D694,'10_CLIENTI'!$A$5:$A$204,0)),"")</f>
        <v/>
      </c>
      <c r="N694" s="39">
        <f>IFERROR(INDEX('11_PRODUSE'!$B$5:$B$104,MATCH($E694,'11_PRODUSE'!$A$5:$A$104,0)),"")</f>
        <v/>
      </c>
      <c r="O694" s="13" t="n"/>
      <c r="P694" s="13" t="n"/>
    </row>
    <row r="695">
      <c r="A695" s="35" t="n"/>
      <c r="B695" s="39">
        <f>IF($A695="","",YEAR($A695)&amp;"-"&amp;RIGHT("0"&amp;MONTH($A695),2))</f>
        <v/>
      </c>
      <c r="C695" s="13" t="n"/>
      <c r="D695" s="13" t="n"/>
      <c r="E695" s="13" t="n"/>
      <c r="F695" s="13" t="n"/>
      <c r="G695" s="40" t="n"/>
      <c r="H695" s="38" t="n"/>
      <c r="I695" s="38" t="n"/>
      <c r="J695" s="38" t="n"/>
      <c r="K695" s="24">
        <f>IF($H695="","",$H695-N($J695))</f>
        <v/>
      </c>
      <c r="L695" s="25">
        <f>IFERROR($K695/$H695,"")</f>
        <v/>
      </c>
      <c r="M695" s="39">
        <f>IFERROR(INDEX('10_CLIENTI'!$B$5:$B$204,MATCH($D695,'10_CLIENTI'!$A$5:$A$204,0)),"")</f>
        <v/>
      </c>
      <c r="N695" s="39">
        <f>IFERROR(INDEX('11_PRODUSE'!$B$5:$B$104,MATCH($E695,'11_PRODUSE'!$A$5:$A$104,0)),"")</f>
        <v/>
      </c>
      <c r="O695" s="13" t="n"/>
      <c r="P695" s="13" t="n"/>
    </row>
    <row r="696">
      <c r="A696" s="35" t="n"/>
      <c r="B696" s="39">
        <f>IF($A696="","",YEAR($A696)&amp;"-"&amp;RIGHT("0"&amp;MONTH($A696),2))</f>
        <v/>
      </c>
      <c r="C696" s="13" t="n"/>
      <c r="D696" s="13" t="n"/>
      <c r="E696" s="13" t="n"/>
      <c r="F696" s="13" t="n"/>
      <c r="G696" s="40" t="n"/>
      <c r="H696" s="38" t="n"/>
      <c r="I696" s="38" t="n"/>
      <c r="J696" s="38" t="n"/>
      <c r="K696" s="24">
        <f>IF($H696="","",$H696-N($J696))</f>
        <v/>
      </c>
      <c r="L696" s="25">
        <f>IFERROR($K696/$H696,"")</f>
        <v/>
      </c>
      <c r="M696" s="39">
        <f>IFERROR(INDEX('10_CLIENTI'!$B$5:$B$204,MATCH($D696,'10_CLIENTI'!$A$5:$A$204,0)),"")</f>
        <v/>
      </c>
      <c r="N696" s="39">
        <f>IFERROR(INDEX('11_PRODUSE'!$B$5:$B$104,MATCH($E696,'11_PRODUSE'!$A$5:$A$104,0)),"")</f>
        <v/>
      </c>
      <c r="O696" s="13" t="n"/>
      <c r="P696" s="13" t="n"/>
    </row>
    <row r="697">
      <c r="A697" s="35" t="n"/>
      <c r="B697" s="39">
        <f>IF($A697="","",YEAR($A697)&amp;"-"&amp;RIGHT("0"&amp;MONTH($A697),2))</f>
        <v/>
      </c>
      <c r="C697" s="13" t="n"/>
      <c r="D697" s="13" t="n"/>
      <c r="E697" s="13" t="n"/>
      <c r="F697" s="13" t="n"/>
      <c r="G697" s="40" t="n"/>
      <c r="H697" s="38" t="n"/>
      <c r="I697" s="38" t="n"/>
      <c r="J697" s="38" t="n"/>
      <c r="K697" s="24">
        <f>IF($H697="","",$H697-N($J697))</f>
        <v/>
      </c>
      <c r="L697" s="25">
        <f>IFERROR($K697/$H697,"")</f>
        <v/>
      </c>
      <c r="M697" s="39">
        <f>IFERROR(INDEX('10_CLIENTI'!$B$5:$B$204,MATCH($D697,'10_CLIENTI'!$A$5:$A$204,0)),"")</f>
        <v/>
      </c>
      <c r="N697" s="39">
        <f>IFERROR(INDEX('11_PRODUSE'!$B$5:$B$104,MATCH($E697,'11_PRODUSE'!$A$5:$A$104,0)),"")</f>
        <v/>
      </c>
      <c r="O697" s="13" t="n"/>
      <c r="P697" s="13" t="n"/>
    </row>
    <row r="698">
      <c r="A698" s="35" t="n"/>
      <c r="B698" s="39">
        <f>IF($A698="","",YEAR($A698)&amp;"-"&amp;RIGHT("0"&amp;MONTH($A698),2))</f>
        <v/>
      </c>
      <c r="C698" s="13" t="n"/>
      <c r="D698" s="13" t="n"/>
      <c r="E698" s="13" t="n"/>
      <c r="F698" s="13" t="n"/>
      <c r="G698" s="40" t="n"/>
      <c r="H698" s="38" t="n"/>
      <c r="I698" s="38" t="n"/>
      <c r="J698" s="38" t="n"/>
      <c r="K698" s="24">
        <f>IF($H698="","",$H698-N($J698))</f>
        <v/>
      </c>
      <c r="L698" s="25">
        <f>IFERROR($K698/$H698,"")</f>
        <v/>
      </c>
      <c r="M698" s="39">
        <f>IFERROR(INDEX('10_CLIENTI'!$B$5:$B$204,MATCH($D698,'10_CLIENTI'!$A$5:$A$204,0)),"")</f>
        <v/>
      </c>
      <c r="N698" s="39">
        <f>IFERROR(INDEX('11_PRODUSE'!$B$5:$B$104,MATCH($E698,'11_PRODUSE'!$A$5:$A$104,0)),"")</f>
        <v/>
      </c>
      <c r="O698" s="13" t="n"/>
      <c r="P698" s="13" t="n"/>
    </row>
    <row r="699">
      <c r="A699" s="35" t="n"/>
      <c r="B699" s="39">
        <f>IF($A699="","",YEAR($A699)&amp;"-"&amp;RIGHT("0"&amp;MONTH($A699),2))</f>
        <v/>
      </c>
      <c r="C699" s="13" t="n"/>
      <c r="D699" s="13" t="n"/>
      <c r="E699" s="13" t="n"/>
      <c r="F699" s="13" t="n"/>
      <c r="G699" s="40" t="n"/>
      <c r="H699" s="38" t="n"/>
      <c r="I699" s="38" t="n"/>
      <c r="J699" s="38" t="n"/>
      <c r="K699" s="24">
        <f>IF($H699="","",$H699-N($J699))</f>
        <v/>
      </c>
      <c r="L699" s="25">
        <f>IFERROR($K699/$H699,"")</f>
        <v/>
      </c>
      <c r="M699" s="39">
        <f>IFERROR(INDEX('10_CLIENTI'!$B$5:$B$204,MATCH($D699,'10_CLIENTI'!$A$5:$A$204,0)),"")</f>
        <v/>
      </c>
      <c r="N699" s="39">
        <f>IFERROR(INDEX('11_PRODUSE'!$B$5:$B$104,MATCH($E699,'11_PRODUSE'!$A$5:$A$104,0)),"")</f>
        <v/>
      </c>
      <c r="O699" s="13" t="n"/>
      <c r="P699" s="13" t="n"/>
    </row>
    <row r="700">
      <c r="A700" s="35" t="n"/>
      <c r="B700" s="39">
        <f>IF($A700="","",YEAR($A700)&amp;"-"&amp;RIGHT("0"&amp;MONTH($A700),2))</f>
        <v/>
      </c>
      <c r="C700" s="13" t="n"/>
      <c r="D700" s="13" t="n"/>
      <c r="E700" s="13" t="n"/>
      <c r="F700" s="13" t="n"/>
      <c r="G700" s="40" t="n"/>
      <c r="H700" s="38" t="n"/>
      <c r="I700" s="38" t="n"/>
      <c r="J700" s="38" t="n"/>
      <c r="K700" s="24">
        <f>IF($H700="","",$H700-N($J700))</f>
        <v/>
      </c>
      <c r="L700" s="25">
        <f>IFERROR($K700/$H700,"")</f>
        <v/>
      </c>
      <c r="M700" s="39">
        <f>IFERROR(INDEX('10_CLIENTI'!$B$5:$B$204,MATCH($D700,'10_CLIENTI'!$A$5:$A$204,0)),"")</f>
        <v/>
      </c>
      <c r="N700" s="39">
        <f>IFERROR(INDEX('11_PRODUSE'!$B$5:$B$104,MATCH($E700,'11_PRODUSE'!$A$5:$A$104,0)),"")</f>
        <v/>
      </c>
      <c r="O700" s="13" t="n"/>
      <c r="P700" s="13" t="n"/>
    </row>
    <row r="701">
      <c r="A701" s="35" t="n"/>
      <c r="B701" s="39">
        <f>IF($A701="","",YEAR($A701)&amp;"-"&amp;RIGHT("0"&amp;MONTH($A701),2))</f>
        <v/>
      </c>
      <c r="C701" s="13" t="n"/>
      <c r="D701" s="13" t="n"/>
      <c r="E701" s="13" t="n"/>
      <c r="F701" s="13" t="n"/>
      <c r="G701" s="40" t="n"/>
      <c r="H701" s="38" t="n"/>
      <c r="I701" s="38" t="n"/>
      <c r="J701" s="38" t="n"/>
      <c r="K701" s="24">
        <f>IF($H701="","",$H701-N($J701))</f>
        <v/>
      </c>
      <c r="L701" s="25">
        <f>IFERROR($K701/$H701,"")</f>
        <v/>
      </c>
      <c r="M701" s="39">
        <f>IFERROR(INDEX('10_CLIENTI'!$B$5:$B$204,MATCH($D701,'10_CLIENTI'!$A$5:$A$204,0)),"")</f>
        <v/>
      </c>
      <c r="N701" s="39">
        <f>IFERROR(INDEX('11_PRODUSE'!$B$5:$B$104,MATCH($E701,'11_PRODUSE'!$A$5:$A$104,0)),"")</f>
        <v/>
      </c>
      <c r="O701" s="13" t="n"/>
      <c r="P701" s="13" t="n"/>
    </row>
    <row r="702">
      <c r="A702" s="35" t="n"/>
      <c r="B702" s="39">
        <f>IF($A702="","",YEAR($A702)&amp;"-"&amp;RIGHT("0"&amp;MONTH($A702),2))</f>
        <v/>
      </c>
      <c r="C702" s="13" t="n"/>
      <c r="D702" s="13" t="n"/>
      <c r="E702" s="13" t="n"/>
      <c r="F702" s="13" t="n"/>
      <c r="G702" s="40" t="n"/>
      <c r="H702" s="38" t="n"/>
      <c r="I702" s="38" t="n"/>
      <c r="J702" s="38" t="n"/>
      <c r="K702" s="24">
        <f>IF($H702="","",$H702-N($J702))</f>
        <v/>
      </c>
      <c r="L702" s="25">
        <f>IFERROR($K702/$H702,"")</f>
        <v/>
      </c>
      <c r="M702" s="39">
        <f>IFERROR(INDEX('10_CLIENTI'!$B$5:$B$204,MATCH($D702,'10_CLIENTI'!$A$5:$A$204,0)),"")</f>
        <v/>
      </c>
      <c r="N702" s="39">
        <f>IFERROR(INDEX('11_PRODUSE'!$B$5:$B$104,MATCH($E702,'11_PRODUSE'!$A$5:$A$104,0)),"")</f>
        <v/>
      </c>
      <c r="O702" s="13" t="n"/>
      <c r="P702" s="13" t="n"/>
    </row>
    <row r="703">
      <c r="A703" s="35" t="n"/>
      <c r="B703" s="39">
        <f>IF($A703="","",YEAR($A703)&amp;"-"&amp;RIGHT("0"&amp;MONTH($A703),2))</f>
        <v/>
      </c>
      <c r="C703" s="13" t="n"/>
      <c r="D703" s="13" t="n"/>
      <c r="E703" s="13" t="n"/>
      <c r="F703" s="13" t="n"/>
      <c r="G703" s="40" t="n"/>
      <c r="H703" s="38" t="n"/>
      <c r="I703" s="38" t="n"/>
      <c r="J703" s="38" t="n"/>
      <c r="K703" s="24">
        <f>IF($H703="","",$H703-N($J703))</f>
        <v/>
      </c>
      <c r="L703" s="25">
        <f>IFERROR($K703/$H703,"")</f>
        <v/>
      </c>
      <c r="M703" s="39">
        <f>IFERROR(INDEX('10_CLIENTI'!$B$5:$B$204,MATCH($D703,'10_CLIENTI'!$A$5:$A$204,0)),"")</f>
        <v/>
      </c>
      <c r="N703" s="39">
        <f>IFERROR(INDEX('11_PRODUSE'!$B$5:$B$104,MATCH($E703,'11_PRODUSE'!$A$5:$A$104,0)),"")</f>
        <v/>
      </c>
      <c r="O703" s="13" t="n"/>
      <c r="P703" s="13" t="n"/>
    </row>
    <row r="704">
      <c r="A704" s="35" t="n"/>
      <c r="B704" s="39">
        <f>IF($A704="","",YEAR($A704)&amp;"-"&amp;RIGHT("0"&amp;MONTH($A704),2))</f>
        <v/>
      </c>
      <c r="C704" s="13" t="n"/>
      <c r="D704" s="13" t="n"/>
      <c r="E704" s="13" t="n"/>
      <c r="F704" s="13" t="n"/>
      <c r="G704" s="40" t="n"/>
      <c r="H704" s="38" t="n"/>
      <c r="I704" s="38" t="n"/>
      <c r="J704" s="38" t="n"/>
      <c r="K704" s="24">
        <f>IF($H704="","",$H704-N($J704))</f>
        <v/>
      </c>
      <c r="L704" s="25">
        <f>IFERROR($K704/$H704,"")</f>
        <v/>
      </c>
      <c r="M704" s="39">
        <f>IFERROR(INDEX('10_CLIENTI'!$B$5:$B$204,MATCH($D704,'10_CLIENTI'!$A$5:$A$204,0)),"")</f>
        <v/>
      </c>
      <c r="N704" s="39">
        <f>IFERROR(INDEX('11_PRODUSE'!$B$5:$B$104,MATCH($E704,'11_PRODUSE'!$A$5:$A$104,0)),"")</f>
        <v/>
      </c>
      <c r="O704" s="13" t="n"/>
      <c r="P704" s="13" t="n"/>
    </row>
    <row r="705">
      <c r="A705" s="35" t="n"/>
      <c r="B705" s="39">
        <f>IF($A705="","",YEAR($A705)&amp;"-"&amp;RIGHT("0"&amp;MONTH($A705),2))</f>
        <v/>
      </c>
      <c r="C705" s="13" t="n"/>
      <c r="D705" s="13" t="n"/>
      <c r="E705" s="13" t="n"/>
      <c r="F705" s="13" t="n"/>
      <c r="G705" s="40" t="n"/>
      <c r="H705" s="38" t="n"/>
      <c r="I705" s="38" t="n"/>
      <c r="J705" s="38" t="n"/>
      <c r="K705" s="24">
        <f>IF($H705="","",$H705-N($J705))</f>
        <v/>
      </c>
      <c r="L705" s="25">
        <f>IFERROR($K705/$H705,"")</f>
        <v/>
      </c>
      <c r="M705" s="39">
        <f>IFERROR(INDEX('10_CLIENTI'!$B$5:$B$204,MATCH($D705,'10_CLIENTI'!$A$5:$A$204,0)),"")</f>
        <v/>
      </c>
      <c r="N705" s="39">
        <f>IFERROR(INDEX('11_PRODUSE'!$B$5:$B$104,MATCH($E705,'11_PRODUSE'!$A$5:$A$104,0)),"")</f>
        <v/>
      </c>
      <c r="O705" s="13" t="n"/>
      <c r="P705" s="13" t="n"/>
    </row>
    <row r="706">
      <c r="A706" s="35" t="n"/>
      <c r="B706" s="39">
        <f>IF($A706="","",YEAR($A706)&amp;"-"&amp;RIGHT("0"&amp;MONTH($A706),2))</f>
        <v/>
      </c>
      <c r="C706" s="13" t="n"/>
      <c r="D706" s="13" t="n"/>
      <c r="E706" s="13" t="n"/>
      <c r="F706" s="13" t="n"/>
      <c r="G706" s="40" t="n"/>
      <c r="H706" s="38" t="n"/>
      <c r="I706" s="38" t="n"/>
      <c r="J706" s="38" t="n"/>
      <c r="K706" s="24">
        <f>IF($H706="","",$H706-N($J706))</f>
        <v/>
      </c>
      <c r="L706" s="25">
        <f>IFERROR($K706/$H706,"")</f>
        <v/>
      </c>
      <c r="M706" s="39">
        <f>IFERROR(INDEX('10_CLIENTI'!$B$5:$B$204,MATCH($D706,'10_CLIENTI'!$A$5:$A$204,0)),"")</f>
        <v/>
      </c>
      <c r="N706" s="39">
        <f>IFERROR(INDEX('11_PRODUSE'!$B$5:$B$104,MATCH($E706,'11_PRODUSE'!$A$5:$A$104,0)),"")</f>
        <v/>
      </c>
      <c r="O706" s="13" t="n"/>
      <c r="P706" s="13" t="n"/>
    </row>
    <row r="707">
      <c r="A707" s="35" t="n"/>
      <c r="B707" s="39">
        <f>IF($A707="","",YEAR($A707)&amp;"-"&amp;RIGHT("0"&amp;MONTH($A707),2))</f>
        <v/>
      </c>
      <c r="C707" s="13" t="n"/>
      <c r="D707" s="13" t="n"/>
      <c r="E707" s="13" t="n"/>
      <c r="F707" s="13" t="n"/>
      <c r="G707" s="40" t="n"/>
      <c r="H707" s="38" t="n"/>
      <c r="I707" s="38" t="n"/>
      <c r="J707" s="38" t="n"/>
      <c r="K707" s="24">
        <f>IF($H707="","",$H707-N($J707))</f>
        <v/>
      </c>
      <c r="L707" s="25">
        <f>IFERROR($K707/$H707,"")</f>
        <v/>
      </c>
      <c r="M707" s="39">
        <f>IFERROR(INDEX('10_CLIENTI'!$B$5:$B$204,MATCH($D707,'10_CLIENTI'!$A$5:$A$204,0)),"")</f>
        <v/>
      </c>
      <c r="N707" s="39">
        <f>IFERROR(INDEX('11_PRODUSE'!$B$5:$B$104,MATCH($E707,'11_PRODUSE'!$A$5:$A$104,0)),"")</f>
        <v/>
      </c>
      <c r="O707" s="13" t="n"/>
      <c r="P707" s="13" t="n"/>
    </row>
    <row r="708">
      <c r="A708" s="35" t="n"/>
      <c r="B708" s="39">
        <f>IF($A708="","",YEAR($A708)&amp;"-"&amp;RIGHT("0"&amp;MONTH($A708),2))</f>
        <v/>
      </c>
      <c r="C708" s="13" t="n"/>
      <c r="D708" s="13" t="n"/>
      <c r="E708" s="13" t="n"/>
      <c r="F708" s="13" t="n"/>
      <c r="G708" s="40" t="n"/>
      <c r="H708" s="38" t="n"/>
      <c r="I708" s="38" t="n"/>
      <c r="J708" s="38" t="n"/>
      <c r="K708" s="24">
        <f>IF($H708="","",$H708-N($J708))</f>
        <v/>
      </c>
      <c r="L708" s="25">
        <f>IFERROR($K708/$H708,"")</f>
        <v/>
      </c>
      <c r="M708" s="39">
        <f>IFERROR(INDEX('10_CLIENTI'!$B$5:$B$204,MATCH($D708,'10_CLIENTI'!$A$5:$A$204,0)),"")</f>
        <v/>
      </c>
      <c r="N708" s="39">
        <f>IFERROR(INDEX('11_PRODUSE'!$B$5:$B$104,MATCH($E708,'11_PRODUSE'!$A$5:$A$104,0)),"")</f>
        <v/>
      </c>
      <c r="O708" s="13" t="n"/>
      <c r="P708" s="13" t="n"/>
    </row>
    <row r="709">
      <c r="A709" s="35" t="n"/>
      <c r="B709" s="39">
        <f>IF($A709="","",YEAR($A709)&amp;"-"&amp;RIGHT("0"&amp;MONTH($A709),2))</f>
        <v/>
      </c>
      <c r="C709" s="13" t="n"/>
      <c r="D709" s="13" t="n"/>
      <c r="E709" s="13" t="n"/>
      <c r="F709" s="13" t="n"/>
      <c r="G709" s="40" t="n"/>
      <c r="H709" s="38" t="n"/>
      <c r="I709" s="38" t="n"/>
      <c r="J709" s="38" t="n"/>
      <c r="K709" s="24">
        <f>IF($H709="","",$H709-N($J709))</f>
        <v/>
      </c>
      <c r="L709" s="25">
        <f>IFERROR($K709/$H709,"")</f>
        <v/>
      </c>
      <c r="M709" s="39">
        <f>IFERROR(INDEX('10_CLIENTI'!$B$5:$B$204,MATCH($D709,'10_CLIENTI'!$A$5:$A$204,0)),"")</f>
        <v/>
      </c>
      <c r="N709" s="39">
        <f>IFERROR(INDEX('11_PRODUSE'!$B$5:$B$104,MATCH($E709,'11_PRODUSE'!$A$5:$A$104,0)),"")</f>
        <v/>
      </c>
      <c r="O709" s="13" t="n"/>
      <c r="P709" s="13" t="n"/>
    </row>
    <row r="710">
      <c r="A710" s="35" t="n"/>
      <c r="B710" s="39">
        <f>IF($A710="","",YEAR($A710)&amp;"-"&amp;RIGHT("0"&amp;MONTH($A710),2))</f>
        <v/>
      </c>
      <c r="C710" s="13" t="n"/>
      <c r="D710" s="13" t="n"/>
      <c r="E710" s="13" t="n"/>
      <c r="F710" s="13" t="n"/>
      <c r="G710" s="40" t="n"/>
      <c r="H710" s="38" t="n"/>
      <c r="I710" s="38" t="n"/>
      <c r="J710" s="38" t="n"/>
      <c r="K710" s="24">
        <f>IF($H710="","",$H710-N($J710))</f>
        <v/>
      </c>
      <c r="L710" s="25">
        <f>IFERROR($K710/$H710,"")</f>
        <v/>
      </c>
      <c r="M710" s="39">
        <f>IFERROR(INDEX('10_CLIENTI'!$B$5:$B$204,MATCH($D710,'10_CLIENTI'!$A$5:$A$204,0)),"")</f>
        <v/>
      </c>
      <c r="N710" s="39">
        <f>IFERROR(INDEX('11_PRODUSE'!$B$5:$B$104,MATCH($E710,'11_PRODUSE'!$A$5:$A$104,0)),"")</f>
        <v/>
      </c>
      <c r="O710" s="13" t="n"/>
      <c r="P710" s="13" t="n"/>
    </row>
    <row r="711">
      <c r="A711" s="35" t="n"/>
      <c r="B711" s="39">
        <f>IF($A711="","",YEAR($A711)&amp;"-"&amp;RIGHT("0"&amp;MONTH($A711),2))</f>
        <v/>
      </c>
      <c r="C711" s="13" t="n"/>
      <c r="D711" s="13" t="n"/>
      <c r="E711" s="13" t="n"/>
      <c r="F711" s="13" t="n"/>
      <c r="G711" s="40" t="n"/>
      <c r="H711" s="38" t="n"/>
      <c r="I711" s="38" t="n"/>
      <c r="J711" s="38" t="n"/>
      <c r="K711" s="24">
        <f>IF($H711="","",$H711-N($J711))</f>
        <v/>
      </c>
      <c r="L711" s="25">
        <f>IFERROR($K711/$H711,"")</f>
        <v/>
      </c>
      <c r="M711" s="39">
        <f>IFERROR(INDEX('10_CLIENTI'!$B$5:$B$204,MATCH($D711,'10_CLIENTI'!$A$5:$A$204,0)),"")</f>
        <v/>
      </c>
      <c r="N711" s="39">
        <f>IFERROR(INDEX('11_PRODUSE'!$B$5:$B$104,MATCH($E711,'11_PRODUSE'!$A$5:$A$104,0)),"")</f>
        <v/>
      </c>
      <c r="O711" s="13" t="n"/>
      <c r="P711" s="13" t="n"/>
    </row>
    <row r="712">
      <c r="A712" s="35" t="n"/>
      <c r="B712" s="39">
        <f>IF($A712="","",YEAR($A712)&amp;"-"&amp;RIGHT("0"&amp;MONTH($A712),2))</f>
        <v/>
      </c>
      <c r="C712" s="13" t="n"/>
      <c r="D712" s="13" t="n"/>
      <c r="E712" s="13" t="n"/>
      <c r="F712" s="13" t="n"/>
      <c r="G712" s="40" t="n"/>
      <c r="H712" s="38" t="n"/>
      <c r="I712" s="38" t="n"/>
      <c r="J712" s="38" t="n"/>
      <c r="K712" s="24">
        <f>IF($H712="","",$H712-N($J712))</f>
        <v/>
      </c>
      <c r="L712" s="25">
        <f>IFERROR($K712/$H712,"")</f>
        <v/>
      </c>
      <c r="M712" s="39">
        <f>IFERROR(INDEX('10_CLIENTI'!$B$5:$B$204,MATCH($D712,'10_CLIENTI'!$A$5:$A$204,0)),"")</f>
        <v/>
      </c>
      <c r="N712" s="39">
        <f>IFERROR(INDEX('11_PRODUSE'!$B$5:$B$104,MATCH($E712,'11_PRODUSE'!$A$5:$A$104,0)),"")</f>
        <v/>
      </c>
      <c r="O712" s="13" t="n"/>
      <c r="P712" s="13" t="n"/>
    </row>
    <row r="713">
      <c r="A713" s="35" t="n"/>
      <c r="B713" s="39">
        <f>IF($A713="","",YEAR($A713)&amp;"-"&amp;RIGHT("0"&amp;MONTH($A713),2))</f>
        <v/>
      </c>
      <c r="C713" s="13" t="n"/>
      <c r="D713" s="13" t="n"/>
      <c r="E713" s="13" t="n"/>
      <c r="F713" s="13" t="n"/>
      <c r="G713" s="40" t="n"/>
      <c r="H713" s="38" t="n"/>
      <c r="I713" s="38" t="n"/>
      <c r="J713" s="38" t="n"/>
      <c r="K713" s="24">
        <f>IF($H713="","",$H713-N($J713))</f>
        <v/>
      </c>
      <c r="L713" s="25">
        <f>IFERROR($K713/$H713,"")</f>
        <v/>
      </c>
      <c r="M713" s="39">
        <f>IFERROR(INDEX('10_CLIENTI'!$B$5:$B$204,MATCH($D713,'10_CLIENTI'!$A$5:$A$204,0)),"")</f>
        <v/>
      </c>
      <c r="N713" s="39">
        <f>IFERROR(INDEX('11_PRODUSE'!$B$5:$B$104,MATCH($E713,'11_PRODUSE'!$A$5:$A$104,0)),"")</f>
        <v/>
      </c>
      <c r="O713" s="13" t="n"/>
      <c r="P713" s="13" t="n"/>
    </row>
    <row r="714">
      <c r="A714" s="35" t="n"/>
      <c r="B714" s="39">
        <f>IF($A714="","",YEAR($A714)&amp;"-"&amp;RIGHT("0"&amp;MONTH($A714),2))</f>
        <v/>
      </c>
      <c r="C714" s="13" t="n"/>
      <c r="D714" s="13" t="n"/>
      <c r="E714" s="13" t="n"/>
      <c r="F714" s="13" t="n"/>
      <c r="G714" s="40" t="n"/>
      <c r="H714" s="38" t="n"/>
      <c r="I714" s="38" t="n"/>
      <c r="J714" s="38" t="n"/>
      <c r="K714" s="24">
        <f>IF($H714="","",$H714-N($J714))</f>
        <v/>
      </c>
      <c r="L714" s="25">
        <f>IFERROR($K714/$H714,"")</f>
        <v/>
      </c>
      <c r="M714" s="39">
        <f>IFERROR(INDEX('10_CLIENTI'!$B$5:$B$204,MATCH($D714,'10_CLIENTI'!$A$5:$A$204,0)),"")</f>
        <v/>
      </c>
      <c r="N714" s="39">
        <f>IFERROR(INDEX('11_PRODUSE'!$B$5:$B$104,MATCH($E714,'11_PRODUSE'!$A$5:$A$104,0)),"")</f>
        <v/>
      </c>
      <c r="O714" s="13" t="n"/>
      <c r="P714" s="13" t="n"/>
    </row>
    <row r="715">
      <c r="A715" s="35" t="n"/>
      <c r="B715" s="39">
        <f>IF($A715="","",YEAR($A715)&amp;"-"&amp;RIGHT("0"&amp;MONTH($A715),2))</f>
        <v/>
      </c>
      <c r="C715" s="13" t="n"/>
      <c r="D715" s="13" t="n"/>
      <c r="E715" s="13" t="n"/>
      <c r="F715" s="13" t="n"/>
      <c r="G715" s="40" t="n"/>
      <c r="H715" s="38" t="n"/>
      <c r="I715" s="38" t="n"/>
      <c r="J715" s="38" t="n"/>
      <c r="K715" s="24">
        <f>IF($H715="","",$H715-N($J715))</f>
        <v/>
      </c>
      <c r="L715" s="25">
        <f>IFERROR($K715/$H715,"")</f>
        <v/>
      </c>
      <c r="M715" s="39">
        <f>IFERROR(INDEX('10_CLIENTI'!$B$5:$B$204,MATCH($D715,'10_CLIENTI'!$A$5:$A$204,0)),"")</f>
        <v/>
      </c>
      <c r="N715" s="39">
        <f>IFERROR(INDEX('11_PRODUSE'!$B$5:$B$104,MATCH($E715,'11_PRODUSE'!$A$5:$A$104,0)),"")</f>
        <v/>
      </c>
      <c r="O715" s="13" t="n"/>
      <c r="P715" s="13" t="n"/>
    </row>
    <row r="716">
      <c r="A716" s="35" t="n"/>
      <c r="B716" s="39">
        <f>IF($A716="","",YEAR($A716)&amp;"-"&amp;RIGHT("0"&amp;MONTH($A716),2))</f>
        <v/>
      </c>
      <c r="C716" s="13" t="n"/>
      <c r="D716" s="13" t="n"/>
      <c r="E716" s="13" t="n"/>
      <c r="F716" s="13" t="n"/>
      <c r="G716" s="40" t="n"/>
      <c r="H716" s="38" t="n"/>
      <c r="I716" s="38" t="n"/>
      <c r="J716" s="38" t="n"/>
      <c r="K716" s="24">
        <f>IF($H716="","",$H716-N($J716))</f>
        <v/>
      </c>
      <c r="L716" s="25">
        <f>IFERROR($K716/$H716,"")</f>
        <v/>
      </c>
      <c r="M716" s="39">
        <f>IFERROR(INDEX('10_CLIENTI'!$B$5:$B$204,MATCH($D716,'10_CLIENTI'!$A$5:$A$204,0)),"")</f>
        <v/>
      </c>
      <c r="N716" s="39">
        <f>IFERROR(INDEX('11_PRODUSE'!$B$5:$B$104,MATCH($E716,'11_PRODUSE'!$A$5:$A$104,0)),"")</f>
        <v/>
      </c>
      <c r="O716" s="13" t="n"/>
      <c r="P716" s="13" t="n"/>
    </row>
    <row r="717">
      <c r="A717" s="35" t="n"/>
      <c r="B717" s="39">
        <f>IF($A717="","",YEAR($A717)&amp;"-"&amp;RIGHT("0"&amp;MONTH($A717),2))</f>
        <v/>
      </c>
      <c r="C717" s="13" t="n"/>
      <c r="D717" s="13" t="n"/>
      <c r="E717" s="13" t="n"/>
      <c r="F717" s="13" t="n"/>
      <c r="G717" s="40" t="n"/>
      <c r="H717" s="38" t="n"/>
      <c r="I717" s="38" t="n"/>
      <c r="J717" s="38" t="n"/>
      <c r="K717" s="24">
        <f>IF($H717="","",$H717-N($J717))</f>
        <v/>
      </c>
      <c r="L717" s="25">
        <f>IFERROR($K717/$H717,"")</f>
        <v/>
      </c>
      <c r="M717" s="39">
        <f>IFERROR(INDEX('10_CLIENTI'!$B$5:$B$204,MATCH($D717,'10_CLIENTI'!$A$5:$A$204,0)),"")</f>
        <v/>
      </c>
      <c r="N717" s="39">
        <f>IFERROR(INDEX('11_PRODUSE'!$B$5:$B$104,MATCH($E717,'11_PRODUSE'!$A$5:$A$104,0)),"")</f>
        <v/>
      </c>
      <c r="O717" s="13" t="n"/>
      <c r="P717" s="13" t="n"/>
    </row>
    <row r="718">
      <c r="A718" s="35" t="n"/>
      <c r="B718" s="39">
        <f>IF($A718="","",YEAR($A718)&amp;"-"&amp;RIGHT("0"&amp;MONTH($A718),2))</f>
        <v/>
      </c>
      <c r="C718" s="13" t="n"/>
      <c r="D718" s="13" t="n"/>
      <c r="E718" s="13" t="n"/>
      <c r="F718" s="13" t="n"/>
      <c r="G718" s="40" t="n"/>
      <c r="H718" s="38" t="n"/>
      <c r="I718" s="38" t="n"/>
      <c r="J718" s="38" t="n"/>
      <c r="K718" s="24">
        <f>IF($H718="","",$H718-N($J718))</f>
        <v/>
      </c>
      <c r="L718" s="25">
        <f>IFERROR($K718/$H718,"")</f>
        <v/>
      </c>
      <c r="M718" s="39">
        <f>IFERROR(INDEX('10_CLIENTI'!$B$5:$B$204,MATCH($D718,'10_CLIENTI'!$A$5:$A$204,0)),"")</f>
        <v/>
      </c>
      <c r="N718" s="39">
        <f>IFERROR(INDEX('11_PRODUSE'!$B$5:$B$104,MATCH($E718,'11_PRODUSE'!$A$5:$A$104,0)),"")</f>
        <v/>
      </c>
      <c r="O718" s="13" t="n"/>
      <c r="P718" s="13" t="n"/>
    </row>
    <row r="719">
      <c r="A719" s="35" t="n"/>
      <c r="B719" s="39">
        <f>IF($A719="","",YEAR($A719)&amp;"-"&amp;RIGHT("0"&amp;MONTH($A719),2))</f>
        <v/>
      </c>
      <c r="C719" s="13" t="n"/>
      <c r="D719" s="13" t="n"/>
      <c r="E719" s="13" t="n"/>
      <c r="F719" s="13" t="n"/>
      <c r="G719" s="40" t="n"/>
      <c r="H719" s="38" t="n"/>
      <c r="I719" s="38" t="n"/>
      <c r="J719" s="38" t="n"/>
      <c r="K719" s="24">
        <f>IF($H719="","",$H719-N($J719))</f>
        <v/>
      </c>
      <c r="L719" s="25">
        <f>IFERROR($K719/$H719,"")</f>
        <v/>
      </c>
      <c r="M719" s="39">
        <f>IFERROR(INDEX('10_CLIENTI'!$B$5:$B$204,MATCH($D719,'10_CLIENTI'!$A$5:$A$204,0)),"")</f>
        <v/>
      </c>
      <c r="N719" s="39">
        <f>IFERROR(INDEX('11_PRODUSE'!$B$5:$B$104,MATCH($E719,'11_PRODUSE'!$A$5:$A$104,0)),"")</f>
        <v/>
      </c>
      <c r="O719" s="13" t="n"/>
      <c r="P719" s="13" t="n"/>
    </row>
    <row r="720">
      <c r="A720" s="35" t="n"/>
      <c r="B720" s="39">
        <f>IF($A720="","",YEAR($A720)&amp;"-"&amp;RIGHT("0"&amp;MONTH($A720),2))</f>
        <v/>
      </c>
      <c r="C720" s="13" t="n"/>
      <c r="D720" s="13" t="n"/>
      <c r="E720" s="13" t="n"/>
      <c r="F720" s="13" t="n"/>
      <c r="G720" s="40" t="n"/>
      <c r="H720" s="38" t="n"/>
      <c r="I720" s="38" t="n"/>
      <c r="J720" s="38" t="n"/>
      <c r="K720" s="24">
        <f>IF($H720="","",$H720-N($J720))</f>
        <v/>
      </c>
      <c r="L720" s="25">
        <f>IFERROR($K720/$H720,"")</f>
        <v/>
      </c>
      <c r="M720" s="39">
        <f>IFERROR(INDEX('10_CLIENTI'!$B$5:$B$204,MATCH($D720,'10_CLIENTI'!$A$5:$A$204,0)),"")</f>
        <v/>
      </c>
      <c r="N720" s="39">
        <f>IFERROR(INDEX('11_PRODUSE'!$B$5:$B$104,MATCH($E720,'11_PRODUSE'!$A$5:$A$104,0)),"")</f>
        <v/>
      </c>
      <c r="O720" s="13" t="n"/>
      <c r="P720" s="13" t="n"/>
    </row>
    <row r="721">
      <c r="A721" s="35" t="n"/>
      <c r="B721" s="39">
        <f>IF($A721="","",YEAR($A721)&amp;"-"&amp;RIGHT("0"&amp;MONTH($A721),2))</f>
        <v/>
      </c>
      <c r="C721" s="13" t="n"/>
      <c r="D721" s="13" t="n"/>
      <c r="E721" s="13" t="n"/>
      <c r="F721" s="13" t="n"/>
      <c r="G721" s="40" t="n"/>
      <c r="H721" s="38" t="n"/>
      <c r="I721" s="38" t="n"/>
      <c r="J721" s="38" t="n"/>
      <c r="K721" s="24">
        <f>IF($H721="","",$H721-N($J721))</f>
        <v/>
      </c>
      <c r="L721" s="25">
        <f>IFERROR($K721/$H721,"")</f>
        <v/>
      </c>
      <c r="M721" s="39">
        <f>IFERROR(INDEX('10_CLIENTI'!$B$5:$B$204,MATCH($D721,'10_CLIENTI'!$A$5:$A$204,0)),"")</f>
        <v/>
      </c>
      <c r="N721" s="39">
        <f>IFERROR(INDEX('11_PRODUSE'!$B$5:$B$104,MATCH($E721,'11_PRODUSE'!$A$5:$A$104,0)),"")</f>
        <v/>
      </c>
      <c r="O721" s="13" t="n"/>
      <c r="P721" s="13" t="n"/>
    </row>
    <row r="722">
      <c r="A722" s="35" t="n"/>
      <c r="B722" s="39">
        <f>IF($A722="","",YEAR($A722)&amp;"-"&amp;RIGHT("0"&amp;MONTH($A722),2))</f>
        <v/>
      </c>
      <c r="C722" s="13" t="n"/>
      <c r="D722" s="13" t="n"/>
      <c r="E722" s="13" t="n"/>
      <c r="F722" s="13" t="n"/>
      <c r="G722" s="40" t="n"/>
      <c r="H722" s="38" t="n"/>
      <c r="I722" s="38" t="n"/>
      <c r="J722" s="38" t="n"/>
      <c r="K722" s="24">
        <f>IF($H722="","",$H722-N($J722))</f>
        <v/>
      </c>
      <c r="L722" s="25">
        <f>IFERROR($K722/$H722,"")</f>
        <v/>
      </c>
      <c r="M722" s="39">
        <f>IFERROR(INDEX('10_CLIENTI'!$B$5:$B$204,MATCH($D722,'10_CLIENTI'!$A$5:$A$204,0)),"")</f>
        <v/>
      </c>
      <c r="N722" s="39">
        <f>IFERROR(INDEX('11_PRODUSE'!$B$5:$B$104,MATCH($E722,'11_PRODUSE'!$A$5:$A$104,0)),"")</f>
        <v/>
      </c>
      <c r="O722" s="13" t="n"/>
      <c r="P722" s="13" t="n"/>
    </row>
    <row r="723">
      <c r="A723" s="35" t="n"/>
      <c r="B723" s="39">
        <f>IF($A723="","",YEAR($A723)&amp;"-"&amp;RIGHT("0"&amp;MONTH($A723),2))</f>
        <v/>
      </c>
      <c r="C723" s="13" t="n"/>
      <c r="D723" s="13" t="n"/>
      <c r="E723" s="13" t="n"/>
      <c r="F723" s="13" t="n"/>
      <c r="G723" s="40" t="n"/>
      <c r="H723" s="38" t="n"/>
      <c r="I723" s="38" t="n"/>
      <c r="J723" s="38" t="n"/>
      <c r="K723" s="24">
        <f>IF($H723="","",$H723-N($J723))</f>
        <v/>
      </c>
      <c r="L723" s="25">
        <f>IFERROR($K723/$H723,"")</f>
        <v/>
      </c>
      <c r="M723" s="39">
        <f>IFERROR(INDEX('10_CLIENTI'!$B$5:$B$204,MATCH($D723,'10_CLIENTI'!$A$5:$A$204,0)),"")</f>
        <v/>
      </c>
      <c r="N723" s="39">
        <f>IFERROR(INDEX('11_PRODUSE'!$B$5:$B$104,MATCH($E723,'11_PRODUSE'!$A$5:$A$104,0)),"")</f>
        <v/>
      </c>
      <c r="O723" s="13" t="n"/>
      <c r="P723" s="13" t="n"/>
    </row>
    <row r="724">
      <c r="A724" s="35" t="n"/>
      <c r="B724" s="39">
        <f>IF($A724="","",YEAR($A724)&amp;"-"&amp;RIGHT("0"&amp;MONTH($A724),2))</f>
        <v/>
      </c>
      <c r="C724" s="13" t="n"/>
      <c r="D724" s="13" t="n"/>
      <c r="E724" s="13" t="n"/>
      <c r="F724" s="13" t="n"/>
      <c r="G724" s="40" t="n"/>
      <c r="H724" s="38" t="n"/>
      <c r="I724" s="38" t="n"/>
      <c r="J724" s="38" t="n"/>
      <c r="K724" s="24">
        <f>IF($H724="","",$H724-N($J724))</f>
        <v/>
      </c>
      <c r="L724" s="25">
        <f>IFERROR($K724/$H724,"")</f>
        <v/>
      </c>
      <c r="M724" s="39">
        <f>IFERROR(INDEX('10_CLIENTI'!$B$5:$B$204,MATCH($D724,'10_CLIENTI'!$A$5:$A$204,0)),"")</f>
        <v/>
      </c>
      <c r="N724" s="39">
        <f>IFERROR(INDEX('11_PRODUSE'!$B$5:$B$104,MATCH($E724,'11_PRODUSE'!$A$5:$A$104,0)),"")</f>
        <v/>
      </c>
      <c r="O724" s="13" t="n"/>
      <c r="P724" s="13" t="n"/>
    </row>
    <row r="725">
      <c r="A725" s="35" t="n"/>
      <c r="B725" s="39">
        <f>IF($A725="","",YEAR($A725)&amp;"-"&amp;RIGHT("0"&amp;MONTH($A725),2))</f>
        <v/>
      </c>
      <c r="C725" s="13" t="n"/>
      <c r="D725" s="13" t="n"/>
      <c r="E725" s="13" t="n"/>
      <c r="F725" s="13" t="n"/>
      <c r="G725" s="40" t="n"/>
      <c r="H725" s="38" t="n"/>
      <c r="I725" s="38" t="n"/>
      <c r="J725" s="38" t="n"/>
      <c r="K725" s="24">
        <f>IF($H725="","",$H725-N($J725))</f>
        <v/>
      </c>
      <c r="L725" s="25">
        <f>IFERROR($K725/$H725,"")</f>
        <v/>
      </c>
      <c r="M725" s="39">
        <f>IFERROR(INDEX('10_CLIENTI'!$B$5:$B$204,MATCH($D725,'10_CLIENTI'!$A$5:$A$204,0)),"")</f>
        <v/>
      </c>
      <c r="N725" s="39">
        <f>IFERROR(INDEX('11_PRODUSE'!$B$5:$B$104,MATCH($E725,'11_PRODUSE'!$A$5:$A$104,0)),"")</f>
        <v/>
      </c>
      <c r="O725" s="13" t="n"/>
      <c r="P725" s="13" t="n"/>
    </row>
    <row r="726">
      <c r="A726" s="35" t="n"/>
      <c r="B726" s="39">
        <f>IF($A726="","",YEAR($A726)&amp;"-"&amp;RIGHT("0"&amp;MONTH($A726),2))</f>
        <v/>
      </c>
      <c r="C726" s="13" t="n"/>
      <c r="D726" s="13" t="n"/>
      <c r="E726" s="13" t="n"/>
      <c r="F726" s="13" t="n"/>
      <c r="G726" s="40" t="n"/>
      <c r="H726" s="38" t="n"/>
      <c r="I726" s="38" t="n"/>
      <c r="J726" s="38" t="n"/>
      <c r="K726" s="24">
        <f>IF($H726="","",$H726-N($J726))</f>
        <v/>
      </c>
      <c r="L726" s="25">
        <f>IFERROR($K726/$H726,"")</f>
        <v/>
      </c>
      <c r="M726" s="39">
        <f>IFERROR(INDEX('10_CLIENTI'!$B$5:$B$204,MATCH($D726,'10_CLIENTI'!$A$5:$A$204,0)),"")</f>
        <v/>
      </c>
      <c r="N726" s="39">
        <f>IFERROR(INDEX('11_PRODUSE'!$B$5:$B$104,MATCH($E726,'11_PRODUSE'!$A$5:$A$104,0)),"")</f>
        <v/>
      </c>
      <c r="O726" s="13" t="n"/>
      <c r="P726" s="13" t="n"/>
    </row>
    <row r="727">
      <c r="A727" s="35" t="n"/>
      <c r="B727" s="39">
        <f>IF($A727="","",YEAR($A727)&amp;"-"&amp;RIGHT("0"&amp;MONTH($A727),2))</f>
        <v/>
      </c>
      <c r="C727" s="13" t="n"/>
      <c r="D727" s="13" t="n"/>
      <c r="E727" s="13" t="n"/>
      <c r="F727" s="13" t="n"/>
      <c r="G727" s="40" t="n"/>
      <c r="H727" s="38" t="n"/>
      <c r="I727" s="38" t="n"/>
      <c r="J727" s="38" t="n"/>
      <c r="K727" s="24">
        <f>IF($H727="","",$H727-N($J727))</f>
        <v/>
      </c>
      <c r="L727" s="25">
        <f>IFERROR($K727/$H727,"")</f>
        <v/>
      </c>
      <c r="M727" s="39">
        <f>IFERROR(INDEX('10_CLIENTI'!$B$5:$B$204,MATCH($D727,'10_CLIENTI'!$A$5:$A$204,0)),"")</f>
        <v/>
      </c>
      <c r="N727" s="39">
        <f>IFERROR(INDEX('11_PRODUSE'!$B$5:$B$104,MATCH($E727,'11_PRODUSE'!$A$5:$A$104,0)),"")</f>
        <v/>
      </c>
      <c r="O727" s="13" t="n"/>
      <c r="P727" s="13" t="n"/>
    </row>
    <row r="728">
      <c r="A728" s="35" t="n"/>
      <c r="B728" s="39">
        <f>IF($A728="","",YEAR($A728)&amp;"-"&amp;RIGHT("0"&amp;MONTH($A728),2))</f>
        <v/>
      </c>
      <c r="C728" s="13" t="n"/>
      <c r="D728" s="13" t="n"/>
      <c r="E728" s="13" t="n"/>
      <c r="F728" s="13" t="n"/>
      <c r="G728" s="40" t="n"/>
      <c r="H728" s="38" t="n"/>
      <c r="I728" s="38" t="n"/>
      <c r="J728" s="38" t="n"/>
      <c r="K728" s="24">
        <f>IF($H728="","",$H728-N($J728))</f>
        <v/>
      </c>
      <c r="L728" s="25">
        <f>IFERROR($K728/$H728,"")</f>
        <v/>
      </c>
      <c r="M728" s="39">
        <f>IFERROR(INDEX('10_CLIENTI'!$B$5:$B$204,MATCH($D728,'10_CLIENTI'!$A$5:$A$204,0)),"")</f>
        <v/>
      </c>
      <c r="N728" s="39">
        <f>IFERROR(INDEX('11_PRODUSE'!$B$5:$B$104,MATCH($E728,'11_PRODUSE'!$A$5:$A$104,0)),"")</f>
        <v/>
      </c>
      <c r="O728" s="13" t="n"/>
      <c r="P728" s="13" t="n"/>
    </row>
    <row r="729">
      <c r="A729" s="35" t="n"/>
      <c r="B729" s="39">
        <f>IF($A729="","",YEAR($A729)&amp;"-"&amp;RIGHT("0"&amp;MONTH($A729),2))</f>
        <v/>
      </c>
      <c r="C729" s="13" t="n"/>
      <c r="D729" s="13" t="n"/>
      <c r="E729" s="13" t="n"/>
      <c r="F729" s="13" t="n"/>
      <c r="G729" s="40" t="n"/>
      <c r="H729" s="38" t="n"/>
      <c r="I729" s="38" t="n"/>
      <c r="J729" s="38" t="n"/>
      <c r="K729" s="24">
        <f>IF($H729="","",$H729-N($J729))</f>
        <v/>
      </c>
      <c r="L729" s="25">
        <f>IFERROR($K729/$H729,"")</f>
        <v/>
      </c>
      <c r="M729" s="39">
        <f>IFERROR(INDEX('10_CLIENTI'!$B$5:$B$204,MATCH($D729,'10_CLIENTI'!$A$5:$A$204,0)),"")</f>
        <v/>
      </c>
      <c r="N729" s="39">
        <f>IFERROR(INDEX('11_PRODUSE'!$B$5:$B$104,MATCH($E729,'11_PRODUSE'!$A$5:$A$104,0)),"")</f>
        <v/>
      </c>
      <c r="O729" s="13" t="n"/>
      <c r="P729" s="13" t="n"/>
    </row>
    <row r="730">
      <c r="A730" s="35" t="n"/>
      <c r="B730" s="39">
        <f>IF($A730="","",YEAR($A730)&amp;"-"&amp;RIGHT("0"&amp;MONTH($A730),2))</f>
        <v/>
      </c>
      <c r="C730" s="13" t="n"/>
      <c r="D730" s="13" t="n"/>
      <c r="E730" s="13" t="n"/>
      <c r="F730" s="13" t="n"/>
      <c r="G730" s="40" t="n"/>
      <c r="H730" s="38" t="n"/>
      <c r="I730" s="38" t="n"/>
      <c r="J730" s="38" t="n"/>
      <c r="K730" s="24">
        <f>IF($H730="","",$H730-N($J730))</f>
        <v/>
      </c>
      <c r="L730" s="25">
        <f>IFERROR($K730/$H730,"")</f>
        <v/>
      </c>
      <c r="M730" s="39">
        <f>IFERROR(INDEX('10_CLIENTI'!$B$5:$B$204,MATCH($D730,'10_CLIENTI'!$A$5:$A$204,0)),"")</f>
        <v/>
      </c>
      <c r="N730" s="39">
        <f>IFERROR(INDEX('11_PRODUSE'!$B$5:$B$104,MATCH($E730,'11_PRODUSE'!$A$5:$A$104,0)),"")</f>
        <v/>
      </c>
      <c r="O730" s="13" t="n"/>
      <c r="P730" s="13" t="n"/>
    </row>
    <row r="731">
      <c r="A731" s="35" t="n"/>
      <c r="B731" s="39">
        <f>IF($A731="","",YEAR($A731)&amp;"-"&amp;RIGHT("0"&amp;MONTH($A731),2))</f>
        <v/>
      </c>
      <c r="C731" s="13" t="n"/>
      <c r="D731" s="13" t="n"/>
      <c r="E731" s="13" t="n"/>
      <c r="F731" s="13" t="n"/>
      <c r="G731" s="40" t="n"/>
      <c r="H731" s="38" t="n"/>
      <c r="I731" s="38" t="n"/>
      <c r="J731" s="38" t="n"/>
      <c r="K731" s="24">
        <f>IF($H731="","",$H731-N($J731))</f>
        <v/>
      </c>
      <c r="L731" s="25">
        <f>IFERROR($K731/$H731,"")</f>
        <v/>
      </c>
      <c r="M731" s="39">
        <f>IFERROR(INDEX('10_CLIENTI'!$B$5:$B$204,MATCH($D731,'10_CLIENTI'!$A$5:$A$204,0)),"")</f>
        <v/>
      </c>
      <c r="N731" s="39">
        <f>IFERROR(INDEX('11_PRODUSE'!$B$5:$B$104,MATCH($E731,'11_PRODUSE'!$A$5:$A$104,0)),"")</f>
        <v/>
      </c>
      <c r="O731" s="13" t="n"/>
      <c r="P731" s="13" t="n"/>
    </row>
    <row r="732">
      <c r="A732" s="35" t="n"/>
      <c r="B732" s="39">
        <f>IF($A732="","",YEAR($A732)&amp;"-"&amp;RIGHT("0"&amp;MONTH($A732),2))</f>
        <v/>
      </c>
      <c r="C732" s="13" t="n"/>
      <c r="D732" s="13" t="n"/>
      <c r="E732" s="13" t="n"/>
      <c r="F732" s="13" t="n"/>
      <c r="G732" s="40" t="n"/>
      <c r="H732" s="38" t="n"/>
      <c r="I732" s="38" t="n"/>
      <c r="J732" s="38" t="n"/>
      <c r="K732" s="24">
        <f>IF($H732="","",$H732-N($J732))</f>
        <v/>
      </c>
      <c r="L732" s="25">
        <f>IFERROR($K732/$H732,"")</f>
        <v/>
      </c>
      <c r="M732" s="39">
        <f>IFERROR(INDEX('10_CLIENTI'!$B$5:$B$204,MATCH($D732,'10_CLIENTI'!$A$5:$A$204,0)),"")</f>
        <v/>
      </c>
      <c r="N732" s="39">
        <f>IFERROR(INDEX('11_PRODUSE'!$B$5:$B$104,MATCH($E732,'11_PRODUSE'!$A$5:$A$104,0)),"")</f>
        <v/>
      </c>
      <c r="O732" s="13" t="n"/>
      <c r="P732" s="13" t="n"/>
    </row>
    <row r="733">
      <c r="A733" s="35" t="n"/>
      <c r="B733" s="39">
        <f>IF($A733="","",YEAR($A733)&amp;"-"&amp;RIGHT("0"&amp;MONTH($A733),2))</f>
        <v/>
      </c>
      <c r="C733" s="13" t="n"/>
      <c r="D733" s="13" t="n"/>
      <c r="E733" s="13" t="n"/>
      <c r="F733" s="13" t="n"/>
      <c r="G733" s="40" t="n"/>
      <c r="H733" s="38" t="n"/>
      <c r="I733" s="38" t="n"/>
      <c r="J733" s="38" t="n"/>
      <c r="K733" s="24">
        <f>IF($H733="","",$H733-N($J733))</f>
        <v/>
      </c>
      <c r="L733" s="25">
        <f>IFERROR($K733/$H733,"")</f>
        <v/>
      </c>
      <c r="M733" s="39">
        <f>IFERROR(INDEX('10_CLIENTI'!$B$5:$B$204,MATCH($D733,'10_CLIENTI'!$A$5:$A$204,0)),"")</f>
        <v/>
      </c>
      <c r="N733" s="39">
        <f>IFERROR(INDEX('11_PRODUSE'!$B$5:$B$104,MATCH($E733,'11_PRODUSE'!$A$5:$A$104,0)),"")</f>
        <v/>
      </c>
      <c r="O733" s="13" t="n"/>
      <c r="P733" s="13" t="n"/>
    </row>
    <row r="734">
      <c r="A734" s="35" t="n"/>
      <c r="B734" s="39">
        <f>IF($A734="","",YEAR($A734)&amp;"-"&amp;RIGHT("0"&amp;MONTH($A734),2))</f>
        <v/>
      </c>
      <c r="C734" s="13" t="n"/>
      <c r="D734" s="13" t="n"/>
      <c r="E734" s="13" t="n"/>
      <c r="F734" s="13" t="n"/>
      <c r="G734" s="40" t="n"/>
      <c r="H734" s="38" t="n"/>
      <c r="I734" s="38" t="n"/>
      <c r="J734" s="38" t="n"/>
      <c r="K734" s="24">
        <f>IF($H734="","",$H734-N($J734))</f>
        <v/>
      </c>
      <c r="L734" s="25">
        <f>IFERROR($K734/$H734,"")</f>
        <v/>
      </c>
      <c r="M734" s="39">
        <f>IFERROR(INDEX('10_CLIENTI'!$B$5:$B$204,MATCH($D734,'10_CLIENTI'!$A$5:$A$204,0)),"")</f>
        <v/>
      </c>
      <c r="N734" s="39">
        <f>IFERROR(INDEX('11_PRODUSE'!$B$5:$B$104,MATCH($E734,'11_PRODUSE'!$A$5:$A$104,0)),"")</f>
        <v/>
      </c>
      <c r="O734" s="13" t="n"/>
      <c r="P734" s="13" t="n"/>
    </row>
    <row r="735">
      <c r="A735" s="35" t="n"/>
      <c r="B735" s="39">
        <f>IF($A735="","",YEAR($A735)&amp;"-"&amp;RIGHT("0"&amp;MONTH($A735),2))</f>
        <v/>
      </c>
      <c r="C735" s="13" t="n"/>
      <c r="D735" s="13" t="n"/>
      <c r="E735" s="13" t="n"/>
      <c r="F735" s="13" t="n"/>
      <c r="G735" s="40" t="n"/>
      <c r="H735" s="38" t="n"/>
      <c r="I735" s="38" t="n"/>
      <c r="J735" s="38" t="n"/>
      <c r="K735" s="24">
        <f>IF($H735="","",$H735-N($J735))</f>
        <v/>
      </c>
      <c r="L735" s="25">
        <f>IFERROR($K735/$H735,"")</f>
        <v/>
      </c>
      <c r="M735" s="39">
        <f>IFERROR(INDEX('10_CLIENTI'!$B$5:$B$204,MATCH($D735,'10_CLIENTI'!$A$5:$A$204,0)),"")</f>
        <v/>
      </c>
      <c r="N735" s="39">
        <f>IFERROR(INDEX('11_PRODUSE'!$B$5:$B$104,MATCH($E735,'11_PRODUSE'!$A$5:$A$104,0)),"")</f>
        <v/>
      </c>
      <c r="O735" s="13" t="n"/>
      <c r="P735" s="13" t="n"/>
    </row>
    <row r="736">
      <c r="A736" s="35" t="n"/>
      <c r="B736" s="39">
        <f>IF($A736="","",YEAR($A736)&amp;"-"&amp;RIGHT("0"&amp;MONTH($A736),2))</f>
        <v/>
      </c>
      <c r="C736" s="13" t="n"/>
      <c r="D736" s="13" t="n"/>
      <c r="E736" s="13" t="n"/>
      <c r="F736" s="13" t="n"/>
      <c r="G736" s="40" t="n"/>
      <c r="H736" s="38" t="n"/>
      <c r="I736" s="38" t="n"/>
      <c r="J736" s="38" t="n"/>
      <c r="K736" s="24">
        <f>IF($H736="","",$H736-N($J736))</f>
        <v/>
      </c>
      <c r="L736" s="25">
        <f>IFERROR($K736/$H736,"")</f>
        <v/>
      </c>
      <c r="M736" s="39">
        <f>IFERROR(INDEX('10_CLIENTI'!$B$5:$B$204,MATCH($D736,'10_CLIENTI'!$A$5:$A$204,0)),"")</f>
        <v/>
      </c>
      <c r="N736" s="39">
        <f>IFERROR(INDEX('11_PRODUSE'!$B$5:$B$104,MATCH($E736,'11_PRODUSE'!$A$5:$A$104,0)),"")</f>
        <v/>
      </c>
      <c r="O736" s="13" t="n"/>
      <c r="P736" s="13" t="n"/>
    </row>
    <row r="737">
      <c r="A737" s="35" t="n"/>
      <c r="B737" s="39">
        <f>IF($A737="","",YEAR($A737)&amp;"-"&amp;RIGHT("0"&amp;MONTH($A737),2))</f>
        <v/>
      </c>
      <c r="C737" s="13" t="n"/>
      <c r="D737" s="13" t="n"/>
      <c r="E737" s="13" t="n"/>
      <c r="F737" s="13" t="n"/>
      <c r="G737" s="40" t="n"/>
      <c r="H737" s="38" t="n"/>
      <c r="I737" s="38" t="n"/>
      <c r="J737" s="38" t="n"/>
      <c r="K737" s="24">
        <f>IF($H737="","",$H737-N($J737))</f>
        <v/>
      </c>
      <c r="L737" s="25">
        <f>IFERROR($K737/$H737,"")</f>
        <v/>
      </c>
      <c r="M737" s="39">
        <f>IFERROR(INDEX('10_CLIENTI'!$B$5:$B$204,MATCH($D737,'10_CLIENTI'!$A$5:$A$204,0)),"")</f>
        <v/>
      </c>
      <c r="N737" s="39">
        <f>IFERROR(INDEX('11_PRODUSE'!$B$5:$B$104,MATCH($E737,'11_PRODUSE'!$A$5:$A$104,0)),"")</f>
        <v/>
      </c>
      <c r="O737" s="13" t="n"/>
      <c r="P737" s="13" t="n"/>
    </row>
    <row r="738">
      <c r="A738" s="35" t="n"/>
      <c r="B738" s="39">
        <f>IF($A738="","",YEAR($A738)&amp;"-"&amp;RIGHT("0"&amp;MONTH($A738),2))</f>
        <v/>
      </c>
      <c r="C738" s="13" t="n"/>
      <c r="D738" s="13" t="n"/>
      <c r="E738" s="13" t="n"/>
      <c r="F738" s="13" t="n"/>
      <c r="G738" s="40" t="n"/>
      <c r="H738" s="38" t="n"/>
      <c r="I738" s="38" t="n"/>
      <c r="J738" s="38" t="n"/>
      <c r="K738" s="24">
        <f>IF($H738="","",$H738-N($J738))</f>
        <v/>
      </c>
      <c r="L738" s="25">
        <f>IFERROR($K738/$H738,"")</f>
        <v/>
      </c>
      <c r="M738" s="39">
        <f>IFERROR(INDEX('10_CLIENTI'!$B$5:$B$204,MATCH($D738,'10_CLIENTI'!$A$5:$A$204,0)),"")</f>
        <v/>
      </c>
      <c r="N738" s="39">
        <f>IFERROR(INDEX('11_PRODUSE'!$B$5:$B$104,MATCH($E738,'11_PRODUSE'!$A$5:$A$104,0)),"")</f>
        <v/>
      </c>
      <c r="O738" s="13" t="n"/>
      <c r="P738" s="13" t="n"/>
    </row>
    <row r="739">
      <c r="A739" s="35" t="n"/>
      <c r="B739" s="39">
        <f>IF($A739="","",YEAR($A739)&amp;"-"&amp;RIGHT("0"&amp;MONTH($A739),2))</f>
        <v/>
      </c>
      <c r="C739" s="13" t="n"/>
      <c r="D739" s="13" t="n"/>
      <c r="E739" s="13" t="n"/>
      <c r="F739" s="13" t="n"/>
      <c r="G739" s="40" t="n"/>
      <c r="H739" s="38" t="n"/>
      <c r="I739" s="38" t="n"/>
      <c r="J739" s="38" t="n"/>
      <c r="K739" s="24">
        <f>IF($H739="","",$H739-N($J739))</f>
        <v/>
      </c>
      <c r="L739" s="25">
        <f>IFERROR($K739/$H739,"")</f>
        <v/>
      </c>
      <c r="M739" s="39">
        <f>IFERROR(INDEX('10_CLIENTI'!$B$5:$B$204,MATCH($D739,'10_CLIENTI'!$A$5:$A$204,0)),"")</f>
        <v/>
      </c>
      <c r="N739" s="39">
        <f>IFERROR(INDEX('11_PRODUSE'!$B$5:$B$104,MATCH($E739,'11_PRODUSE'!$A$5:$A$104,0)),"")</f>
        <v/>
      </c>
      <c r="O739" s="13" t="n"/>
      <c r="P739" s="13" t="n"/>
    </row>
    <row r="740">
      <c r="A740" s="35" t="n"/>
      <c r="B740" s="39">
        <f>IF($A740="","",YEAR($A740)&amp;"-"&amp;RIGHT("0"&amp;MONTH($A740),2))</f>
        <v/>
      </c>
      <c r="C740" s="13" t="n"/>
      <c r="D740" s="13" t="n"/>
      <c r="E740" s="13" t="n"/>
      <c r="F740" s="13" t="n"/>
      <c r="G740" s="40" t="n"/>
      <c r="H740" s="38" t="n"/>
      <c r="I740" s="38" t="n"/>
      <c r="J740" s="38" t="n"/>
      <c r="K740" s="24">
        <f>IF($H740="","",$H740-N($J740))</f>
        <v/>
      </c>
      <c r="L740" s="25">
        <f>IFERROR($K740/$H740,"")</f>
        <v/>
      </c>
      <c r="M740" s="39">
        <f>IFERROR(INDEX('10_CLIENTI'!$B$5:$B$204,MATCH($D740,'10_CLIENTI'!$A$5:$A$204,0)),"")</f>
        <v/>
      </c>
      <c r="N740" s="39">
        <f>IFERROR(INDEX('11_PRODUSE'!$B$5:$B$104,MATCH($E740,'11_PRODUSE'!$A$5:$A$104,0)),"")</f>
        <v/>
      </c>
      <c r="O740" s="13" t="n"/>
      <c r="P740" s="13" t="n"/>
    </row>
    <row r="741">
      <c r="A741" s="35" t="n"/>
      <c r="B741" s="39">
        <f>IF($A741="","",YEAR($A741)&amp;"-"&amp;RIGHT("0"&amp;MONTH($A741),2))</f>
        <v/>
      </c>
      <c r="C741" s="13" t="n"/>
      <c r="D741" s="13" t="n"/>
      <c r="E741" s="13" t="n"/>
      <c r="F741" s="13" t="n"/>
      <c r="G741" s="40" t="n"/>
      <c r="H741" s="38" t="n"/>
      <c r="I741" s="38" t="n"/>
      <c r="J741" s="38" t="n"/>
      <c r="K741" s="24">
        <f>IF($H741="","",$H741-N($J741))</f>
        <v/>
      </c>
      <c r="L741" s="25">
        <f>IFERROR($K741/$H741,"")</f>
        <v/>
      </c>
      <c r="M741" s="39">
        <f>IFERROR(INDEX('10_CLIENTI'!$B$5:$B$204,MATCH($D741,'10_CLIENTI'!$A$5:$A$204,0)),"")</f>
        <v/>
      </c>
      <c r="N741" s="39">
        <f>IFERROR(INDEX('11_PRODUSE'!$B$5:$B$104,MATCH($E741,'11_PRODUSE'!$A$5:$A$104,0)),"")</f>
        <v/>
      </c>
      <c r="O741" s="13" t="n"/>
      <c r="P741" s="13" t="n"/>
    </row>
    <row r="742">
      <c r="A742" s="35" t="n"/>
      <c r="B742" s="39">
        <f>IF($A742="","",YEAR($A742)&amp;"-"&amp;RIGHT("0"&amp;MONTH($A742),2))</f>
        <v/>
      </c>
      <c r="C742" s="13" t="n"/>
      <c r="D742" s="13" t="n"/>
      <c r="E742" s="13" t="n"/>
      <c r="F742" s="13" t="n"/>
      <c r="G742" s="40" t="n"/>
      <c r="H742" s="38" t="n"/>
      <c r="I742" s="38" t="n"/>
      <c r="J742" s="38" t="n"/>
      <c r="K742" s="24">
        <f>IF($H742="","",$H742-N($J742))</f>
        <v/>
      </c>
      <c r="L742" s="25">
        <f>IFERROR($K742/$H742,"")</f>
        <v/>
      </c>
      <c r="M742" s="39">
        <f>IFERROR(INDEX('10_CLIENTI'!$B$5:$B$204,MATCH($D742,'10_CLIENTI'!$A$5:$A$204,0)),"")</f>
        <v/>
      </c>
      <c r="N742" s="39">
        <f>IFERROR(INDEX('11_PRODUSE'!$B$5:$B$104,MATCH($E742,'11_PRODUSE'!$A$5:$A$104,0)),"")</f>
        <v/>
      </c>
      <c r="O742" s="13" t="n"/>
      <c r="P742" s="13" t="n"/>
    </row>
    <row r="743">
      <c r="A743" s="35" t="n"/>
      <c r="B743" s="39">
        <f>IF($A743="","",YEAR($A743)&amp;"-"&amp;RIGHT("0"&amp;MONTH($A743),2))</f>
        <v/>
      </c>
      <c r="C743" s="13" t="n"/>
      <c r="D743" s="13" t="n"/>
      <c r="E743" s="13" t="n"/>
      <c r="F743" s="13" t="n"/>
      <c r="G743" s="40" t="n"/>
      <c r="H743" s="38" t="n"/>
      <c r="I743" s="38" t="n"/>
      <c r="J743" s="38" t="n"/>
      <c r="K743" s="24">
        <f>IF($H743="","",$H743-N($J743))</f>
        <v/>
      </c>
      <c r="L743" s="25">
        <f>IFERROR($K743/$H743,"")</f>
        <v/>
      </c>
      <c r="M743" s="39">
        <f>IFERROR(INDEX('10_CLIENTI'!$B$5:$B$204,MATCH($D743,'10_CLIENTI'!$A$5:$A$204,0)),"")</f>
        <v/>
      </c>
      <c r="N743" s="39">
        <f>IFERROR(INDEX('11_PRODUSE'!$B$5:$B$104,MATCH($E743,'11_PRODUSE'!$A$5:$A$104,0)),"")</f>
        <v/>
      </c>
      <c r="O743" s="13" t="n"/>
      <c r="P743" s="13" t="n"/>
    </row>
    <row r="744">
      <c r="A744" s="35" t="n"/>
      <c r="B744" s="39">
        <f>IF($A744="","",YEAR($A744)&amp;"-"&amp;RIGHT("0"&amp;MONTH($A744),2))</f>
        <v/>
      </c>
      <c r="C744" s="13" t="n"/>
      <c r="D744" s="13" t="n"/>
      <c r="E744" s="13" t="n"/>
      <c r="F744" s="13" t="n"/>
      <c r="G744" s="40" t="n"/>
      <c r="H744" s="38" t="n"/>
      <c r="I744" s="38" t="n"/>
      <c r="J744" s="38" t="n"/>
      <c r="K744" s="24">
        <f>IF($H744="","",$H744-N($J744))</f>
        <v/>
      </c>
      <c r="L744" s="25">
        <f>IFERROR($K744/$H744,"")</f>
        <v/>
      </c>
      <c r="M744" s="39">
        <f>IFERROR(INDEX('10_CLIENTI'!$B$5:$B$204,MATCH($D744,'10_CLIENTI'!$A$5:$A$204,0)),"")</f>
        <v/>
      </c>
      <c r="N744" s="39">
        <f>IFERROR(INDEX('11_PRODUSE'!$B$5:$B$104,MATCH($E744,'11_PRODUSE'!$A$5:$A$104,0)),"")</f>
        <v/>
      </c>
      <c r="O744" s="13" t="n"/>
      <c r="P744" s="13" t="n"/>
    </row>
    <row r="745">
      <c r="A745" s="35" t="n"/>
      <c r="B745" s="39">
        <f>IF($A745="","",YEAR($A745)&amp;"-"&amp;RIGHT("0"&amp;MONTH($A745),2))</f>
        <v/>
      </c>
      <c r="C745" s="13" t="n"/>
      <c r="D745" s="13" t="n"/>
      <c r="E745" s="13" t="n"/>
      <c r="F745" s="13" t="n"/>
      <c r="G745" s="40" t="n"/>
      <c r="H745" s="38" t="n"/>
      <c r="I745" s="38" t="n"/>
      <c r="J745" s="38" t="n"/>
      <c r="K745" s="24">
        <f>IF($H745="","",$H745-N($J745))</f>
        <v/>
      </c>
      <c r="L745" s="25">
        <f>IFERROR($K745/$H745,"")</f>
        <v/>
      </c>
      <c r="M745" s="39">
        <f>IFERROR(INDEX('10_CLIENTI'!$B$5:$B$204,MATCH($D745,'10_CLIENTI'!$A$5:$A$204,0)),"")</f>
        <v/>
      </c>
      <c r="N745" s="39">
        <f>IFERROR(INDEX('11_PRODUSE'!$B$5:$B$104,MATCH($E745,'11_PRODUSE'!$A$5:$A$104,0)),"")</f>
        <v/>
      </c>
      <c r="O745" s="13" t="n"/>
      <c r="P745" s="13" t="n"/>
    </row>
    <row r="746">
      <c r="A746" s="35" t="n"/>
      <c r="B746" s="39">
        <f>IF($A746="","",YEAR($A746)&amp;"-"&amp;RIGHT("0"&amp;MONTH($A746),2))</f>
        <v/>
      </c>
      <c r="C746" s="13" t="n"/>
      <c r="D746" s="13" t="n"/>
      <c r="E746" s="13" t="n"/>
      <c r="F746" s="13" t="n"/>
      <c r="G746" s="40" t="n"/>
      <c r="H746" s="38" t="n"/>
      <c r="I746" s="38" t="n"/>
      <c r="J746" s="38" t="n"/>
      <c r="K746" s="24">
        <f>IF($H746="","",$H746-N($J746))</f>
        <v/>
      </c>
      <c r="L746" s="25">
        <f>IFERROR($K746/$H746,"")</f>
        <v/>
      </c>
      <c r="M746" s="39">
        <f>IFERROR(INDEX('10_CLIENTI'!$B$5:$B$204,MATCH($D746,'10_CLIENTI'!$A$5:$A$204,0)),"")</f>
        <v/>
      </c>
      <c r="N746" s="39">
        <f>IFERROR(INDEX('11_PRODUSE'!$B$5:$B$104,MATCH($E746,'11_PRODUSE'!$A$5:$A$104,0)),"")</f>
        <v/>
      </c>
      <c r="O746" s="13" t="n"/>
      <c r="P746" s="13" t="n"/>
    </row>
    <row r="747">
      <c r="A747" s="35" t="n"/>
      <c r="B747" s="39">
        <f>IF($A747="","",YEAR($A747)&amp;"-"&amp;RIGHT("0"&amp;MONTH($A747),2))</f>
        <v/>
      </c>
      <c r="C747" s="13" t="n"/>
      <c r="D747" s="13" t="n"/>
      <c r="E747" s="13" t="n"/>
      <c r="F747" s="13" t="n"/>
      <c r="G747" s="40" t="n"/>
      <c r="H747" s="38" t="n"/>
      <c r="I747" s="38" t="n"/>
      <c r="J747" s="38" t="n"/>
      <c r="K747" s="24">
        <f>IF($H747="","",$H747-N($J747))</f>
        <v/>
      </c>
      <c r="L747" s="25">
        <f>IFERROR($K747/$H747,"")</f>
        <v/>
      </c>
      <c r="M747" s="39">
        <f>IFERROR(INDEX('10_CLIENTI'!$B$5:$B$204,MATCH($D747,'10_CLIENTI'!$A$5:$A$204,0)),"")</f>
        <v/>
      </c>
      <c r="N747" s="39">
        <f>IFERROR(INDEX('11_PRODUSE'!$B$5:$B$104,MATCH($E747,'11_PRODUSE'!$A$5:$A$104,0)),"")</f>
        <v/>
      </c>
      <c r="O747" s="13" t="n"/>
      <c r="P747" s="13" t="n"/>
    </row>
    <row r="748">
      <c r="A748" s="35" t="n"/>
      <c r="B748" s="39">
        <f>IF($A748="","",YEAR($A748)&amp;"-"&amp;RIGHT("0"&amp;MONTH($A748),2))</f>
        <v/>
      </c>
      <c r="C748" s="13" t="n"/>
      <c r="D748" s="13" t="n"/>
      <c r="E748" s="13" t="n"/>
      <c r="F748" s="13" t="n"/>
      <c r="G748" s="40" t="n"/>
      <c r="H748" s="38" t="n"/>
      <c r="I748" s="38" t="n"/>
      <c r="J748" s="38" t="n"/>
      <c r="K748" s="24">
        <f>IF($H748="","",$H748-N($J748))</f>
        <v/>
      </c>
      <c r="L748" s="25">
        <f>IFERROR($K748/$H748,"")</f>
        <v/>
      </c>
      <c r="M748" s="39">
        <f>IFERROR(INDEX('10_CLIENTI'!$B$5:$B$204,MATCH($D748,'10_CLIENTI'!$A$5:$A$204,0)),"")</f>
        <v/>
      </c>
      <c r="N748" s="39">
        <f>IFERROR(INDEX('11_PRODUSE'!$B$5:$B$104,MATCH($E748,'11_PRODUSE'!$A$5:$A$104,0)),"")</f>
        <v/>
      </c>
      <c r="O748" s="13" t="n"/>
      <c r="P748" s="13" t="n"/>
    </row>
    <row r="749">
      <c r="A749" s="35" t="n"/>
      <c r="B749" s="39">
        <f>IF($A749="","",YEAR($A749)&amp;"-"&amp;RIGHT("0"&amp;MONTH($A749),2))</f>
        <v/>
      </c>
      <c r="C749" s="13" t="n"/>
      <c r="D749" s="13" t="n"/>
      <c r="E749" s="13" t="n"/>
      <c r="F749" s="13" t="n"/>
      <c r="G749" s="40" t="n"/>
      <c r="H749" s="38" t="n"/>
      <c r="I749" s="38" t="n"/>
      <c r="J749" s="38" t="n"/>
      <c r="K749" s="24">
        <f>IF($H749="","",$H749-N($J749))</f>
        <v/>
      </c>
      <c r="L749" s="25">
        <f>IFERROR($K749/$H749,"")</f>
        <v/>
      </c>
      <c r="M749" s="39">
        <f>IFERROR(INDEX('10_CLIENTI'!$B$5:$B$204,MATCH($D749,'10_CLIENTI'!$A$5:$A$204,0)),"")</f>
        <v/>
      </c>
      <c r="N749" s="39">
        <f>IFERROR(INDEX('11_PRODUSE'!$B$5:$B$104,MATCH($E749,'11_PRODUSE'!$A$5:$A$104,0)),"")</f>
        <v/>
      </c>
      <c r="O749" s="13" t="n"/>
      <c r="P749" s="13" t="n"/>
    </row>
    <row r="750">
      <c r="A750" s="35" t="n"/>
      <c r="B750" s="39">
        <f>IF($A750="","",YEAR($A750)&amp;"-"&amp;RIGHT("0"&amp;MONTH($A750),2))</f>
        <v/>
      </c>
      <c r="C750" s="13" t="n"/>
      <c r="D750" s="13" t="n"/>
      <c r="E750" s="13" t="n"/>
      <c r="F750" s="13" t="n"/>
      <c r="G750" s="40" t="n"/>
      <c r="H750" s="38" t="n"/>
      <c r="I750" s="38" t="n"/>
      <c r="J750" s="38" t="n"/>
      <c r="K750" s="24">
        <f>IF($H750="","",$H750-N($J750))</f>
        <v/>
      </c>
      <c r="L750" s="25">
        <f>IFERROR($K750/$H750,"")</f>
        <v/>
      </c>
      <c r="M750" s="39">
        <f>IFERROR(INDEX('10_CLIENTI'!$B$5:$B$204,MATCH($D750,'10_CLIENTI'!$A$5:$A$204,0)),"")</f>
        <v/>
      </c>
      <c r="N750" s="39">
        <f>IFERROR(INDEX('11_PRODUSE'!$B$5:$B$104,MATCH($E750,'11_PRODUSE'!$A$5:$A$104,0)),"")</f>
        <v/>
      </c>
      <c r="O750" s="13" t="n"/>
      <c r="P750" s="13" t="n"/>
    </row>
    <row r="751">
      <c r="A751" s="35" t="n"/>
      <c r="B751" s="39">
        <f>IF($A751="","",YEAR($A751)&amp;"-"&amp;RIGHT("0"&amp;MONTH($A751),2))</f>
        <v/>
      </c>
      <c r="C751" s="13" t="n"/>
      <c r="D751" s="13" t="n"/>
      <c r="E751" s="13" t="n"/>
      <c r="F751" s="13" t="n"/>
      <c r="G751" s="40" t="n"/>
      <c r="H751" s="38" t="n"/>
      <c r="I751" s="38" t="n"/>
      <c r="J751" s="38" t="n"/>
      <c r="K751" s="24">
        <f>IF($H751="","",$H751-N($J751))</f>
        <v/>
      </c>
      <c r="L751" s="25">
        <f>IFERROR($K751/$H751,"")</f>
        <v/>
      </c>
      <c r="M751" s="39">
        <f>IFERROR(INDEX('10_CLIENTI'!$B$5:$B$204,MATCH($D751,'10_CLIENTI'!$A$5:$A$204,0)),"")</f>
        <v/>
      </c>
      <c r="N751" s="39">
        <f>IFERROR(INDEX('11_PRODUSE'!$B$5:$B$104,MATCH($E751,'11_PRODUSE'!$A$5:$A$104,0)),"")</f>
        <v/>
      </c>
      <c r="O751" s="13" t="n"/>
      <c r="P751" s="13" t="n"/>
    </row>
    <row r="752">
      <c r="A752" s="35" t="n"/>
      <c r="B752" s="39">
        <f>IF($A752="","",YEAR($A752)&amp;"-"&amp;RIGHT("0"&amp;MONTH($A752),2))</f>
        <v/>
      </c>
      <c r="C752" s="13" t="n"/>
      <c r="D752" s="13" t="n"/>
      <c r="E752" s="13" t="n"/>
      <c r="F752" s="13" t="n"/>
      <c r="G752" s="40" t="n"/>
      <c r="H752" s="38" t="n"/>
      <c r="I752" s="38" t="n"/>
      <c r="J752" s="38" t="n"/>
      <c r="K752" s="24">
        <f>IF($H752="","",$H752-N($J752))</f>
        <v/>
      </c>
      <c r="L752" s="25">
        <f>IFERROR($K752/$H752,"")</f>
        <v/>
      </c>
      <c r="M752" s="39">
        <f>IFERROR(INDEX('10_CLIENTI'!$B$5:$B$204,MATCH($D752,'10_CLIENTI'!$A$5:$A$204,0)),"")</f>
        <v/>
      </c>
      <c r="N752" s="39">
        <f>IFERROR(INDEX('11_PRODUSE'!$B$5:$B$104,MATCH($E752,'11_PRODUSE'!$A$5:$A$104,0)),"")</f>
        <v/>
      </c>
      <c r="O752" s="13" t="n"/>
      <c r="P752" s="13" t="n"/>
    </row>
    <row r="753">
      <c r="A753" s="35" t="n"/>
      <c r="B753" s="39">
        <f>IF($A753="","",YEAR($A753)&amp;"-"&amp;RIGHT("0"&amp;MONTH($A753),2))</f>
        <v/>
      </c>
      <c r="C753" s="13" t="n"/>
      <c r="D753" s="13" t="n"/>
      <c r="E753" s="13" t="n"/>
      <c r="F753" s="13" t="n"/>
      <c r="G753" s="40" t="n"/>
      <c r="H753" s="38" t="n"/>
      <c r="I753" s="38" t="n"/>
      <c r="J753" s="38" t="n"/>
      <c r="K753" s="24">
        <f>IF($H753="","",$H753-N($J753))</f>
        <v/>
      </c>
      <c r="L753" s="25">
        <f>IFERROR($K753/$H753,"")</f>
        <v/>
      </c>
      <c r="M753" s="39">
        <f>IFERROR(INDEX('10_CLIENTI'!$B$5:$B$204,MATCH($D753,'10_CLIENTI'!$A$5:$A$204,0)),"")</f>
        <v/>
      </c>
      <c r="N753" s="39">
        <f>IFERROR(INDEX('11_PRODUSE'!$B$5:$B$104,MATCH($E753,'11_PRODUSE'!$A$5:$A$104,0)),"")</f>
        <v/>
      </c>
      <c r="O753" s="13" t="n"/>
      <c r="P753" s="13" t="n"/>
    </row>
    <row r="754">
      <c r="A754" s="35" t="n"/>
      <c r="B754" s="39">
        <f>IF($A754="","",YEAR($A754)&amp;"-"&amp;RIGHT("0"&amp;MONTH($A754),2))</f>
        <v/>
      </c>
      <c r="C754" s="13" t="n"/>
      <c r="D754" s="13" t="n"/>
      <c r="E754" s="13" t="n"/>
      <c r="F754" s="13" t="n"/>
      <c r="G754" s="40" t="n"/>
      <c r="H754" s="38" t="n"/>
      <c r="I754" s="38" t="n"/>
      <c r="J754" s="38" t="n"/>
      <c r="K754" s="24">
        <f>IF($H754="","",$H754-N($J754))</f>
        <v/>
      </c>
      <c r="L754" s="25">
        <f>IFERROR($K754/$H754,"")</f>
        <v/>
      </c>
      <c r="M754" s="39">
        <f>IFERROR(INDEX('10_CLIENTI'!$B$5:$B$204,MATCH($D754,'10_CLIENTI'!$A$5:$A$204,0)),"")</f>
        <v/>
      </c>
      <c r="N754" s="39">
        <f>IFERROR(INDEX('11_PRODUSE'!$B$5:$B$104,MATCH($E754,'11_PRODUSE'!$A$5:$A$104,0)),"")</f>
        <v/>
      </c>
      <c r="O754" s="13" t="n"/>
      <c r="P754" s="13" t="n"/>
    </row>
    <row r="755">
      <c r="A755" s="35" t="n"/>
      <c r="B755" s="39">
        <f>IF($A755="","",YEAR($A755)&amp;"-"&amp;RIGHT("0"&amp;MONTH($A755),2))</f>
        <v/>
      </c>
      <c r="C755" s="13" t="n"/>
      <c r="D755" s="13" t="n"/>
      <c r="E755" s="13" t="n"/>
      <c r="F755" s="13" t="n"/>
      <c r="G755" s="40" t="n"/>
      <c r="H755" s="38" t="n"/>
      <c r="I755" s="38" t="n"/>
      <c r="J755" s="38" t="n"/>
      <c r="K755" s="24">
        <f>IF($H755="","",$H755-N($J755))</f>
        <v/>
      </c>
      <c r="L755" s="25">
        <f>IFERROR($K755/$H755,"")</f>
        <v/>
      </c>
      <c r="M755" s="39">
        <f>IFERROR(INDEX('10_CLIENTI'!$B$5:$B$204,MATCH($D755,'10_CLIENTI'!$A$5:$A$204,0)),"")</f>
        <v/>
      </c>
      <c r="N755" s="39">
        <f>IFERROR(INDEX('11_PRODUSE'!$B$5:$B$104,MATCH($E755,'11_PRODUSE'!$A$5:$A$104,0)),"")</f>
        <v/>
      </c>
      <c r="O755" s="13" t="n"/>
      <c r="P755" s="13" t="n"/>
    </row>
    <row r="756">
      <c r="A756" s="35" t="n"/>
      <c r="B756" s="39">
        <f>IF($A756="","",YEAR($A756)&amp;"-"&amp;RIGHT("0"&amp;MONTH($A756),2))</f>
        <v/>
      </c>
      <c r="C756" s="13" t="n"/>
      <c r="D756" s="13" t="n"/>
      <c r="E756" s="13" t="n"/>
      <c r="F756" s="13" t="n"/>
      <c r="G756" s="40" t="n"/>
      <c r="H756" s="38" t="n"/>
      <c r="I756" s="38" t="n"/>
      <c r="J756" s="38" t="n"/>
      <c r="K756" s="24">
        <f>IF($H756="","",$H756-N($J756))</f>
        <v/>
      </c>
      <c r="L756" s="25">
        <f>IFERROR($K756/$H756,"")</f>
        <v/>
      </c>
      <c r="M756" s="39">
        <f>IFERROR(INDEX('10_CLIENTI'!$B$5:$B$204,MATCH($D756,'10_CLIENTI'!$A$5:$A$204,0)),"")</f>
        <v/>
      </c>
      <c r="N756" s="39">
        <f>IFERROR(INDEX('11_PRODUSE'!$B$5:$B$104,MATCH($E756,'11_PRODUSE'!$A$5:$A$104,0)),"")</f>
        <v/>
      </c>
      <c r="O756" s="13" t="n"/>
      <c r="P756" s="13" t="n"/>
    </row>
    <row r="757">
      <c r="A757" s="35" t="n"/>
      <c r="B757" s="39">
        <f>IF($A757="","",YEAR($A757)&amp;"-"&amp;RIGHT("0"&amp;MONTH($A757),2))</f>
        <v/>
      </c>
      <c r="C757" s="13" t="n"/>
      <c r="D757" s="13" t="n"/>
      <c r="E757" s="13" t="n"/>
      <c r="F757" s="13" t="n"/>
      <c r="G757" s="40" t="n"/>
      <c r="H757" s="38" t="n"/>
      <c r="I757" s="38" t="n"/>
      <c r="J757" s="38" t="n"/>
      <c r="K757" s="24">
        <f>IF($H757="","",$H757-N($J757))</f>
        <v/>
      </c>
      <c r="L757" s="25">
        <f>IFERROR($K757/$H757,"")</f>
        <v/>
      </c>
      <c r="M757" s="39">
        <f>IFERROR(INDEX('10_CLIENTI'!$B$5:$B$204,MATCH($D757,'10_CLIENTI'!$A$5:$A$204,0)),"")</f>
        <v/>
      </c>
      <c r="N757" s="39">
        <f>IFERROR(INDEX('11_PRODUSE'!$B$5:$B$104,MATCH($E757,'11_PRODUSE'!$A$5:$A$104,0)),"")</f>
        <v/>
      </c>
      <c r="O757" s="13" t="n"/>
      <c r="P757" s="13" t="n"/>
    </row>
    <row r="758">
      <c r="A758" s="35" t="n"/>
      <c r="B758" s="39">
        <f>IF($A758="","",YEAR($A758)&amp;"-"&amp;RIGHT("0"&amp;MONTH($A758),2))</f>
        <v/>
      </c>
      <c r="C758" s="13" t="n"/>
      <c r="D758" s="13" t="n"/>
      <c r="E758" s="13" t="n"/>
      <c r="F758" s="13" t="n"/>
      <c r="G758" s="40" t="n"/>
      <c r="H758" s="38" t="n"/>
      <c r="I758" s="38" t="n"/>
      <c r="J758" s="38" t="n"/>
      <c r="K758" s="24">
        <f>IF($H758="","",$H758-N($J758))</f>
        <v/>
      </c>
      <c r="L758" s="25">
        <f>IFERROR($K758/$H758,"")</f>
        <v/>
      </c>
      <c r="M758" s="39">
        <f>IFERROR(INDEX('10_CLIENTI'!$B$5:$B$204,MATCH($D758,'10_CLIENTI'!$A$5:$A$204,0)),"")</f>
        <v/>
      </c>
      <c r="N758" s="39">
        <f>IFERROR(INDEX('11_PRODUSE'!$B$5:$B$104,MATCH($E758,'11_PRODUSE'!$A$5:$A$104,0)),"")</f>
        <v/>
      </c>
      <c r="O758" s="13" t="n"/>
      <c r="P758" s="13" t="n"/>
    </row>
    <row r="759">
      <c r="A759" s="35" t="n"/>
      <c r="B759" s="39">
        <f>IF($A759="","",YEAR($A759)&amp;"-"&amp;RIGHT("0"&amp;MONTH($A759),2))</f>
        <v/>
      </c>
      <c r="C759" s="13" t="n"/>
      <c r="D759" s="13" t="n"/>
      <c r="E759" s="13" t="n"/>
      <c r="F759" s="13" t="n"/>
      <c r="G759" s="40" t="n"/>
      <c r="H759" s="38" t="n"/>
      <c r="I759" s="38" t="n"/>
      <c r="J759" s="38" t="n"/>
      <c r="K759" s="24">
        <f>IF($H759="","",$H759-N($J759))</f>
        <v/>
      </c>
      <c r="L759" s="25">
        <f>IFERROR($K759/$H759,"")</f>
        <v/>
      </c>
      <c r="M759" s="39">
        <f>IFERROR(INDEX('10_CLIENTI'!$B$5:$B$204,MATCH($D759,'10_CLIENTI'!$A$5:$A$204,0)),"")</f>
        <v/>
      </c>
      <c r="N759" s="39">
        <f>IFERROR(INDEX('11_PRODUSE'!$B$5:$B$104,MATCH($E759,'11_PRODUSE'!$A$5:$A$104,0)),"")</f>
        <v/>
      </c>
      <c r="O759" s="13" t="n"/>
      <c r="P759" s="13" t="n"/>
    </row>
    <row r="760">
      <c r="A760" s="35" t="n"/>
      <c r="B760" s="39">
        <f>IF($A760="","",YEAR($A760)&amp;"-"&amp;RIGHT("0"&amp;MONTH($A760),2))</f>
        <v/>
      </c>
      <c r="C760" s="13" t="n"/>
      <c r="D760" s="13" t="n"/>
      <c r="E760" s="13" t="n"/>
      <c r="F760" s="13" t="n"/>
      <c r="G760" s="40" t="n"/>
      <c r="H760" s="38" t="n"/>
      <c r="I760" s="38" t="n"/>
      <c r="J760" s="38" t="n"/>
      <c r="K760" s="24">
        <f>IF($H760="","",$H760-N($J760))</f>
        <v/>
      </c>
      <c r="L760" s="25">
        <f>IFERROR($K760/$H760,"")</f>
        <v/>
      </c>
      <c r="M760" s="39">
        <f>IFERROR(INDEX('10_CLIENTI'!$B$5:$B$204,MATCH($D760,'10_CLIENTI'!$A$5:$A$204,0)),"")</f>
        <v/>
      </c>
      <c r="N760" s="39">
        <f>IFERROR(INDEX('11_PRODUSE'!$B$5:$B$104,MATCH($E760,'11_PRODUSE'!$A$5:$A$104,0)),"")</f>
        <v/>
      </c>
      <c r="O760" s="13" t="n"/>
      <c r="P760" s="13" t="n"/>
    </row>
    <row r="761">
      <c r="A761" s="35" t="n"/>
      <c r="B761" s="39">
        <f>IF($A761="","",YEAR($A761)&amp;"-"&amp;RIGHT("0"&amp;MONTH($A761),2))</f>
        <v/>
      </c>
      <c r="C761" s="13" t="n"/>
      <c r="D761" s="13" t="n"/>
      <c r="E761" s="13" t="n"/>
      <c r="F761" s="13" t="n"/>
      <c r="G761" s="40" t="n"/>
      <c r="H761" s="38" t="n"/>
      <c r="I761" s="38" t="n"/>
      <c r="J761" s="38" t="n"/>
      <c r="K761" s="24">
        <f>IF($H761="","",$H761-N($J761))</f>
        <v/>
      </c>
      <c r="L761" s="25">
        <f>IFERROR($K761/$H761,"")</f>
        <v/>
      </c>
      <c r="M761" s="39">
        <f>IFERROR(INDEX('10_CLIENTI'!$B$5:$B$204,MATCH($D761,'10_CLIENTI'!$A$5:$A$204,0)),"")</f>
        <v/>
      </c>
      <c r="N761" s="39">
        <f>IFERROR(INDEX('11_PRODUSE'!$B$5:$B$104,MATCH($E761,'11_PRODUSE'!$A$5:$A$104,0)),"")</f>
        <v/>
      </c>
      <c r="O761" s="13" t="n"/>
      <c r="P761" s="13" t="n"/>
    </row>
    <row r="762">
      <c r="A762" s="35" t="n"/>
      <c r="B762" s="39">
        <f>IF($A762="","",YEAR($A762)&amp;"-"&amp;RIGHT("0"&amp;MONTH($A762),2))</f>
        <v/>
      </c>
      <c r="C762" s="13" t="n"/>
      <c r="D762" s="13" t="n"/>
      <c r="E762" s="13" t="n"/>
      <c r="F762" s="13" t="n"/>
      <c r="G762" s="40" t="n"/>
      <c r="H762" s="38" t="n"/>
      <c r="I762" s="38" t="n"/>
      <c r="J762" s="38" t="n"/>
      <c r="K762" s="24">
        <f>IF($H762="","",$H762-N($J762))</f>
        <v/>
      </c>
      <c r="L762" s="25">
        <f>IFERROR($K762/$H762,"")</f>
        <v/>
      </c>
      <c r="M762" s="39">
        <f>IFERROR(INDEX('10_CLIENTI'!$B$5:$B$204,MATCH($D762,'10_CLIENTI'!$A$5:$A$204,0)),"")</f>
        <v/>
      </c>
      <c r="N762" s="39">
        <f>IFERROR(INDEX('11_PRODUSE'!$B$5:$B$104,MATCH($E762,'11_PRODUSE'!$A$5:$A$104,0)),"")</f>
        <v/>
      </c>
      <c r="O762" s="13" t="n"/>
      <c r="P762" s="13" t="n"/>
    </row>
    <row r="763">
      <c r="A763" s="35" t="n"/>
      <c r="B763" s="39">
        <f>IF($A763="","",YEAR($A763)&amp;"-"&amp;RIGHT("0"&amp;MONTH($A763),2))</f>
        <v/>
      </c>
      <c r="C763" s="13" t="n"/>
      <c r="D763" s="13" t="n"/>
      <c r="E763" s="13" t="n"/>
      <c r="F763" s="13" t="n"/>
      <c r="G763" s="40" t="n"/>
      <c r="H763" s="38" t="n"/>
      <c r="I763" s="38" t="n"/>
      <c r="J763" s="38" t="n"/>
      <c r="K763" s="24">
        <f>IF($H763="","",$H763-N($J763))</f>
        <v/>
      </c>
      <c r="L763" s="25">
        <f>IFERROR($K763/$H763,"")</f>
        <v/>
      </c>
      <c r="M763" s="39">
        <f>IFERROR(INDEX('10_CLIENTI'!$B$5:$B$204,MATCH($D763,'10_CLIENTI'!$A$5:$A$204,0)),"")</f>
        <v/>
      </c>
      <c r="N763" s="39">
        <f>IFERROR(INDEX('11_PRODUSE'!$B$5:$B$104,MATCH($E763,'11_PRODUSE'!$A$5:$A$104,0)),"")</f>
        <v/>
      </c>
      <c r="O763" s="13" t="n"/>
      <c r="P763" s="13" t="n"/>
    </row>
    <row r="764">
      <c r="A764" s="35" t="n"/>
      <c r="B764" s="39">
        <f>IF($A764="","",YEAR($A764)&amp;"-"&amp;RIGHT("0"&amp;MONTH($A764),2))</f>
        <v/>
      </c>
      <c r="C764" s="13" t="n"/>
      <c r="D764" s="13" t="n"/>
      <c r="E764" s="13" t="n"/>
      <c r="F764" s="13" t="n"/>
      <c r="G764" s="40" t="n"/>
      <c r="H764" s="38" t="n"/>
      <c r="I764" s="38" t="n"/>
      <c r="J764" s="38" t="n"/>
      <c r="K764" s="24">
        <f>IF($H764="","",$H764-N($J764))</f>
        <v/>
      </c>
      <c r="L764" s="25">
        <f>IFERROR($K764/$H764,"")</f>
        <v/>
      </c>
      <c r="M764" s="39">
        <f>IFERROR(INDEX('10_CLIENTI'!$B$5:$B$204,MATCH($D764,'10_CLIENTI'!$A$5:$A$204,0)),"")</f>
        <v/>
      </c>
      <c r="N764" s="39">
        <f>IFERROR(INDEX('11_PRODUSE'!$B$5:$B$104,MATCH($E764,'11_PRODUSE'!$A$5:$A$104,0)),"")</f>
        <v/>
      </c>
      <c r="O764" s="13" t="n"/>
      <c r="P764" s="13" t="n"/>
    </row>
    <row r="765">
      <c r="A765" s="35" t="n"/>
      <c r="B765" s="39">
        <f>IF($A765="","",YEAR($A765)&amp;"-"&amp;RIGHT("0"&amp;MONTH($A765),2))</f>
        <v/>
      </c>
      <c r="C765" s="13" t="n"/>
      <c r="D765" s="13" t="n"/>
      <c r="E765" s="13" t="n"/>
      <c r="F765" s="13" t="n"/>
      <c r="G765" s="40" t="n"/>
      <c r="H765" s="38" t="n"/>
      <c r="I765" s="38" t="n"/>
      <c r="J765" s="38" t="n"/>
      <c r="K765" s="24">
        <f>IF($H765="","",$H765-N($J765))</f>
        <v/>
      </c>
      <c r="L765" s="25">
        <f>IFERROR($K765/$H765,"")</f>
        <v/>
      </c>
      <c r="M765" s="39">
        <f>IFERROR(INDEX('10_CLIENTI'!$B$5:$B$204,MATCH($D765,'10_CLIENTI'!$A$5:$A$204,0)),"")</f>
        <v/>
      </c>
      <c r="N765" s="39">
        <f>IFERROR(INDEX('11_PRODUSE'!$B$5:$B$104,MATCH($E765,'11_PRODUSE'!$A$5:$A$104,0)),"")</f>
        <v/>
      </c>
      <c r="O765" s="13" t="n"/>
      <c r="P765" s="13" t="n"/>
    </row>
    <row r="766">
      <c r="A766" s="35" t="n"/>
      <c r="B766" s="39">
        <f>IF($A766="","",YEAR($A766)&amp;"-"&amp;RIGHT("0"&amp;MONTH($A766),2))</f>
        <v/>
      </c>
      <c r="C766" s="13" t="n"/>
      <c r="D766" s="13" t="n"/>
      <c r="E766" s="13" t="n"/>
      <c r="F766" s="13" t="n"/>
      <c r="G766" s="40" t="n"/>
      <c r="H766" s="38" t="n"/>
      <c r="I766" s="38" t="n"/>
      <c r="J766" s="38" t="n"/>
      <c r="K766" s="24">
        <f>IF($H766="","",$H766-N($J766))</f>
        <v/>
      </c>
      <c r="L766" s="25">
        <f>IFERROR($K766/$H766,"")</f>
        <v/>
      </c>
      <c r="M766" s="39">
        <f>IFERROR(INDEX('10_CLIENTI'!$B$5:$B$204,MATCH($D766,'10_CLIENTI'!$A$5:$A$204,0)),"")</f>
        <v/>
      </c>
      <c r="N766" s="39">
        <f>IFERROR(INDEX('11_PRODUSE'!$B$5:$B$104,MATCH($E766,'11_PRODUSE'!$A$5:$A$104,0)),"")</f>
        <v/>
      </c>
      <c r="O766" s="13" t="n"/>
      <c r="P766" s="13" t="n"/>
    </row>
    <row r="767">
      <c r="A767" s="35" t="n"/>
      <c r="B767" s="39">
        <f>IF($A767="","",YEAR($A767)&amp;"-"&amp;RIGHT("0"&amp;MONTH($A767),2))</f>
        <v/>
      </c>
      <c r="C767" s="13" t="n"/>
      <c r="D767" s="13" t="n"/>
      <c r="E767" s="13" t="n"/>
      <c r="F767" s="13" t="n"/>
      <c r="G767" s="40" t="n"/>
      <c r="H767" s="38" t="n"/>
      <c r="I767" s="38" t="n"/>
      <c r="J767" s="38" t="n"/>
      <c r="K767" s="24">
        <f>IF($H767="","",$H767-N($J767))</f>
        <v/>
      </c>
      <c r="L767" s="25">
        <f>IFERROR($K767/$H767,"")</f>
        <v/>
      </c>
      <c r="M767" s="39">
        <f>IFERROR(INDEX('10_CLIENTI'!$B$5:$B$204,MATCH($D767,'10_CLIENTI'!$A$5:$A$204,0)),"")</f>
        <v/>
      </c>
      <c r="N767" s="39">
        <f>IFERROR(INDEX('11_PRODUSE'!$B$5:$B$104,MATCH($E767,'11_PRODUSE'!$A$5:$A$104,0)),"")</f>
        <v/>
      </c>
      <c r="O767" s="13" t="n"/>
      <c r="P767" s="13" t="n"/>
    </row>
    <row r="768">
      <c r="A768" s="35" t="n"/>
      <c r="B768" s="39">
        <f>IF($A768="","",YEAR($A768)&amp;"-"&amp;RIGHT("0"&amp;MONTH($A768),2))</f>
        <v/>
      </c>
      <c r="C768" s="13" t="n"/>
      <c r="D768" s="13" t="n"/>
      <c r="E768" s="13" t="n"/>
      <c r="F768" s="13" t="n"/>
      <c r="G768" s="40" t="n"/>
      <c r="H768" s="38" t="n"/>
      <c r="I768" s="38" t="n"/>
      <c r="J768" s="38" t="n"/>
      <c r="K768" s="24">
        <f>IF($H768="","",$H768-N($J768))</f>
        <v/>
      </c>
      <c r="L768" s="25">
        <f>IFERROR($K768/$H768,"")</f>
        <v/>
      </c>
      <c r="M768" s="39">
        <f>IFERROR(INDEX('10_CLIENTI'!$B$5:$B$204,MATCH($D768,'10_CLIENTI'!$A$5:$A$204,0)),"")</f>
        <v/>
      </c>
      <c r="N768" s="39">
        <f>IFERROR(INDEX('11_PRODUSE'!$B$5:$B$104,MATCH($E768,'11_PRODUSE'!$A$5:$A$104,0)),"")</f>
        <v/>
      </c>
      <c r="O768" s="13" t="n"/>
      <c r="P768" s="13" t="n"/>
    </row>
    <row r="769">
      <c r="A769" s="35" t="n"/>
      <c r="B769" s="39">
        <f>IF($A769="","",YEAR($A769)&amp;"-"&amp;RIGHT("0"&amp;MONTH($A769),2))</f>
        <v/>
      </c>
      <c r="C769" s="13" t="n"/>
      <c r="D769" s="13" t="n"/>
      <c r="E769" s="13" t="n"/>
      <c r="F769" s="13" t="n"/>
      <c r="G769" s="40" t="n"/>
      <c r="H769" s="38" t="n"/>
      <c r="I769" s="38" t="n"/>
      <c r="J769" s="38" t="n"/>
      <c r="K769" s="24">
        <f>IF($H769="","",$H769-N($J769))</f>
        <v/>
      </c>
      <c r="L769" s="25">
        <f>IFERROR($K769/$H769,"")</f>
        <v/>
      </c>
      <c r="M769" s="39">
        <f>IFERROR(INDEX('10_CLIENTI'!$B$5:$B$204,MATCH($D769,'10_CLIENTI'!$A$5:$A$204,0)),"")</f>
        <v/>
      </c>
      <c r="N769" s="39">
        <f>IFERROR(INDEX('11_PRODUSE'!$B$5:$B$104,MATCH($E769,'11_PRODUSE'!$A$5:$A$104,0)),"")</f>
        <v/>
      </c>
      <c r="O769" s="13" t="n"/>
      <c r="P769" s="13" t="n"/>
    </row>
    <row r="770">
      <c r="A770" s="35" t="n"/>
      <c r="B770" s="39">
        <f>IF($A770="","",YEAR($A770)&amp;"-"&amp;RIGHT("0"&amp;MONTH($A770),2))</f>
        <v/>
      </c>
      <c r="C770" s="13" t="n"/>
      <c r="D770" s="13" t="n"/>
      <c r="E770" s="13" t="n"/>
      <c r="F770" s="13" t="n"/>
      <c r="G770" s="40" t="n"/>
      <c r="H770" s="38" t="n"/>
      <c r="I770" s="38" t="n"/>
      <c r="J770" s="38" t="n"/>
      <c r="K770" s="24">
        <f>IF($H770="","",$H770-N($J770))</f>
        <v/>
      </c>
      <c r="L770" s="25">
        <f>IFERROR($K770/$H770,"")</f>
        <v/>
      </c>
      <c r="M770" s="39">
        <f>IFERROR(INDEX('10_CLIENTI'!$B$5:$B$204,MATCH($D770,'10_CLIENTI'!$A$5:$A$204,0)),"")</f>
        <v/>
      </c>
      <c r="N770" s="39">
        <f>IFERROR(INDEX('11_PRODUSE'!$B$5:$B$104,MATCH($E770,'11_PRODUSE'!$A$5:$A$104,0)),"")</f>
        <v/>
      </c>
      <c r="O770" s="13" t="n"/>
      <c r="P770" s="13" t="n"/>
    </row>
    <row r="771">
      <c r="A771" s="35" t="n"/>
      <c r="B771" s="39">
        <f>IF($A771="","",YEAR($A771)&amp;"-"&amp;RIGHT("0"&amp;MONTH($A771),2))</f>
        <v/>
      </c>
      <c r="C771" s="13" t="n"/>
      <c r="D771" s="13" t="n"/>
      <c r="E771" s="13" t="n"/>
      <c r="F771" s="13" t="n"/>
      <c r="G771" s="40" t="n"/>
      <c r="H771" s="38" t="n"/>
      <c r="I771" s="38" t="n"/>
      <c r="J771" s="38" t="n"/>
      <c r="K771" s="24">
        <f>IF($H771="","",$H771-N($J771))</f>
        <v/>
      </c>
      <c r="L771" s="25">
        <f>IFERROR($K771/$H771,"")</f>
        <v/>
      </c>
      <c r="M771" s="39">
        <f>IFERROR(INDEX('10_CLIENTI'!$B$5:$B$204,MATCH($D771,'10_CLIENTI'!$A$5:$A$204,0)),"")</f>
        <v/>
      </c>
      <c r="N771" s="39">
        <f>IFERROR(INDEX('11_PRODUSE'!$B$5:$B$104,MATCH($E771,'11_PRODUSE'!$A$5:$A$104,0)),"")</f>
        <v/>
      </c>
      <c r="O771" s="13" t="n"/>
      <c r="P771" s="13" t="n"/>
    </row>
    <row r="772">
      <c r="A772" s="35" t="n"/>
      <c r="B772" s="39">
        <f>IF($A772="","",YEAR($A772)&amp;"-"&amp;RIGHT("0"&amp;MONTH($A772),2))</f>
        <v/>
      </c>
      <c r="C772" s="13" t="n"/>
      <c r="D772" s="13" t="n"/>
      <c r="E772" s="13" t="n"/>
      <c r="F772" s="13" t="n"/>
      <c r="G772" s="40" t="n"/>
      <c r="H772" s="38" t="n"/>
      <c r="I772" s="38" t="n"/>
      <c r="J772" s="38" t="n"/>
      <c r="K772" s="24">
        <f>IF($H772="","",$H772-N($J772))</f>
        <v/>
      </c>
      <c r="L772" s="25">
        <f>IFERROR($K772/$H772,"")</f>
        <v/>
      </c>
      <c r="M772" s="39">
        <f>IFERROR(INDEX('10_CLIENTI'!$B$5:$B$204,MATCH($D772,'10_CLIENTI'!$A$5:$A$204,0)),"")</f>
        <v/>
      </c>
      <c r="N772" s="39">
        <f>IFERROR(INDEX('11_PRODUSE'!$B$5:$B$104,MATCH($E772,'11_PRODUSE'!$A$5:$A$104,0)),"")</f>
        <v/>
      </c>
      <c r="O772" s="13" t="n"/>
      <c r="P772" s="13" t="n"/>
    </row>
    <row r="773">
      <c r="A773" s="35" t="n"/>
      <c r="B773" s="39">
        <f>IF($A773="","",YEAR($A773)&amp;"-"&amp;RIGHT("0"&amp;MONTH($A773),2))</f>
        <v/>
      </c>
      <c r="C773" s="13" t="n"/>
      <c r="D773" s="13" t="n"/>
      <c r="E773" s="13" t="n"/>
      <c r="F773" s="13" t="n"/>
      <c r="G773" s="40" t="n"/>
      <c r="H773" s="38" t="n"/>
      <c r="I773" s="38" t="n"/>
      <c r="J773" s="38" t="n"/>
      <c r="K773" s="24">
        <f>IF($H773="","",$H773-N($J773))</f>
        <v/>
      </c>
      <c r="L773" s="25">
        <f>IFERROR($K773/$H773,"")</f>
        <v/>
      </c>
      <c r="M773" s="39">
        <f>IFERROR(INDEX('10_CLIENTI'!$B$5:$B$204,MATCH($D773,'10_CLIENTI'!$A$5:$A$204,0)),"")</f>
        <v/>
      </c>
      <c r="N773" s="39">
        <f>IFERROR(INDEX('11_PRODUSE'!$B$5:$B$104,MATCH($E773,'11_PRODUSE'!$A$5:$A$104,0)),"")</f>
        <v/>
      </c>
      <c r="O773" s="13" t="n"/>
      <c r="P773" s="13" t="n"/>
    </row>
    <row r="774">
      <c r="A774" s="35" t="n"/>
      <c r="B774" s="39">
        <f>IF($A774="","",YEAR($A774)&amp;"-"&amp;RIGHT("0"&amp;MONTH($A774),2))</f>
        <v/>
      </c>
      <c r="C774" s="13" t="n"/>
      <c r="D774" s="13" t="n"/>
      <c r="E774" s="13" t="n"/>
      <c r="F774" s="13" t="n"/>
      <c r="G774" s="40" t="n"/>
      <c r="H774" s="38" t="n"/>
      <c r="I774" s="38" t="n"/>
      <c r="J774" s="38" t="n"/>
      <c r="K774" s="24">
        <f>IF($H774="","",$H774-N($J774))</f>
        <v/>
      </c>
      <c r="L774" s="25">
        <f>IFERROR($K774/$H774,"")</f>
        <v/>
      </c>
      <c r="M774" s="39">
        <f>IFERROR(INDEX('10_CLIENTI'!$B$5:$B$204,MATCH($D774,'10_CLIENTI'!$A$5:$A$204,0)),"")</f>
        <v/>
      </c>
      <c r="N774" s="39">
        <f>IFERROR(INDEX('11_PRODUSE'!$B$5:$B$104,MATCH($E774,'11_PRODUSE'!$A$5:$A$104,0)),"")</f>
        <v/>
      </c>
      <c r="O774" s="13" t="n"/>
      <c r="P774" s="13" t="n"/>
    </row>
    <row r="775">
      <c r="A775" s="35" t="n"/>
      <c r="B775" s="39">
        <f>IF($A775="","",YEAR($A775)&amp;"-"&amp;RIGHT("0"&amp;MONTH($A775),2))</f>
        <v/>
      </c>
      <c r="C775" s="13" t="n"/>
      <c r="D775" s="13" t="n"/>
      <c r="E775" s="13" t="n"/>
      <c r="F775" s="13" t="n"/>
      <c r="G775" s="40" t="n"/>
      <c r="H775" s="38" t="n"/>
      <c r="I775" s="38" t="n"/>
      <c r="J775" s="38" t="n"/>
      <c r="K775" s="24">
        <f>IF($H775="","",$H775-N($J775))</f>
        <v/>
      </c>
      <c r="L775" s="25">
        <f>IFERROR($K775/$H775,"")</f>
        <v/>
      </c>
      <c r="M775" s="39">
        <f>IFERROR(INDEX('10_CLIENTI'!$B$5:$B$204,MATCH($D775,'10_CLIENTI'!$A$5:$A$204,0)),"")</f>
        <v/>
      </c>
      <c r="N775" s="39">
        <f>IFERROR(INDEX('11_PRODUSE'!$B$5:$B$104,MATCH($E775,'11_PRODUSE'!$A$5:$A$104,0)),"")</f>
        <v/>
      </c>
      <c r="O775" s="13" t="n"/>
      <c r="P775" s="13" t="n"/>
    </row>
    <row r="776">
      <c r="A776" s="35" t="n"/>
      <c r="B776" s="39">
        <f>IF($A776="","",YEAR($A776)&amp;"-"&amp;RIGHT("0"&amp;MONTH($A776),2))</f>
        <v/>
      </c>
      <c r="C776" s="13" t="n"/>
      <c r="D776" s="13" t="n"/>
      <c r="E776" s="13" t="n"/>
      <c r="F776" s="13" t="n"/>
      <c r="G776" s="40" t="n"/>
      <c r="H776" s="38" t="n"/>
      <c r="I776" s="38" t="n"/>
      <c r="J776" s="38" t="n"/>
      <c r="K776" s="24">
        <f>IF($H776="","",$H776-N($J776))</f>
        <v/>
      </c>
      <c r="L776" s="25">
        <f>IFERROR($K776/$H776,"")</f>
        <v/>
      </c>
      <c r="M776" s="39">
        <f>IFERROR(INDEX('10_CLIENTI'!$B$5:$B$204,MATCH($D776,'10_CLIENTI'!$A$5:$A$204,0)),"")</f>
        <v/>
      </c>
      <c r="N776" s="39">
        <f>IFERROR(INDEX('11_PRODUSE'!$B$5:$B$104,MATCH($E776,'11_PRODUSE'!$A$5:$A$104,0)),"")</f>
        <v/>
      </c>
      <c r="O776" s="13" t="n"/>
      <c r="P776" s="13" t="n"/>
    </row>
    <row r="777">
      <c r="A777" s="35" t="n"/>
      <c r="B777" s="39">
        <f>IF($A777="","",YEAR($A777)&amp;"-"&amp;RIGHT("0"&amp;MONTH($A777),2))</f>
        <v/>
      </c>
      <c r="C777" s="13" t="n"/>
      <c r="D777" s="13" t="n"/>
      <c r="E777" s="13" t="n"/>
      <c r="F777" s="13" t="n"/>
      <c r="G777" s="40" t="n"/>
      <c r="H777" s="38" t="n"/>
      <c r="I777" s="38" t="n"/>
      <c r="J777" s="38" t="n"/>
      <c r="K777" s="24">
        <f>IF($H777="","",$H777-N($J777))</f>
        <v/>
      </c>
      <c r="L777" s="25">
        <f>IFERROR($K777/$H777,"")</f>
        <v/>
      </c>
      <c r="M777" s="39">
        <f>IFERROR(INDEX('10_CLIENTI'!$B$5:$B$204,MATCH($D777,'10_CLIENTI'!$A$5:$A$204,0)),"")</f>
        <v/>
      </c>
      <c r="N777" s="39">
        <f>IFERROR(INDEX('11_PRODUSE'!$B$5:$B$104,MATCH($E777,'11_PRODUSE'!$A$5:$A$104,0)),"")</f>
        <v/>
      </c>
      <c r="O777" s="13" t="n"/>
      <c r="P777" s="13" t="n"/>
    </row>
    <row r="778">
      <c r="A778" s="35" t="n"/>
      <c r="B778" s="39">
        <f>IF($A778="","",YEAR($A778)&amp;"-"&amp;RIGHT("0"&amp;MONTH($A778),2))</f>
        <v/>
      </c>
      <c r="C778" s="13" t="n"/>
      <c r="D778" s="13" t="n"/>
      <c r="E778" s="13" t="n"/>
      <c r="F778" s="13" t="n"/>
      <c r="G778" s="40" t="n"/>
      <c r="H778" s="38" t="n"/>
      <c r="I778" s="38" t="n"/>
      <c r="J778" s="38" t="n"/>
      <c r="K778" s="24">
        <f>IF($H778="","",$H778-N($J778))</f>
        <v/>
      </c>
      <c r="L778" s="25">
        <f>IFERROR($K778/$H778,"")</f>
        <v/>
      </c>
      <c r="M778" s="39">
        <f>IFERROR(INDEX('10_CLIENTI'!$B$5:$B$204,MATCH($D778,'10_CLIENTI'!$A$5:$A$204,0)),"")</f>
        <v/>
      </c>
      <c r="N778" s="39">
        <f>IFERROR(INDEX('11_PRODUSE'!$B$5:$B$104,MATCH($E778,'11_PRODUSE'!$A$5:$A$104,0)),"")</f>
        <v/>
      </c>
      <c r="O778" s="13" t="n"/>
      <c r="P778" s="13" t="n"/>
    </row>
    <row r="779">
      <c r="A779" s="35" t="n"/>
      <c r="B779" s="39">
        <f>IF($A779="","",YEAR($A779)&amp;"-"&amp;RIGHT("0"&amp;MONTH($A779),2))</f>
        <v/>
      </c>
      <c r="C779" s="13" t="n"/>
      <c r="D779" s="13" t="n"/>
      <c r="E779" s="13" t="n"/>
      <c r="F779" s="13" t="n"/>
      <c r="G779" s="40" t="n"/>
      <c r="H779" s="38" t="n"/>
      <c r="I779" s="38" t="n"/>
      <c r="J779" s="38" t="n"/>
      <c r="K779" s="24">
        <f>IF($H779="","",$H779-N($J779))</f>
        <v/>
      </c>
      <c r="L779" s="25">
        <f>IFERROR($K779/$H779,"")</f>
        <v/>
      </c>
      <c r="M779" s="39">
        <f>IFERROR(INDEX('10_CLIENTI'!$B$5:$B$204,MATCH($D779,'10_CLIENTI'!$A$5:$A$204,0)),"")</f>
        <v/>
      </c>
      <c r="N779" s="39">
        <f>IFERROR(INDEX('11_PRODUSE'!$B$5:$B$104,MATCH($E779,'11_PRODUSE'!$A$5:$A$104,0)),"")</f>
        <v/>
      </c>
      <c r="O779" s="13" t="n"/>
      <c r="P779" s="13" t="n"/>
    </row>
    <row r="780">
      <c r="A780" s="35" t="n"/>
      <c r="B780" s="39">
        <f>IF($A780="","",YEAR($A780)&amp;"-"&amp;RIGHT("0"&amp;MONTH($A780),2))</f>
        <v/>
      </c>
      <c r="C780" s="13" t="n"/>
      <c r="D780" s="13" t="n"/>
      <c r="E780" s="13" t="n"/>
      <c r="F780" s="13" t="n"/>
      <c r="G780" s="40" t="n"/>
      <c r="H780" s="38" t="n"/>
      <c r="I780" s="38" t="n"/>
      <c r="J780" s="38" t="n"/>
      <c r="K780" s="24">
        <f>IF($H780="","",$H780-N($J780))</f>
        <v/>
      </c>
      <c r="L780" s="25">
        <f>IFERROR($K780/$H780,"")</f>
        <v/>
      </c>
      <c r="M780" s="39">
        <f>IFERROR(INDEX('10_CLIENTI'!$B$5:$B$204,MATCH($D780,'10_CLIENTI'!$A$5:$A$204,0)),"")</f>
        <v/>
      </c>
      <c r="N780" s="39">
        <f>IFERROR(INDEX('11_PRODUSE'!$B$5:$B$104,MATCH($E780,'11_PRODUSE'!$A$5:$A$104,0)),"")</f>
        <v/>
      </c>
      <c r="O780" s="13" t="n"/>
      <c r="P780" s="13" t="n"/>
    </row>
    <row r="781">
      <c r="A781" s="35" t="n"/>
      <c r="B781" s="39">
        <f>IF($A781="","",YEAR($A781)&amp;"-"&amp;RIGHT("0"&amp;MONTH($A781),2))</f>
        <v/>
      </c>
      <c r="C781" s="13" t="n"/>
      <c r="D781" s="13" t="n"/>
      <c r="E781" s="13" t="n"/>
      <c r="F781" s="13" t="n"/>
      <c r="G781" s="40" t="n"/>
      <c r="H781" s="38" t="n"/>
      <c r="I781" s="38" t="n"/>
      <c r="J781" s="38" t="n"/>
      <c r="K781" s="24">
        <f>IF($H781="","",$H781-N($J781))</f>
        <v/>
      </c>
      <c r="L781" s="25">
        <f>IFERROR($K781/$H781,"")</f>
        <v/>
      </c>
      <c r="M781" s="39">
        <f>IFERROR(INDEX('10_CLIENTI'!$B$5:$B$204,MATCH($D781,'10_CLIENTI'!$A$5:$A$204,0)),"")</f>
        <v/>
      </c>
      <c r="N781" s="39">
        <f>IFERROR(INDEX('11_PRODUSE'!$B$5:$B$104,MATCH($E781,'11_PRODUSE'!$A$5:$A$104,0)),"")</f>
        <v/>
      </c>
      <c r="O781" s="13" t="n"/>
      <c r="P781" s="13" t="n"/>
    </row>
    <row r="782">
      <c r="A782" s="35" t="n"/>
      <c r="B782" s="39">
        <f>IF($A782="","",YEAR($A782)&amp;"-"&amp;RIGHT("0"&amp;MONTH($A782),2))</f>
        <v/>
      </c>
      <c r="C782" s="13" t="n"/>
      <c r="D782" s="13" t="n"/>
      <c r="E782" s="13" t="n"/>
      <c r="F782" s="13" t="n"/>
      <c r="G782" s="40" t="n"/>
      <c r="H782" s="38" t="n"/>
      <c r="I782" s="38" t="n"/>
      <c r="J782" s="38" t="n"/>
      <c r="K782" s="24">
        <f>IF($H782="","",$H782-N($J782))</f>
        <v/>
      </c>
      <c r="L782" s="25">
        <f>IFERROR($K782/$H782,"")</f>
        <v/>
      </c>
      <c r="M782" s="39">
        <f>IFERROR(INDEX('10_CLIENTI'!$B$5:$B$204,MATCH($D782,'10_CLIENTI'!$A$5:$A$204,0)),"")</f>
        <v/>
      </c>
      <c r="N782" s="39">
        <f>IFERROR(INDEX('11_PRODUSE'!$B$5:$B$104,MATCH($E782,'11_PRODUSE'!$A$5:$A$104,0)),"")</f>
        <v/>
      </c>
      <c r="O782" s="13" t="n"/>
      <c r="P782" s="13" t="n"/>
    </row>
    <row r="783">
      <c r="A783" s="35" t="n"/>
      <c r="B783" s="39">
        <f>IF($A783="","",YEAR($A783)&amp;"-"&amp;RIGHT("0"&amp;MONTH($A783),2))</f>
        <v/>
      </c>
      <c r="C783" s="13" t="n"/>
      <c r="D783" s="13" t="n"/>
      <c r="E783" s="13" t="n"/>
      <c r="F783" s="13" t="n"/>
      <c r="G783" s="40" t="n"/>
      <c r="H783" s="38" t="n"/>
      <c r="I783" s="38" t="n"/>
      <c r="J783" s="38" t="n"/>
      <c r="K783" s="24">
        <f>IF($H783="","",$H783-N($J783))</f>
        <v/>
      </c>
      <c r="L783" s="25">
        <f>IFERROR($K783/$H783,"")</f>
        <v/>
      </c>
      <c r="M783" s="39">
        <f>IFERROR(INDEX('10_CLIENTI'!$B$5:$B$204,MATCH($D783,'10_CLIENTI'!$A$5:$A$204,0)),"")</f>
        <v/>
      </c>
      <c r="N783" s="39">
        <f>IFERROR(INDEX('11_PRODUSE'!$B$5:$B$104,MATCH($E783,'11_PRODUSE'!$A$5:$A$104,0)),"")</f>
        <v/>
      </c>
      <c r="O783" s="13" t="n"/>
      <c r="P783" s="13" t="n"/>
    </row>
    <row r="784">
      <c r="A784" s="35" t="n"/>
      <c r="B784" s="39">
        <f>IF($A784="","",YEAR($A784)&amp;"-"&amp;RIGHT("0"&amp;MONTH($A784),2))</f>
        <v/>
      </c>
      <c r="C784" s="13" t="n"/>
      <c r="D784" s="13" t="n"/>
      <c r="E784" s="13" t="n"/>
      <c r="F784" s="13" t="n"/>
      <c r="G784" s="40" t="n"/>
      <c r="H784" s="38" t="n"/>
      <c r="I784" s="38" t="n"/>
      <c r="J784" s="38" t="n"/>
      <c r="K784" s="24">
        <f>IF($H784="","",$H784-N($J784))</f>
        <v/>
      </c>
      <c r="L784" s="25">
        <f>IFERROR($K784/$H784,"")</f>
        <v/>
      </c>
      <c r="M784" s="39">
        <f>IFERROR(INDEX('10_CLIENTI'!$B$5:$B$204,MATCH($D784,'10_CLIENTI'!$A$5:$A$204,0)),"")</f>
        <v/>
      </c>
      <c r="N784" s="39">
        <f>IFERROR(INDEX('11_PRODUSE'!$B$5:$B$104,MATCH($E784,'11_PRODUSE'!$A$5:$A$104,0)),"")</f>
        <v/>
      </c>
      <c r="O784" s="13" t="n"/>
      <c r="P784" s="13" t="n"/>
    </row>
    <row r="785">
      <c r="A785" s="35" t="n"/>
      <c r="B785" s="39">
        <f>IF($A785="","",YEAR($A785)&amp;"-"&amp;RIGHT("0"&amp;MONTH($A785),2))</f>
        <v/>
      </c>
      <c r="C785" s="13" t="n"/>
      <c r="D785" s="13" t="n"/>
      <c r="E785" s="13" t="n"/>
      <c r="F785" s="13" t="n"/>
      <c r="G785" s="40" t="n"/>
      <c r="H785" s="38" t="n"/>
      <c r="I785" s="38" t="n"/>
      <c r="J785" s="38" t="n"/>
      <c r="K785" s="24">
        <f>IF($H785="","",$H785-N($J785))</f>
        <v/>
      </c>
      <c r="L785" s="25">
        <f>IFERROR($K785/$H785,"")</f>
        <v/>
      </c>
      <c r="M785" s="39">
        <f>IFERROR(INDEX('10_CLIENTI'!$B$5:$B$204,MATCH($D785,'10_CLIENTI'!$A$5:$A$204,0)),"")</f>
        <v/>
      </c>
      <c r="N785" s="39">
        <f>IFERROR(INDEX('11_PRODUSE'!$B$5:$B$104,MATCH($E785,'11_PRODUSE'!$A$5:$A$104,0)),"")</f>
        <v/>
      </c>
      <c r="O785" s="13" t="n"/>
      <c r="P785" s="13" t="n"/>
    </row>
    <row r="786">
      <c r="A786" s="35" t="n"/>
      <c r="B786" s="39">
        <f>IF($A786="","",YEAR($A786)&amp;"-"&amp;RIGHT("0"&amp;MONTH($A786),2))</f>
        <v/>
      </c>
      <c r="C786" s="13" t="n"/>
      <c r="D786" s="13" t="n"/>
      <c r="E786" s="13" t="n"/>
      <c r="F786" s="13" t="n"/>
      <c r="G786" s="40" t="n"/>
      <c r="H786" s="38" t="n"/>
      <c r="I786" s="38" t="n"/>
      <c r="J786" s="38" t="n"/>
      <c r="K786" s="24">
        <f>IF($H786="","",$H786-N($J786))</f>
        <v/>
      </c>
      <c r="L786" s="25">
        <f>IFERROR($K786/$H786,"")</f>
        <v/>
      </c>
      <c r="M786" s="39">
        <f>IFERROR(INDEX('10_CLIENTI'!$B$5:$B$204,MATCH($D786,'10_CLIENTI'!$A$5:$A$204,0)),"")</f>
        <v/>
      </c>
      <c r="N786" s="39">
        <f>IFERROR(INDEX('11_PRODUSE'!$B$5:$B$104,MATCH($E786,'11_PRODUSE'!$A$5:$A$104,0)),"")</f>
        <v/>
      </c>
      <c r="O786" s="13" t="n"/>
      <c r="P786" s="13" t="n"/>
    </row>
    <row r="787">
      <c r="A787" s="35" t="n"/>
      <c r="B787" s="39">
        <f>IF($A787="","",YEAR($A787)&amp;"-"&amp;RIGHT("0"&amp;MONTH($A787),2))</f>
        <v/>
      </c>
      <c r="C787" s="13" t="n"/>
      <c r="D787" s="13" t="n"/>
      <c r="E787" s="13" t="n"/>
      <c r="F787" s="13" t="n"/>
      <c r="G787" s="40" t="n"/>
      <c r="H787" s="38" t="n"/>
      <c r="I787" s="38" t="n"/>
      <c r="J787" s="38" t="n"/>
      <c r="K787" s="24">
        <f>IF($H787="","",$H787-N($J787))</f>
        <v/>
      </c>
      <c r="L787" s="25">
        <f>IFERROR($K787/$H787,"")</f>
        <v/>
      </c>
      <c r="M787" s="39">
        <f>IFERROR(INDEX('10_CLIENTI'!$B$5:$B$204,MATCH($D787,'10_CLIENTI'!$A$5:$A$204,0)),"")</f>
        <v/>
      </c>
      <c r="N787" s="39">
        <f>IFERROR(INDEX('11_PRODUSE'!$B$5:$B$104,MATCH($E787,'11_PRODUSE'!$A$5:$A$104,0)),"")</f>
        <v/>
      </c>
      <c r="O787" s="13" t="n"/>
      <c r="P787" s="13" t="n"/>
    </row>
    <row r="788">
      <c r="A788" s="35" t="n"/>
      <c r="B788" s="39">
        <f>IF($A788="","",YEAR($A788)&amp;"-"&amp;RIGHT("0"&amp;MONTH($A788),2))</f>
        <v/>
      </c>
      <c r="C788" s="13" t="n"/>
      <c r="D788" s="13" t="n"/>
      <c r="E788" s="13" t="n"/>
      <c r="F788" s="13" t="n"/>
      <c r="G788" s="40" t="n"/>
      <c r="H788" s="38" t="n"/>
      <c r="I788" s="38" t="n"/>
      <c r="J788" s="38" t="n"/>
      <c r="K788" s="24">
        <f>IF($H788="","",$H788-N($J788))</f>
        <v/>
      </c>
      <c r="L788" s="25">
        <f>IFERROR($K788/$H788,"")</f>
        <v/>
      </c>
      <c r="M788" s="39">
        <f>IFERROR(INDEX('10_CLIENTI'!$B$5:$B$204,MATCH($D788,'10_CLIENTI'!$A$5:$A$204,0)),"")</f>
        <v/>
      </c>
      <c r="N788" s="39">
        <f>IFERROR(INDEX('11_PRODUSE'!$B$5:$B$104,MATCH($E788,'11_PRODUSE'!$A$5:$A$104,0)),"")</f>
        <v/>
      </c>
      <c r="O788" s="13" t="n"/>
      <c r="P788" s="13" t="n"/>
    </row>
    <row r="789">
      <c r="A789" s="35" t="n"/>
      <c r="B789" s="39">
        <f>IF($A789="","",YEAR($A789)&amp;"-"&amp;RIGHT("0"&amp;MONTH($A789),2))</f>
        <v/>
      </c>
      <c r="C789" s="13" t="n"/>
      <c r="D789" s="13" t="n"/>
      <c r="E789" s="13" t="n"/>
      <c r="F789" s="13" t="n"/>
      <c r="G789" s="40" t="n"/>
      <c r="H789" s="38" t="n"/>
      <c r="I789" s="38" t="n"/>
      <c r="J789" s="38" t="n"/>
      <c r="K789" s="24">
        <f>IF($H789="","",$H789-N($J789))</f>
        <v/>
      </c>
      <c r="L789" s="25">
        <f>IFERROR($K789/$H789,"")</f>
        <v/>
      </c>
      <c r="M789" s="39">
        <f>IFERROR(INDEX('10_CLIENTI'!$B$5:$B$204,MATCH($D789,'10_CLIENTI'!$A$5:$A$204,0)),"")</f>
        <v/>
      </c>
      <c r="N789" s="39">
        <f>IFERROR(INDEX('11_PRODUSE'!$B$5:$B$104,MATCH($E789,'11_PRODUSE'!$A$5:$A$104,0)),"")</f>
        <v/>
      </c>
      <c r="O789" s="13" t="n"/>
      <c r="P789" s="13" t="n"/>
    </row>
    <row r="790">
      <c r="A790" s="35" t="n"/>
      <c r="B790" s="39">
        <f>IF($A790="","",YEAR($A790)&amp;"-"&amp;RIGHT("0"&amp;MONTH($A790),2))</f>
        <v/>
      </c>
      <c r="C790" s="13" t="n"/>
      <c r="D790" s="13" t="n"/>
      <c r="E790" s="13" t="n"/>
      <c r="F790" s="13" t="n"/>
      <c r="G790" s="40" t="n"/>
      <c r="H790" s="38" t="n"/>
      <c r="I790" s="38" t="n"/>
      <c r="J790" s="38" t="n"/>
      <c r="K790" s="24">
        <f>IF($H790="","",$H790-N($J790))</f>
        <v/>
      </c>
      <c r="L790" s="25">
        <f>IFERROR($K790/$H790,"")</f>
        <v/>
      </c>
      <c r="M790" s="39">
        <f>IFERROR(INDEX('10_CLIENTI'!$B$5:$B$204,MATCH($D790,'10_CLIENTI'!$A$5:$A$204,0)),"")</f>
        <v/>
      </c>
      <c r="N790" s="39">
        <f>IFERROR(INDEX('11_PRODUSE'!$B$5:$B$104,MATCH($E790,'11_PRODUSE'!$A$5:$A$104,0)),"")</f>
        <v/>
      </c>
      <c r="O790" s="13" t="n"/>
      <c r="P790" s="13" t="n"/>
    </row>
    <row r="791">
      <c r="A791" s="35" t="n"/>
      <c r="B791" s="39">
        <f>IF($A791="","",YEAR($A791)&amp;"-"&amp;RIGHT("0"&amp;MONTH($A791),2))</f>
        <v/>
      </c>
      <c r="C791" s="13" t="n"/>
      <c r="D791" s="13" t="n"/>
      <c r="E791" s="13" t="n"/>
      <c r="F791" s="13" t="n"/>
      <c r="G791" s="40" t="n"/>
      <c r="H791" s="38" t="n"/>
      <c r="I791" s="38" t="n"/>
      <c r="J791" s="38" t="n"/>
      <c r="K791" s="24">
        <f>IF($H791="","",$H791-N($J791))</f>
        <v/>
      </c>
      <c r="L791" s="25">
        <f>IFERROR($K791/$H791,"")</f>
        <v/>
      </c>
      <c r="M791" s="39">
        <f>IFERROR(INDEX('10_CLIENTI'!$B$5:$B$204,MATCH($D791,'10_CLIENTI'!$A$5:$A$204,0)),"")</f>
        <v/>
      </c>
      <c r="N791" s="39">
        <f>IFERROR(INDEX('11_PRODUSE'!$B$5:$B$104,MATCH($E791,'11_PRODUSE'!$A$5:$A$104,0)),"")</f>
        <v/>
      </c>
      <c r="O791" s="13" t="n"/>
      <c r="P791" s="13" t="n"/>
    </row>
    <row r="792">
      <c r="A792" s="35" t="n"/>
      <c r="B792" s="39">
        <f>IF($A792="","",YEAR($A792)&amp;"-"&amp;RIGHT("0"&amp;MONTH($A792),2))</f>
        <v/>
      </c>
      <c r="C792" s="13" t="n"/>
      <c r="D792" s="13" t="n"/>
      <c r="E792" s="13" t="n"/>
      <c r="F792" s="13" t="n"/>
      <c r="G792" s="40" t="n"/>
      <c r="H792" s="38" t="n"/>
      <c r="I792" s="38" t="n"/>
      <c r="J792" s="38" t="n"/>
      <c r="K792" s="24">
        <f>IF($H792="","",$H792-N($J792))</f>
        <v/>
      </c>
      <c r="L792" s="25">
        <f>IFERROR($K792/$H792,"")</f>
        <v/>
      </c>
      <c r="M792" s="39">
        <f>IFERROR(INDEX('10_CLIENTI'!$B$5:$B$204,MATCH($D792,'10_CLIENTI'!$A$5:$A$204,0)),"")</f>
        <v/>
      </c>
      <c r="N792" s="39">
        <f>IFERROR(INDEX('11_PRODUSE'!$B$5:$B$104,MATCH($E792,'11_PRODUSE'!$A$5:$A$104,0)),"")</f>
        <v/>
      </c>
      <c r="O792" s="13" t="n"/>
      <c r="P792" s="13" t="n"/>
    </row>
    <row r="793">
      <c r="A793" s="35" t="n"/>
      <c r="B793" s="39">
        <f>IF($A793="","",YEAR($A793)&amp;"-"&amp;RIGHT("0"&amp;MONTH($A793),2))</f>
        <v/>
      </c>
      <c r="C793" s="13" t="n"/>
      <c r="D793" s="13" t="n"/>
      <c r="E793" s="13" t="n"/>
      <c r="F793" s="13" t="n"/>
      <c r="G793" s="40" t="n"/>
      <c r="H793" s="38" t="n"/>
      <c r="I793" s="38" t="n"/>
      <c r="J793" s="38" t="n"/>
      <c r="K793" s="24">
        <f>IF($H793="","",$H793-N($J793))</f>
        <v/>
      </c>
      <c r="L793" s="25">
        <f>IFERROR($K793/$H793,"")</f>
        <v/>
      </c>
      <c r="M793" s="39">
        <f>IFERROR(INDEX('10_CLIENTI'!$B$5:$B$204,MATCH($D793,'10_CLIENTI'!$A$5:$A$204,0)),"")</f>
        <v/>
      </c>
      <c r="N793" s="39">
        <f>IFERROR(INDEX('11_PRODUSE'!$B$5:$B$104,MATCH($E793,'11_PRODUSE'!$A$5:$A$104,0)),"")</f>
        <v/>
      </c>
      <c r="O793" s="13" t="n"/>
      <c r="P793" s="13" t="n"/>
    </row>
    <row r="794">
      <c r="A794" s="35" t="n"/>
      <c r="B794" s="39">
        <f>IF($A794="","",YEAR($A794)&amp;"-"&amp;RIGHT("0"&amp;MONTH($A794),2))</f>
        <v/>
      </c>
      <c r="C794" s="13" t="n"/>
      <c r="D794" s="13" t="n"/>
      <c r="E794" s="13" t="n"/>
      <c r="F794" s="13" t="n"/>
      <c r="G794" s="40" t="n"/>
      <c r="H794" s="38" t="n"/>
      <c r="I794" s="38" t="n"/>
      <c r="J794" s="38" t="n"/>
      <c r="K794" s="24">
        <f>IF($H794="","",$H794-N($J794))</f>
        <v/>
      </c>
      <c r="L794" s="25">
        <f>IFERROR($K794/$H794,"")</f>
        <v/>
      </c>
      <c r="M794" s="39">
        <f>IFERROR(INDEX('10_CLIENTI'!$B$5:$B$204,MATCH($D794,'10_CLIENTI'!$A$5:$A$204,0)),"")</f>
        <v/>
      </c>
      <c r="N794" s="39">
        <f>IFERROR(INDEX('11_PRODUSE'!$B$5:$B$104,MATCH($E794,'11_PRODUSE'!$A$5:$A$104,0)),"")</f>
        <v/>
      </c>
      <c r="O794" s="13" t="n"/>
      <c r="P794" s="13" t="n"/>
    </row>
    <row r="795">
      <c r="A795" s="35" t="n"/>
      <c r="B795" s="39">
        <f>IF($A795="","",YEAR($A795)&amp;"-"&amp;RIGHT("0"&amp;MONTH($A795),2))</f>
        <v/>
      </c>
      <c r="C795" s="13" t="n"/>
      <c r="D795" s="13" t="n"/>
      <c r="E795" s="13" t="n"/>
      <c r="F795" s="13" t="n"/>
      <c r="G795" s="40" t="n"/>
      <c r="H795" s="38" t="n"/>
      <c r="I795" s="38" t="n"/>
      <c r="J795" s="38" t="n"/>
      <c r="K795" s="24">
        <f>IF($H795="","",$H795-N($J795))</f>
        <v/>
      </c>
      <c r="L795" s="25">
        <f>IFERROR($K795/$H795,"")</f>
        <v/>
      </c>
      <c r="M795" s="39">
        <f>IFERROR(INDEX('10_CLIENTI'!$B$5:$B$204,MATCH($D795,'10_CLIENTI'!$A$5:$A$204,0)),"")</f>
        <v/>
      </c>
      <c r="N795" s="39">
        <f>IFERROR(INDEX('11_PRODUSE'!$B$5:$B$104,MATCH($E795,'11_PRODUSE'!$A$5:$A$104,0)),"")</f>
        <v/>
      </c>
      <c r="O795" s="13" t="n"/>
      <c r="P795" s="13" t="n"/>
    </row>
    <row r="796">
      <c r="A796" s="35" t="n"/>
      <c r="B796" s="39">
        <f>IF($A796="","",YEAR($A796)&amp;"-"&amp;RIGHT("0"&amp;MONTH($A796),2))</f>
        <v/>
      </c>
      <c r="C796" s="13" t="n"/>
      <c r="D796" s="13" t="n"/>
      <c r="E796" s="13" t="n"/>
      <c r="F796" s="13" t="n"/>
      <c r="G796" s="40" t="n"/>
      <c r="H796" s="38" t="n"/>
      <c r="I796" s="38" t="n"/>
      <c r="J796" s="38" t="n"/>
      <c r="K796" s="24">
        <f>IF($H796="","",$H796-N($J796))</f>
        <v/>
      </c>
      <c r="L796" s="25">
        <f>IFERROR($K796/$H796,"")</f>
        <v/>
      </c>
      <c r="M796" s="39">
        <f>IFERROR(INDEX('10_CLIENTI'!$B$5:$B$204,MATCH($D796,'10_CLIENTI'!$A$5:$A$204,0)),"")</f>
        <v/>
      </c>
      <c r="N796" s="39">
        <f>IFERROR(INDEX('11_PRODUSE'!$B$5:$B$104,MATCH($E796,'11_PRODUSE'!$A$5:$A$104,0)),"")</f>
        <v/>
      </c>
      <c r="O796" s="13" t="n"/>
      <c r="P796" s="13" t="n"/>
    </row>
    <row r="797">
      <c r="A797" s="35" t="n"/>
      <c r="B797" s="39">
        <f>IF($A797="","",YEAR($A797)&amp;"-"&amp;RIGHT("0"&amp;MONTH($A797),2))</f>
        <v/>
      </c>
      <c r="C797" s="13" t="n"/>
      <c r="D797" s="13" t="n"/>
      <c r="E797" s="13" t="n"/>
      <c r="F797" s="13" t="n"/>
      <c r="G797" s="40" t="n"/>
      <c r="H797" s="38" t="n"/>
      <c r="I797" s="38" t="n"/>
      <c r="J797" s="38" t="n"/>
      <c r="K797" s="24">
        <f>IF($H797="","",$H797-N($J797))</f>
        <v/>
      </c>
      <c r="L797" s="25">
        <f>IFERROR($K797/$H797,"")</f>
        <v/>
      </c>
      <c r="M797" s="39">
        <f>IFERROR(INDEX('10_CLIENTI'!$B$5:$B$204,MATCH($D797,'10_CLIENTI'!$A$5:$A$204,0)),"")</f>
        <v/>
      </c>
      <c r="N797" s="39">
        <f>IFERROR(INDEX('11_PRODUSE'!$B$5:$B$104,MATCH($E797,'11_PRODUSE'!$A$5:$A$104,0)),"")</f>
        <v/>
      </c>
      <c r="O797" s="13" t="n"/>
      <c r="P797" s="13" t="n"/>
    </row>
    <row r="798">
      <c r="A798" s="35" t="n"/>
      <c r="B798" s="39">
        <f>IF($A798="","",YEAR($A798)&amp;"-"&amp;RIGHT("0"&amp;MONTH($A798),2))</f>
        <v/>
      </c>
      <c r="C798" s="13" t="n"/>
      <c r="D798" s="13" t="n"/>
      <c r="E798" s="13" t="n"/>
      <c r="F798" s="13" t="n"/>
      <c r="G798" s="40" t="n"/>
      <c r="H798" s="38" t="n"/>
      <c r="I798" s="38" t="n"/>
      <c r="J798" s="38" t="n"/>
      <c r="K798" s="24">
        <f>IF($H798="","",$H798-N($J798))</f>
        <v/>
      </c>
      <c r="L798" s="25">
        <f>IFERROR($K798/$H798,"")</f>
        <v/>
      </c>
      <c r="M798" s="39">
        <f>IFERROR(INDEX('10_CLIENTI'!$B$5:$B$204,MATCH($D798,'10_CLIENTI'!$A$5:$A$204,0)),"")</f>
        <v/>
      </c>
      <c r="N798" s="39">
        <f>IFERROR(INDEX('11_PRODUSE'!$B$5:$B$104,MATCH($E798,'11_PRODUSE'!$A$5:$A$104,0)),"")</f>
        <v/>
      </c>
      <c r="O798" s="13" t="n"/>
      <c r="P798" s="13" t="n"/>
    </row>
    <row r="799">
      <c r="A799" s="35" t="n"/>
      <c r="B799" s="39">
        <f>IF($A799="","",YEAR($A799)&amp;"-"&amp;RIGHT("0"&amp;MONTH($A799),2))</f>
        <v/>
      </c>
      <c r="C799" s="13" t="n"/>
      <c r="D799" s="13" t="n"/>
      <c r="E799" s="13" t="n"/>
      <c r="F799" s="13" t="n"/>
      <c r="G799" s="40" t="n"/>
      <c r="H799" s="38" t="n"/>
      <c r="I799" s="38" t="n"/>
      <c r="J799" s="38" t="n"/>
      <c r="K799" s="24">
        <f>IF($H799="","",$H799-N($J799))</f>
        <v/>
      </c>
      <c r="L799" s="25">
        <f>IFERROR($K799/$H799,"")</f>
        <v/>
      </c>
      <c r="M799" s="39">
        <f>IFERROR(INDEX('10_CLIENTI'!$B$5:$B$204,MATCH($D799,'10_CLIENTI'!$A$5:$A$204,0)),"")</f>
        <v/>
      </c>
      <c r="N799" s="39">
        <f>IFERROR(INDEX('11_PRODUSE'!$B$5:$B$104,MATCH($E799,'11_PRODUSE'!$A$5:$A$104,0)),"")</f>
        <v/>
      </c>
      <c r="O799" s="13" t="n"/>
      <c r="P799" s="13" t="n"/>
    </row>
    <row r="800">
      <c r="A800" s="35" t="n"/>
      <c r="B800" s="39">
        <f>IF($A800="","",YEAR($A800)&amp;"-"&amp;RIGHT("0"&amp;MONTH($A800),2))</f>
        <v/>
      </c>
      <c r="C800" s="13" t="n"/>
      <c r="D800" s="13" t="n"/>
      <c r="E800" s="13" t="n"/>
      <c r="F800" s="13" t="n"/>
      <c r="G800" s="40" t="n"/>
      <c r="H800" s="38" t="n"/>
      <c r="I800" s="38" t="n"/>
      <c r="J800" s="38" t="n"/>
      <c r="K800" s="24">
        <f>IF($H800="","",$H800-N($J800))</f>
        <v/>
      </c>
      <c r="L800" s="25">
        <f>IFERROR($K800/$H800,"")</f>
        <v/>
      </c>
      <c r="M800" s="39">
        <f>IFERROR(INDEX('10_CLIENTI'!$B$5:$B$204,MATCH($D800,'10_CLIENTI'!$A$5:$A$204,0)),"")</f>
        <v/>
      </c>
      <c r="N800" s="39">
        <f>IFERROR(INDEX('11_PRODUSE'!$B$5:$B$104,MATCH($E800,'11_PRODUSE'!$A$5:$A$104,0)),"")</f>
        <v/>
      </c>
      <c r="O800" s="13" t="n"/>
      <c r="P800" s="13" t="n"/>
    </row>
    <row r="801">
      <c r="A801" s="35" t="n"/>
      <c r="B801" s="39">
        <f>IF($A801="","",YEAR($A801)&amp;"-"&amp;RIGHT("0"&amp;MONTH($A801),2))</f>
        <v/>
      </c>
      <c r="C801" s="13" t="n"/>
      <c r="D801" s="13" t="n"/>
      <c r="E801" s="13" t="n"/>
      <c r="F801" s="13" t="n"/>
      <c r="G801" s="40" t="n"/>
      <c r="H801" s="38" t="n"/>
      <c r="I801" s="38" t="n"/>
      <c r="J801" s="38" t="n"/>
      <c r="K801" s="24">
        <f>IF($H801="","",$H801-N($J801))</f>
        <v/>
      </c>
      <c r="L801" s="25">
        <f>IFERROR($K801/$H801,"")</f>
        <v/>
      </c>
      <c r="M801" s="39">
        <f>IFERROR(INDEX('10_CLIENTI'!$B$5:$B$204,MATCH($D801,'10_CLIENTI'!$A$5:$A$204,0)),"")</f>
        <v/>
      </c>
      <c r="N801" s="39">
        <f>IFERROR(INDEX('11_PRODUSE'!$B$5:$B$104,MATCH($E801,'11_PRODUSE'!$A$5:$A$104,0)),"")</f>
        <v/>
      </c>
      <c r="O801" s="13" t="n"/>
      <c r="P801" s="13" t="n"/>
    </row>
    <row r="802">
      <c r="A802" s="35" t="n"/>
      <c r="B802" s="39">
        <f>IF($A802="","",YEAR($A802)&amp;"-"&amp;RIGHT("0"&amp;MONTH($A802),2))</f>
        <v/>
      </c>
      <c r="C802" s="13" t="n"/>
      <c r="D802" s="13" t="n"/>
      <c r="E802" s="13" t="n"/>
      <c r="F802" s="13" t="n"/>
      <c r="G802" s="40" t="n"/>
      <c r="H802" s="38" t="n"/>
      <c r="I802" s="38" t="n"/>
      <c r="J802" s="38" t="n"/>
      <c r="K802" s="24">
        <f>IF($H802="","",$H802-N($J802))</f>
        <v/>
      </c>
      <c r="L802" s="25">
        <f>IFERROR($K802/$H802,"")</f>
        <v/>
      </c>
      <c r="M802" s="39">
        <f>IFERROR(INDEX('10_CLIENTI'!$B$5:$B$204,MATCH($D802,'10_CLIENTI'!$A$5:$A$204,0)),"")</f>
        <v/>
      </c>
      <c r="N802" s="39">
        <f>IFERROR(INDEX('11_PRODUSE'!$B$5:$B$104,MATCH($E802,'11_PRODUSE'!$A$5:$A$104,0)),"")</f>
        <v/>
      </c>
      <c r="O802" s="13" t="n"/>
      <c r="P802" s="13" t="n"/>
    </row>
    <row r="803">
      <c r="A803" s="35" t="n"/>
      <c r="B803" s="39">
        <f>IF($A803="","",YEAR($A803)&amp;"-"&amp;RIGHT("0"&amp;MONTH($A803),2))</f>
        <v/>
      </c>
      <c r="C803" s="13" t="n"/>
      <c r="D803" s="13" t="n"/>
      <c r="E803" s="13" t="n"/>
      <c r="F803" s="13" t="n"/>
      <c r="G803" s="40" t="n"/>
      <c r="H803" s="38" t="n"/>
      <c r="I803" s="38" t="n"/>
      <c r="J803" s="38" t="n"/>
      <c r="K803" s="24">
        <f>IF($H803="","",$H803-N($J803))</f>
        <v/>
      </c>
      <c r="L803" s="25">
        <f>IFERROR($K803/$H803,"")</f>
        <v/>
      </c>
      <c r="M803" s="39">
        <f>IFERROR(INDEX('10_CLIENTI'!$B$5:$B$204,MATCH($D803,'10_CLIENTI'!$A$5:$A$204,0)),"")</f>
        <v/>
      </c>
      <c r="N803" s="39">
        <f>IFERROR(INDEX('11_PRODUSE'!$B$5:$B$104,MATCH($E803,'11_PRODUSE'!$A$5:$A$104,0)),"")</f>
        <v/>
      </c>
      <c r="O803" s="13" t="n"/>
      <c r="P803" s="13" t="n"/>
    </row>
    <row r="804">
      <c r="A804" s="35" t="n"/>
      <c r="B804" s="39">
        <f>IF($A804="","",YEAR($A804)&amp;"-"&amp;RIGHT("0"&amp;MONTH($A804),2))</f>
        <v/>
      </c>
      <c r="C804" s="13" t="n"/>
      <c r="D804" s="13" t="n"/>
      <c r="E804" s="13" t="n"/>
      <c r="F804" s="13" t="n"/>
      <c r="G804" s="40" t="n"/>
      <c r="H804" s="38" t="n"/>
      <c r="I804" s="38" t="n"/>
      <c r="J804" s="38" t="n"/>
      <c r="K804" s="24">
        <f>IF($H804="","",$H804-N($J804))</f>
        <v/>
      </c>
      <c r="L804" s="25">
        <f>IFERROR($K804/$H804,"")</f>
        <v/>
      </c>
      <c r="M804" s="39">
        <f>IFERROR(INDEX('10_CLIENTI'!$B$5:$B$204,MATCH($D804,'10_CLIENTI'!$A$5:$A$204,0)),"")</f>
        <v/>
      </c>
      <c r="N804" s="39">
        <f>IFERROR(INDEX('11_PRODUSE'!$B$5:$B$104,MATCH($E804,'11_PRODUSE'!$A$5:$A$104,0)),"")</f>
        <v/>
      </c>
      <c r="O804" s="13" t="n"/>
      <c r="P804" s="13" t="n"/>
    </row>
    <row r="805">
      <c r="A805" s="35" t="n"/>
      <c r="B805" s="39">
        <f>IF($A805="","",YEAR($A805)&amp;"-"&amp;RIGHT("0"&amp;MONTH($A805),2))</f>
        <v/>
      </c>
      <c r="C805" s="13" t="n"/>
      <c r="D805" s="13" t="n"/>
      <c r="E805" s="13" t="n"/>
      <c r="F805" s="13" t="n"/>
      <c r="G805" s="40" t="n"/>
      <c r="H805" s="38" t="n"/>
      <c r="I805" s="38" t="n"/>
      <c r="J805" s="38" t="n"/>
      <c r="K805" s="24">
        <f>IF($H805="","",$H805-N($J805))</f>
        <v/>
      </c>
      <c r="L805" s="25">
        <f>IFERROR($K805/$H805,"")</f>
        <v/>
      </c>
      <c r="M805" s="39">
        <f>IFERROR(INDEX('10_CLIENTI'!$B$5:$B$204,MATCH($D805,'10_CLIENTI'!$A$5:$A$204,0)),"")</f>
        <v/>
      </c>
      <c r="N805" s="39">
        <f>IFERROR(INDEX('11_PRODUSE'!$B$5:$B$104,MATCH($E805,'11_PRODUSE'!$A$5:$A$104,0)),"")</f>
        <v/>
      </c>
      <c r="O805" s="13" t="n"/>
      <c r="P805" s="13" t="n"/>
    </row>
    <row r="806">
      <c r="A806" s="35" t="n"/>
      <c r="B806" s="39">
        <f>IF($A806="","",YEAR($A806)&amp;"-"&amp;RIGHT("0"&amp;MONTH($A806),2))</f>
        <v/>
      </c>
      <c r="C806" s="13" t="n"/>
      <c r="D806" s="13" t="n"/>
      <c r="E806" s="13" t="n"/>
      <c r="F806" s="13" t="n"/>
      <c r="G806" s="40" t="n"/>
      <c r="H806" s="38" t="n"/>
      <c r="I806" s="38" t="n"/>
      <c r="J806" s="38" t="n"/>
      <c r="K806" s="24">
        <f>IF($H806="","",$H806-N($J806))</f>
        <v/>
      </c>
      <c r="L806" s="25">
        <f>IFERROR($K806/$H806,"")</f>
        <v/>
      </c>
      <c r="M806" s="39">
        <f>IFERROR(INDEX('10_CLIENTI'!$B$5:$B$204,MATCH($D806,'10_CLIENTI'!$A$5:$A$204,0)),"")</f>
        <v/>
      </c>
      <c r="N806" s="39">
        <f>IFERROR(INDEX('11_PRODUSE'!$B$5:$B$104,MATCH($E806,'11_PRODUSE'!$A$5:$A$104,0)),"")</f>
        <v/>
      </c>
      <c r="O806" s="13" t="n"/>
      <c r="P806" s="13" t="n"/>
    </row>
    <row r="807">
      <c r="A807" s="35" t="n"/>
      <c r="B807" s="39">
        <f>IF($A807="","",YEAR($A807)&amp;"-"&amp;RIGHT("0"&amp;MONTH($A807),2))</f>
        <v/>
      </c>
      <c r="C807" s="13" t="n"/>
      <c r="D807" s="13" t="n"/>
      <c r="E807" s="13" t="n"/>
      <c r="F807" s="13" t="n"/>
      <c r="G807" s="40" t="n"/>
      <c r="H807" s="38" t="n"/>
      <c r="I807" s="38" t="n"/>
      <c r="J807" s="38" t="n"/>
      <c r="K807" s="24">
        <f>IF($H807="","",$H807-N($J807))</f>
        <v/>
      </c>
      <c r="L807" s="25">
        <f>IFERROR($K807/$H807,"")</f>
        <v/>
      </c>
      <c r="M807" s="39">
        <f>IFERROR(INDEX('10_CLIENTI'!$B$5:$B$204,MATCH($D807,'10_CLIENTI'!$A$5:$A$204,0)),"")</f>
        <v/>
      </c>
      <c r="N807" s="39">
        <f>IFERROR(INDEX('11_PRODUSE'!$B$5:$B$104,MATCH($E807,'11_PRODUSE'!$A$5:$A$104,0)),"")</f>
        <v/>
      </c>
      <c r="O807" s="13" t="n"/>
      <c r="P807" s="13" t="n"/>
    </row>
    <row r="808">
      <c r="A808" s="35" t="n"/>
      <c r="B808" s="39">
        <f>IF($A808="","",YEAR($A808)&amp;"-"&amp;RIGHT("0"&amp;MONTH($A808),2))</f>
        <v/>
      </c>
      <c r="C808" s="13" t="n"/>
      <c r="D808" s="13" t="n"/>
      <c r="E808" s="13" t="n"/>
      <c r="F808" s="13" t="n"/>
      <c r="G808" s="40" t="n"/>
      <c r="H808" s="38" t="n"/>
      <c r="I808" s="38" t="n"/>
      <c r="J808" s="38" t="n"/>
      <c r="K808" s="24">
        <f>IF($H808="","",$H808-N($J808))</f>
        <v/>
      </c>
      <c r="L808" s="25">
        <f>IFERROR($K808/$H808,"")</f>
        <v/>
      </c>
      <c r="M808" s="39">
        <f>IFERROR(INDEX('10_CLIENTI'!$B$5:$B$204,MATCH($D808,'10_CLIENTI'!$A$5:$A$204,0)),"")</f>
        <v/>
      </c>
      <c r="N808" s="39">
        <f>IFERROR(INDEX('11_PRODUSE'!$B$5:$B$104,MATCH($E808,'11_PRODUSE'!$A$5:$A$104,0)),"")</f>
        <v/>
      </c>
      <c r="O808" s="13" t="n"/>
      <c r="P808" s="13" t="n"/>
    </row>
    <row r="809">
      <c r="A809" s="35" t="n"/>
      <c r="B809" s="39">
        <f>IF($A809="","",YEAR($A809)&amp;"-"&amp;RIGHT("0"&amp;MONTH($A809),2))</f>
        <v/>
      </c>
      <c r="C809" s="13" t="n"/>
      <c r="D809" s="13" t="n"/>
      <c r="E809" s="13" t="n"/>
      <c r="F809" s="13" t="n"/>
      <c r="G809" s="40" t="n"/>
      <c r="H809" s="38" t="n"/>
      <c r="I809" s="38" t="n"/>
      <c r="J809" s="38" t="n"/>
      <c r="K809" s="24">
        <f>IF($H809="","",$H809-N($J809))</f>
        <v/>
      </c>
      <c r="L809" s="25">
        <f>IFERROR($K809/$H809,"")</f>
        <v/>
      </c>
      <c r="M809" s="39">
        <f>IFERROR(INDEX('10_CLIENTI'!$B$5:$B$204,MATCH($D809,'10_CLIENTI'!$A$5:$A$204,0)),"")</f>
        <v/>
      </c>
      <c r="N809" s="39">
        <f>IFERROR(INDEX('11_PRODUSE'!$B$5:$B$104,MATCH($E809,'11_PRODUSE'!$A$5:$A$104,0)),"")</f>
        <v/>
      </c>
      <c r="O809" s="13" t="n"/>
      <c r="P809" s="13" t="n"/>
    </row>
    <row r="810">
      <c r="A810" s="35" t="n"/>
      <c r="B810" s="39">
        <f>IF($A810="","",YEAR($A810)&amp;"-"&amp;RIGHT("0"&amp;MONTH($A810),2))</f>
        <v/>
      </c>
      <c r="C810" s="13" t="n"/>
      <c r="D810" s="13" t="n"/>
      <c r="E810" s="13" t="n"/>
      <c r="F810" s="13" t="n"/>
      <c r="G810" s="40" t="n"/>
      <c r="H810" s="38" t="n"/>
      <c r="I810" s="38" t="n"/>
      <c r="J810" s="38" t="n"/>
      <c r="K810" s="24">
        <f>IF($H810="","",$H810-N($J810))</f>
        <v/>
      </c>
      <c r="L810" s="25">
        <f>IFERROR($K810/$H810,"")</f>
        <v/>
      </c>
      <c r="M810" s="39">
        <f>IFERROR(INDEX('10_CLIENTI'!$B$5:$B$204,MATCH($D810,'10_CLIENTI'!$A$5:$A$204,0)),"")</f>
        <v/>
      </c>
      <c r="N810" s="39">
        <f>IFERROR(INDEX('11_PRODUSE'!$B$5:$B$104,MATCH($E810,'11_PRODUSE'!$A$5:$A$104,0)),"")</f>
        <v/>
      </c>
      <c r="O810" s="13" t="n"/>
      <c r="P810" s="13" t="n"/>
    </row>
    <row r="811">
      <c r="A811" s="35" t="n"/>
      <c r="B811" s="39">
        <f>IF($A811="","",YEAR($A811)&amp;"-"&amp;RIGHT("0"&amp;MONTH($A811),2))</f>
        <v/>
      </c>
      <c r="C811" s="13" t="n"/>
      <c r="D811" s="13" t="n"/>
      <c r="E811" s="13" t="n"/>
      <c r="F811" s="13" t="n"/>
      <c r="G811" s="40" t="n"/>
      <c r="H811" s="38" t="n"/>
      <c r="I811" s="38" t="n"/>
      <c r="J811" s="38" t="n"/>
      <c r="K811" s="24">
        <f>IF($H811="","",$H811-N($J811))</f>
        <v/>
      </c>
      <c r="L811" s="25">
        <f>IFERROR($K811/$H811,"")</f>
        <v/>
      </c>
      <c r="M811" s="39">
        <f>IFERROR(INDEX('10_CLIENTI'!$B$5:$B$204,MATCH($D811,'10_CLIENTI'!$A$5:$A$204,0)),"")</f>
        <v/>
      </c>
      <c r="N811" s="39">
        <f>IFERROR(INDEX('11_PRODUSE'!$B$5:$B$104,MATCH($E811,'11_PRODUSE'!$A$5:$A$104,0)),"")</f>
        <v/>
      </c>
      <c r="O811" s="13" t="n"/>
      <c r="P811" s="13" t="n"/>
    </row>
    <row r="812">
      <c r="A812" s="35" t="n"/>
      <c r="B812" s="39">
        <f>IF($A812="","",YEAR($A812)&amp;"-"&amp;RIGHT("0"&amp;MONTH($A812),2))</f>
        <v/>
      </c>
      <c r="C812" s="13" t="n"/>
      <c r="D812" s="13" t="n"/>
      <c r="E812" s="13" t="n"/>
      <c r="F812" s="13" t="n"/>
      <c r="G812" s="40" t="n"/>
      <c r="H812" s="38" t="n"/>
      <c r="I812" s="38" t="n"/>
      <c r="J812" s="38" t="n"/>
      <c r="K812" s="24">
        <f>IF($H812="","",$H812-N($J812))</f>
        <v/>
      </c>
      <c r="L812" s="25">
        <f>IFERROR($K812/$H812,"")</f>
        <v/>
      </c>
      <c r="M812" s="39">
        <f>IFERROR(INDEX('10_CLIENTI'!$B$5:$B$204,MATCH($D812,'10_CLIENTI'!$A$5:$A$204,0)),"")</f>
        <v/>
      </c>
      <c r="N812" s="39">
        <f>IFERROR(INDEX('11_PRODUSE'!$B$5:$B$104,MATCH($E812,'11_PRODUSE'!$A$5:$A$104,0)),"")</f>
        <v/>
      </c>
      <c r="O812" s="13" t="n"/>
      <c r="P812" s="13" t="n"/>
    </row>
    <row r="813">
      <c r="A813" s="35" t="n"/>
      <c r="B813" s="39">
        <f>IF($A813="","",YEAR($A813)&amp;"-"&amp;RIGHT("0"&amp;MONTH($A813),2))</f>
        <v/>
      </c>
      <c r="C813" s="13" t="n"/>
      <c r="D813" s="13" t="n"/>
      <c r="E813" s="13" t="n"/>
      <c r="F813" s="13" t="n"/>
      <c r="G813" s="40" t="n"/>
      <c r="H813" s="38" t="n"/>
      <c r="I813" s="38" t="n"/>
      <c r="J813" s="38" t="n"/>
      <c r="K813" s="24">
        <f>IF($H813="","",$H813-N($J813))</f>
        <v/>
      </c>
      <c r="L813" s="25">
        <f>IFERROR($K813/$H813,"")</f>
        <v/>
      </c>
      <c r="M813" s="39">
        <f>IFERROR(INDEX('10_CLIENTI'!$B$5:$B$204,MATCH($D813,'10_CLIENTI'!$A$5:$A$204,0)),"")</f>
        <v/>
      </c>
      <c r="N813" s="39">
        <f>IFERROR(INDEX('11_PRODUSE'!$B$5:$B$104,MATCH($E813,'11_PRODUSE'!$A$5:$A$104,0)),"")</f>
        <v/>
      </c>
      <c r="O813" s="13" t="n"/>
      <c r="P813" s="13" t="n"/>
    </row>
    <row r="814">
      <c r="A814" s="35" t="n"/>
      <c r="B814" s="39">
        <f>IF($A814="","",YEAR($A814)&amp;"-"&amp;RIGHT("0"&amp;MONTH($A814),2))</f>
        <v/>
      </c>
      <c r="C814" s="13" t="n"/>
      <c r="D814" s="13" t="n"/>
      <c r="E814" s="13" t="n"/>
      <c r="F814" s="13" t="n"/>
      <c r="G814" s="40" t="n"/>
      <c r="H814" s="38" t="n"/>
      <c r="I814" s="38" t="n"/>
      <c r="J814" s="38" t="n"/>
      <c r="K814" s="24">
        <f>IF($H814="","",$H814-N($J814))</f>
        <v/>
      </c>
      <c r="L814" s="25">
        <f>IFERROR($K814/$H814,"")</f>
        <v/>
      </c>
      <c r="M814" s="39">
        <f>IFERROR(INDEX('10_CLIENTI'!$B$5:$B$204,MATCH($D814,'10_CLIENTI'!$A$5:$A$204,0)),"")</f>
        <v/>
      </c>
      <c r="N814" s="39">
        <f>IFERROR(INDEX('11_PRODUSE'!$B$5:$B$104,MATCH($E814,'11_PRODUSE'!$A$5:$A$104,0)),"")</f>
        <v/>
      </c>
      <c r="O814" s="13" t="n"/>
      <c r="P814" s="13" t="n"/>
    </row>
    <row r="815">
      <c r="A815" s="35" t="n"/>
      <c r="B815" s="39">
        <f>IF($A815="","",YEAR($A815)&amp;"-"&amp;RIGHT("0"&amp;MONTH($A815),2))</f>
        <v/>
      </c>
      <c r="C815" s="13" t="n"/>
      <c r="D815" s="13" t="n"/>
      <c r="E815" s="13" t="n"/>
      <c r="F815" s="13" t="n"/>
      <c r="G815" s="40" t="n"/>
      <c r="H815" s="38" t="n"/>
      <c r="I815" s="38" t="n"/>
      <c r="J815" s="38" t="n"/>
      <c r="K815" s="24">
        <f>IF($H815="","",$H815-N($J815))</f>
        <v/>
      </c>
      <c r="L815" s="25">
        <f>IFERROR($K815/$H815,"")</f>
        <v/>
      </c>
      <c r="M815" s="39">
        <f>IFERROR(INDEX('10_CLIENTI'!$B$5:$B$204,MATCH($D815,'10_CLIENTI'!$A$5:$A$204,0)),"")</f>
        <v/>
      </c>
      <c r="N815" s="39">
        <f>IFERROR(INDEX('11_PRODUSE'!$B$5:$B$104,MATCH($E815,'11_PRODUSE'!$A$5:$A$104,0)),"")</f>
        <v/>
      </c>
      <c r="O815" s="13" t="n"/>
      <c r="P815" s="13" t="n"/>
    </row>
    <row r="816">
      <c r="A816" s="35" t="n"/>
      <c r="B816" s="39">
        <f>IF($A816="","",YEAR($A816)&amp;"-"&amp;RIGHT("0"&amp;MONTH($A816),2))</f>
        <v/>
      </c>
      <c r="C816" s="13" t="n"/>
      <c r="D816" s="13" t="n"/>
      <c r="E816" s="13" t="n"/>
      <c r="F816" s="13" t="n"/>
      <c r="G816" s="40" t="n"/>
      <c r="H816" s="38" t="n"/>
      <c r="I816" s="38" t="n"/>
      <c r="J816" s="38" t="n"/>
      <c r="K816" s="24">
        <f>IF($H816="","",$H816-N($J816))</f>
        <v/>
      </c>
      <c r="L816" s="25">
        <f>IFERROR($K816/$H816,"")</f>
        <v/>
      </c>
      <c r="M816" s="39">
        <f>IFERROR(INDEX('10_CLIENTI'!$B$5:$B$204,MATCH($D816,'10_CLIENTI'!$A$5:$A$204,0)),"")</f>
        <v/>
      </c>
      <c r="N816" s="39">
        <f>IFERROR(INDEX('11_PRODUSE'!$B$5:$B$104,MATCH($E816,'11_PRODUSE'!$A$5:$A$104,0)),"")</f>
        <v/>
      </c>
      <c r="O816" s="13" t="n"/>
      <c r="P816" s="13" t="n"/>
    </row>
    <row r="817">
      <c r="A817" s="35" t="n"/>
      <c r="B817" s="39">
        <f>IF($A817="","",YEAR($A817)&amp;"-"&amp;RIGHT("0"&amp;MONTH($A817),2))</f>
        <v/>
      </c>
      <c r="C817" s="13" t="n"/>
      <c r="D817" s="13" t="n"/>
      <c r="E817" s="13" t="n"/>
      <c r="F817" s="13" t="n"/>
      <c r="G817" s="40" t="n"/>
      <c r="H817" s="38" t="n"/>
      <c r="I817" s="38" t="n"/>
      <c r="J817" s="38" t="n"/>
      <c r="K817" s="24">
        <f>IF($H817="","",$H817-N($J817))</f>
        <v/>
      </c>
      <c r="L817" s="25">
        <f>IFERROR($K817/$H817,"")</f>
        <v/>
      </c>
      <c r="M817" s="39">
        <f>IFERROR(INDEX('10_CLIENTI'!$B$5:$B$204,MATCH($D817,'10_CLIENTI'!$A$5:$A$204,0)),"")</f>
        <v/>
      </c>
      <c r="N817" s="39">
        <f>IFERROR(INDEX('11_PRODUSE'!$B$5:$B$104,MATCH($E817,'11_PRODUSE'!$A$5:$A$104,0)),"")</f>
        <v/>
      </c>
      <c r="O817" s="13" t="n"/>
      <c r="P817" s="13" t="n"/>
    </row>
    <row r="818">
      <c r="A818" s="35" t="n"/>
      <c r="B818" s="39">
        <f>IF($A818="","",YEAR($A818)&amp;"-"&amp;RIGHT("0"&amp;MONTH($A818),2))</f>
        <v/>
      </c>
      <c r="C818" s="13" t="n"/>
      <c r="D818" s="13" t="n"/>
      <c r="E818" s="13" t="n"/>
      <c r="F818" s="13" t="n"/>
      <c r="G818" s="40" t="n"/>
      <c r="H818" s="38" t="n"/>
      <c r="I818" s="38" t="n"/>
      <c r="J818" s="38" t="n"/>
      <c r="K818" s="24">
        <f>IF($H818="","",$H818-N($J818))</f>
        <v/>
      </c>
      <c r="L818" s="25">
        <f>IFERROR($K818/$H818,"")</f>
        <v/>
      </c>
      <c r="M818" s="39">
        <f>IFERROR(INDEX('10_CLIENTI'!$B$5:$B$204,MATCH($D818,'10_CLIENTI'!$A$5:$A$204,0)),"")</f>
        <v/>
      </c>
      <c r="N818" s="39">
        <f>IFERROR(INDEX('11_PRODUSE'!$B$5:$B$104,MATCH($E818,'11_PRODUSE'!$A$5:$A$104,0)),"")</f>
        <v/>
      </c>
      <c r="O818" s="13" t="n"/>
      <c r="P818" s="13" t="n"/>
    </row>
    <row r="819">
      <c r="A819" s="35" t="n"/>
      <c r="B819" s="39">
        <f>IF($A819="","",YEAR($A819)&amp;"-"&amp;RIGHT("0"&amp;MONTH($A819),2))</f>
        <v/>
      </c>
      <c r="C819" s="13" t="n"/>
      <c r="D819" s="13" t="n"/>
      <c r="E819" s="13" t="n"/>
      <c r="F819" s="13" t="n"/>
      <c r="G819" s="40" t="n"/>
      <c r="H819" s="38" t="n"/>
      <c r="I819" s="38" t="n"/>
      <c r="J819" s="38" t="n"/>
      <c r="K819" s="24">
        <f>IF($H819="","",$H819-N($J819))</f>
        <v/>
      </c>
      <c r="L819" s="25">
        <f>IFERROR($K819/$H819,"")</f>
        <v/>
      </c>
      <c r="M819" s="39">
        <f>IFERROR(INDEX('10_CLIENTI'!$B$5:$B$204,MATCH($D819,'10_CLIENTI'!$A$5:$A$204,0)),"")</f>
        <v/>
      </c>
      <c r="N819" s="39">
        <f>IFERROR(INDEX('11_PRODUSE'!$B$5:$B$104,MATCH($E819,'11_PRODUSE'!$A$5:$A$104,0)),"")</f>
        <v/>
      </c>
      <c r="O819" s="13" t="n"/>
      <c r="P819" s="13" t="n"/>
    </row>
    <row r="820">
      <c r="A820" s="35" t="n"/>
      <c r="B820" s="39">
        <f>IF($A820="","",YEAR($A820)&amp;"-"&amp;RIGHT("0"&amp;MONTH($A820),2))</f>
        <v/>
      </c>
      <c r="C820" s="13" t="n"/>
      <c r="D820" s="13" t="n"/>
      <c r="E820" s="13" t="n"/>
      <c r="F820" s="13" t="n"/>
      <c r="G820" s="40" t="n"/>
      <c r="H820" s="38" t="n"/>
      <c r="I820" s="38" t="n"/>
      <c r="J820" s="38" t="n"/>
      <c r="K820" s="24">
        <f>IF($H820="","",$H820-N($J820))</f>
        <v/>
      </c>
      <c r="L820" s="25">
        <f>IFERROR($K820/$H820,"")</f>
        <v/>
      </c>
      <c r="M820" s="39">
        <f>IFERROR(INDEX('10_CLIENTI'!$B$5:$B$204,MATCH($D820,'10_CLIENTI'!$A$5:$A$204,0)),"")</f>
        <v/>
      </c>
      <c r="N820" s="39">
        <f>IFERROR(INDEX('11_PRODUSE'!$B$5:$B$104,MATCH($E820,'11_PRODUSE'!$A$5:$A$104,0)),"")</f>
        <v/>
      </c>
      <c r="O820" s="13" t="n"/>
      <c r="P820" s="13" t="n"/>
    </row>
    <row r="821">
      <c r="A821" s="35" t="n"/>
      <c r="B821" s="39">
        <f>IF($A821="","",YEAR($A821)&amp;"-"&amp;RIGHT("0"&amp;MONTH($A821),2))</f>
        <v/>
      </c>
      <c r="C821" s="13" t="n"/>
      <c r="D821" s="13" t="n"/>
      <c r="E821" s="13" t="n"/>
      <c r="F821" s="13" t="n"/>
      <c r="G821" s="40" t="n"/>
      <c r="H821" s="38" t="n"/>
      <c r="I821" s="38" t="n"/>
      <c r="J821" s="38" t="n"/>
      <c r="K821" s="24">
        <f>IF($H821="","",$H821-N($J821))</f>
        <v/>
      </c>
      <c r="L821" s="25">
        <f>IFERROR($K821/$H821,"")</f>
        <v/>
      </c>
      <c r="M821" s="39">
        <f>IFERROR(INDEX('10_CLIENTI'!$B$5:$B$204,MATCH($D821,'10_CLIENTI'!$A$5:$A$204,0)),"")</f>
        <v/>
      </c>
      <c r="N821" s="39">
        <f>IFERROR(INDEX('11_PRODUSE'!$B$5:$B$104,MATCH($E821,'11_PRODUSE'!$A$5:$A$104,0)),"")</f>
        <v/>
      </c>
      <c r="O821" s="13" t="n"/>
      <c r="P821" s="13" t="n"/>
    </row>
    <row r="822">
      <c r="A822" s="35" t="n"/>
      <c r="B822" s="39">
        <f>IF($A822="","",YEAR($A822)&amp;"-"&amp;RIGHT("0"&amp;MONTH($A822),2))</f>
        <v/>
      </c>
      <c r="C822" s="13" t="n"/>
      <c r="D822" s="13" t="n"/>
      <c r="E822" s="13" t="n"/>
      <c r="F822" s="13" t="n"/>
      <c r="G822" s="40" t="n"/>
      <c r="H822" s="38" t="n"/>
      <c r="I822" s="38" t="n"/>
      <c r="J822" s="38" t="n"/>
      <c r="K822" s="24">
        <f>IF($H822="","",$H822-N($J822))</f>
        <v/>
      </c>
      <c r="L822" s="25">
        <f>IFERROR($K822/$H822,"")</f>
        <v/>
      </c>
      <c r="M822" s="39">
        <f>IFERROR(INDEX('10_CLIENTI'!$B$5:$B$204,MATCH($D822,'10_CLIENTI'!$A$5:$A$204,0)),"")</f>
        <v/>
      </c>
      <c r="N822" s="39">
        <f>IFERROR(INDEX('11_PRODUSE'!$B$5:$B$104,MATCH($E822,'11_PRODUSE'!$A$5:$A$104,0)),"")</f>
        <v/>
      </c>
      <c r="O822" s="13" t="n"/>
      <c r="P822" s="13" t="n"/>
    </row>
    <row r="823">
      <c r="A823" s="35" t="n"/>
      <c r="B823" s="39">
        <f>IF($A823="","",YEAR($A823)&amp;"-"&amp;RIGHT("0"&amp;MONTH($A823),2))</f>
        <v/>
      </c>
      <c r="C823" s="13" t="n"/>
      <c r="D823" s="13" t="n"/>
      <c r="E823" s="13" t="n"/>
      <c r="F823" s="13" t="n"/>
      <c r="G823" s="40" t="n"/>
      <c r="H823" s="38" t="n"/>
      <c r="I823" s="38" t="n"/>
      <c r="J823" s="38" t="n"/>
      <c r="K823" s="24">
        <f>IF($H823="","",$H823-N($J823))</f>
        <v/>
      </c>
      <c r="L823" s="25">
        <f>IFERROR($K823/$H823,"")</f>
        <v/>
      </c>
      <c r="M823" s="39">
        <f>IFERROR(INDEX('10_CLIENTI'!$B$5:$B$204,MATCH($D823,'10_CLIENTI'!$A$5:$A$204,0)),"")</f>
        <v/>
      </c>
      <c r="N823" s="39">
        <f>IFERROR(INDEX('11_PRODUSE'!$B$5:$B$104,MATCH($E823,'11_PRODUSE'!$A$5:$A$104,0)),"")</f>
        <v/>
      </c>
      <c r="O823" s="13" t="n"/>
      <c r="P823" s="13" t="n"/>
    </row>
    <row r="824">
      <c r="A824" s="35" t="n"/>
      <c r="B824" s="39">
        <f>IF($A824="","",YEAR($A824)&amp;"-"&amp;RIGHT("0"&amp;MONTH($A824),2))</f>
        <v/>
      </c>
      <c r="C824" s="13" t="n"/>
      <c r="D824" s="13" t="n"/>
      <c r="E824" s="13" t="n"/>
      <c r="F824" s="13" t="n"/>
      <c r="G824" s="40" t="n"/>
      <c r="H824" s="38" t="n"/>
      <c r="I824" s="38" t="n"/>
      <c r="J824" s="38" t="n"/>
      <c r="K824" s="24">
        <f>IF($H824="","",$H824-N($J824))</f>
        <v/>
      </c>
      <c r="L824" s="25">
        <f>IFERROR($K824/$H824,"")</f>
        <v/>
      </c>
      <c r="M824" s="39">
        <f>IFERROR(INDEX('10_CLIENTI'!$B$5:$B$204,MATCH($D824,'10_CLIENTI'!$A$5:$A$204,0)),"")</f>
        <v/>
      </c>
      <c r="N824" s="39">
        <f>IFERROR(INDEX('11_PRODUSE'!$B$5:$B$104,MATCH($E824,'11_PRODUSE'!$A$5:$A$104,0)),"")</f>
        <v/>
      </c>
      <c r="O824" s="13" t="n"/>
      <c r="P824" s="13" t="n"/>
    </row>
    <row r="825">
      <c r="A825" s="35" t="n"/>
      <c r="B825" s="39">
        <f>IF($A825="","",YEAR($A825)&amp;"-"&amp;RIGHT("0"&amp;MONTH($A825),2))</f>
        <v/>
      </c>
      <c r="C825" s="13" t="n"/>
      <c r="D825" s="13" t="n"/>
      <c r="E825" s="13" t="n"/>
      <c r="F825" s="13" t="n"/>
      <c r="G825" s="40" t="n"/>
      <c r="H825" s="38" t="n"/>
      <c r="I825" s="38" t="n"/>
      <c r="J825" s="38" t="n"/>
      <c r="K825" s="24">
        <f>IF($H825="","",$H825-N($J825))</f>
        <v/>
      </c>
      <c r="L825" s="25">
        <f>IFERROR($K825/$H825,"")</f>
        <v/>
      </c>
      <c r="M825" s="39">
        <f>IFERROR(INDEX('10_CLIENTI'!$B$5:$B$204,MATCH($D825,'10_CLIENTI'!$A$5:$A$204,0)),"")</f>
        <v/>
      </c>
      <c r="N825" s="39">
        <f>IFERROR(INDEX('11_PRODUSE'!$B$5:$B$104,MATCH($E825,'11_PRODUSE'!$A$5:$A$104,0)),"")</f>
        <v/>
      </c>
      <c r="O825" s="13" t="n"/>
      <c r="P825" s="13" t="n"/>
    </row>
    <row r="826">
      <c r="A826" s="35" t="n"/>
      <c r="B826" s="39">
        <f>IF($A826="","",YEAR($A826)&amp;"-"&amp;RIGHT("0"&amp;MONTH($A826),2))</f>
        <v/>
      </c>
      <c r="C826" s="13" t="n"/>
      <c r="D826" s="13" t="n"/>
      <c r="E826" s="13" t="n"/>
      <c r="F826" s="13" t="n"/>
      <c r="G826" s="40" t="n"/>
      <c r="H826" s="38" t="n"/>
      <c r="I826" s="38" t="n"/>
      <c r="J826" s="38" t="n"/>
      <c r="K826" s="24">
        <f>IF($H826="","",$H826-N($J826))</f>
        <v/>
      </c>
      <c r="L826" s="25">
        <f>IFERROR($K826/$H826,"")</f>
        <v/>
      </c>
      <c r="M826" s="39">
        <f>IFERROR(INDEX('10_CLIENTI'!$B$5:$B$204,MATCH($D826,'10_CLIENTI'!$A$5:$A$204,0)),"")</f>
        <v/>
      </c>
      <c r="N826" s="39">
        <f>IFERROR(INDEX('11_PRODUSE'!$B$5:$B$104,MATCH($E826,'11_PRODUSE'!$A$5:$A$104,0)),"")</f>
        <v/>
      </c>
      <c r="O826" s="13" t="n"/>
      <c r="P826" s="13" t="n"/>
    </row>
    <row r="827">
      <c r="A827" s="35" t="n"/>
      <c r="B827" s="39">
        <f>IF($A827="","",YEAR($A827)&amp;"-"&amp;RIGHT("0"&amp;MONTH($A827),2))</f>
        <v/>
      </c>
      <c r="C827" s="13" t="n"/>
      <c r="D827" s="13" t="n"/>
      <c r="E827" s="13" t="n"/>
      <c r="F827" s="13" t="n"/>
      <c r="G827" s="40" t="n"/>
      <c r="H827" s="38" t="n"/>
      <c r="I827" s="38" t="n"/>
      <c r="J827" s="38" t="n"/>
      <c r="K827" s="24">
        <f>IF($H827="","",$H827-N($J827))</f>
        <v/>
      </c>
      <c r="L827" s="25">
        <f>IFERROR($K827/$H827,"")</f>
        <v/>
      </c>
      <c r="M827" s="39">
        <f>IFERROR(INDEX('10_CLIENTI'!$B$5:$B$204,MATCH($D827,'10_CLIENTI'!$A$5:$A$204,0)),"")</f>
        <v/>
      </c>
      <c r="N827" s="39">
        <f>IFERROR(INDEX('11_PRODUSE'!$B$5:$B$104,MATCH($E827,'11_PRODUSE'!$A$5:$A$104,0)),"")</f>
        <v/>
      </c>
      <c r="O827" s="13" t="n"/>
      <c r="P827" s="13" t="n"/>
    </row>
    <row r="828">
      <c r="A828" s="35" t="n"/>
      <c r="B828" s="39">
        <f>IF($A828="","",YEAR($A828)&amp;"-"&amp;RIGHT("0"&amp;MONTH($A828),2))</f>
        <v/>
      </c>
      <c r="C828" s="13" t="n"/>
      <c r="D828" s="13" t="n"/>
      <c r="E828" s="13" t="n"/>
      <c r="F828" s="13" t="n"/>
      <c r="G828" s="40" t="n"/>
      <c r="H828" s="38" t="n"/>
      <c r="I828" s="38" t="n"/>
      <c r="J828" s="38" t="n"/>
      <c r="K828" s="24">
        <f>IF($H828="","",$H828-N($J828))</f>
        <v/>
      </c>
      <c r="L828" s="25">
        <f>IFERROR($K828/$H828,"")</f>
        <v/>
      </c>
      <c r="M828" s="39">
        <f>IFERROR(INDEX('10_CLIENTI'!$B$5:$B$204,MATCH($D828,'10_CLIENTI'!$A$5:$A$204,0)),"")</f>
        <v/>
      </c>
      <c r="N828" s="39">
        <f>IFERROR(INDEX('11_PRODUSE'!$B$5:$B$104,MATCH($E828,'11_PRODUSE'!$A$5:$A$104,0)),"")</f>
        <v/>
      </c>
      <c r="O828" s="13" t="n"/>
      <c r="P828" s="13" t="n"/>
    </row>
    <row r="829">
      <c r="A829" s="35" t="n"/>
      <c r="B829" s="39">
        <f>IF($A829="","",YEAR($A829)&amp;"-"&amp;RIGHT("0"&amp;MONTH($A829),2))</f>
        <v/>
      </c>
      <c r="C829" s="13" t="n"/>
      <c r="D829" s="13" t="n"/>
      <c r="E829" s="13" t="n"/>
      <c r="F829" s="13" t="n"/>
      <c r="G829" s="40" t="n"/>
      <c r="H829" s="38" t="n"/>
      <c r="I829" s="38" t="n"/>
      <c r="J829" s="38" t="n"/>
      <c r="K829" s="24">
        <f>IF($H829="","",$H829-N($J829))</f>
        <v/>
      </c>
      <c r="L829" s="25">
        <f>IFERROR($K829/$H829,"")</f>
        <v/>
      </c>
      <c r="M829" s="39">
        <f>IFERROR(INDEX('10_CLIENTI'!$B$5:$B$204,MATCH($D829,'10_CLIENTI'!$A$5:$A$204,0)),"")</f>
        <v/>
      </c>
      <c r="N829" s="39">
        <f>IFERROR(INDEX('11_PRODUSE'!$B$5:$B$104,MATCH($E829,'11_PRODUSE'!$A$5:$A$104,0)),"")</f>
        <v/>
      </c>
      <c r="O829" s="13" t="n"/>
      <c r="P829" s="13" t="n"/>
    </row>
    <row r="830">
      <c r="A830" s="35" t="n"/>
      <c r="B830" s="39">
        <f>IF($A830="","",YEAR($A830)&amp;"-"&amp;RIGHT("0"&amp;MONTH($A830),2))</f>
        <v/>
      </c>
      <c r="C830" s="13" t="n"/>
      <c r="D830" s="13" t="n"/>
      <c r="E830" s="13" t="n"/>
      <c r="F830" s="13" t="n"/>
      <c r="G830" s="40" t="n"/>
      <c r="H830" s="38" t="n"/>
      <c r="I830" s="38" t="n"/>
      <c r="J830" s="38" t="n"/>
      <c r="K830" s="24">
        <f>IF($H830="","",$H830-N($J830))</f>
        <v/>
      </c>
      <c r="L830" s="25">
        <f>IFERROR($K830/$H830,"")</f>
        <v/>
      </c>
      <c r="M830" s="39">
        <f>IFERROR(INDEX('10_CLIENTI'!$B$5:$B$204,MATCH($D830,'10_CLIENTI'!$A$5:$A$204,0)),"")</f>
        <v/>
      </c>
      <c r="N830" s="39">
        <f>IFERROR(INDEX('11_PRODUSE'!$B$5:$B$104,MATCH($E830,'11_PRODUSE'!$A$5:$A$104,0)),"")</f>
        <v/>
      </c>
      <c r="O830" s="13" t="n"/>
      <c r="P830" s="13" t="n"/>
    </row>
    <row r="831">
      <c r="A831" s="35" t="n"/>
      <c r="B831" s="39">
        <f>IF($A831="","",YEAR($A831)&amp;"-"&amp;RIGHT("0"&amp;MONTH($A831),2))</f>
        <v/>
      </c>
      <c r="C831" s="13" t="n"/>
      <c r="D831" s="13" t="n"/>
      <c r="E831" s="13" t="n"/>
      <c r="F831" s="13" t="n"/>
      <c r="G831" s="40" t="n"/>
      <c r="H831" s="38" t="n"/>
      <c r="I831" s="38" t="n"/>
      <c r="J831" s="38" t="n"/>
      <c r="K831" s="24">
        <f>IF($H831="","",$H831-N($J831))</f>
        <v/>
      </c>
      <c r="L831" s="25">
        <f>IFERROR($K831/$H831,"")</f>
        <v/>
      </c>
      <c r="M831" s="39">
        <f>IFERROR(INDEX('10_CLIENTI'!$B$5:$B$204,MATCH($D831,'10_CLIENTI'!$A$5:$A$204,0)),"")</f>
        <v/>
      </c>
      <c r="N831" s="39">
        <f>IFERROR(INDEX('11_PRODUSE'!$B$5:$B$104,MATCH($E831,'11_PRODUSE'!$A$5:$A$104,0)),"")</f>
        <v/>
      </c>
      <c r="O831" s="13" t="n"/>
      <c r="P831" s="13" t="n"/>
    </row>
    <row r="832">
      <c r="A832" s="35" t="n"/>
      <c r="B832" s="39">
        <f>IF($A832="","",YEAR($A832)&amp;"-"&amp;RIGHT("0"&amp;MONTH($A832),2))</f>
        <v/>
      </c>
      <c r="C832" s="13" t="n"/>
      <c r="D832" s="13" t="n"/>
      <c r="E832" s="13" t="n"/>
      <c r="F832" s="13" t="n"/>
      <c r="G832" s="40" t="n"/>
      <c r="H832" s="38" t="n"/>
      <c r="I832" s="38" t="n"/>
      <c r="J832" s="38" t="n"/>
      <c r="K832" s="24">
        <f>IF($H832="","",$H832-N($J832))</f>
        <v/>
      </c>
      <c r="L832" s="25">
        <f>IFERROR($K832/$H832,"")</f>
        <v/>
      </c>
      <c r="M832" s="39">
        <f>IFERROR(INDEX('10_CLIENTI'!$B$5:$B$204,MATCH($D832,'10_CLIENTI'!$A$5:$A$204,0)),"")</f>
        <v/>
      </c>
      <c r="N832" s="39">
        <f>IFERROR(INDEX('11_PRODUSE'!$B$5:$B$104,MATCH($E832,'11_PRODUSE'!$A$5:$A$104,0)),"")</f>
        <v/>
      </c>
      <c r="O832" s="13" t="n"/>
      <c r="P832" s="13" t="n"/>
    </row>
    <row r="833">
      <c r="A833" s="35" t="n"/>
      <c r="B833" s="39">
        <f>IF($A833="","",YEAR($A833)&amp;"-"&amp;RIGHT("0"&amp;MONTH($A833),2))</f>
        <v/>
      </c>
      <c r="C833" s="13" t="n"/>
      <c r="D833" s="13" t="n"/>
      <c r="E833" s="13" t="n"/>
      <c r="F833" s="13" t="n"/>
      <c r="G833" s="40" t="n"/>
      <c r="H833" s="38" t="n"/>
      <c r="I833" s="38" t="n"/>
      <c r="J833" s="38" t="n"/>
      <c r="K833" s="24">
        <f>IF($H833="","",$H833-N($J833))</f>
        <v/>
      </c>
      <c r="L833" s="25">
        <f>IFERROR($K833/$H833,"")</f>
        <v/>
      </c>
      <c r="M833" s="39">
        <f>IFERROR(INDEX('10_CLIENTI'!$B$5:$B$204,MATCH($D833,'10_CLIENTI'!$A$5:$A$204,0)),"")</f>
        <v/>
      </c>
      <c r="N833" s="39">
        <f>IFERROR(INDEX('11_PRODUSE'!$B$5:$B$104,MATCH($E833,'11_PRODUSE'!$A$5:$A$104,0)),"")</f>
        <v/>
      </c>
      <c r="O833" s="13" t="n"/>
      <c r="P833" s="13" t="n"/>
    </row>
    <row r="834">
      <c r="A834" s="35" t="n"/>
      <c r="B834" s="39">
        <f>IF($A834="","",YEAR($A834)&amp;"-"&amp;RIGHT("0"&amp;MONTH($A834),2))</f>
        <v/>
      </c>
      <c r="C834" s="13" t="n"/>
      <c r="D834" s="13" t="n"/>
      <c r="E834" s="13" t="n"/>
      <c r="F834" s="13" t="n"/>
      <c r="G834" s="40" t="n"/>
      <c r="H834" s="38" t="n"/>
      <c r="I834" s="38" t="n"/>
      <c r="J834" s="38" t="n"/>
      <c r="K834" s="24">
        <f>IF($H834="","",$H834-N($J834))</f>
        <v/>
      </c>
      <c r="L834" s="25">
        <f>IFERROR($K834/$H834,"")</f>
        <v/>
      </c>
      <c r="M834" s="39">
        <f>IFERROR(INDEX('10_CLIENTI'!$B$5:$B$204,MATCH($D834,'10_CLIENTI'!$A$5:$A$204,0)),"")</f>
        <v/>
      </c>
      <c r="N834" s="39">
        <f>IFERROR(INDEX('11_PRODUSE'!$B$5:$B$104,MATCH($E834,'11_PRODUSE'!$A$5:$A$104,0)),"")</f>
        <v/>
      </c>
      <c r="O834" s="13" t="n"/>
      <c r="P834" s="13" t="n"/>
    </row>
    <row r="835">
      <c r="A835" s="35" t="n"/>
      <c r="B835" s="39">
        <f>IF($A835="","",YEAR($A835)&amp;"-"&amp;RIGHT("0"&amp;MONTH($A835),2))</f>
        <v/>
      </c>
      <c r="C835" s="13" t="n"/>
      <c r="D835" s="13" t="n"/>
      <c r="E835" s="13" t="n"/>
      <c r="F835" s="13" t="n"/>
      <c r="G835" s="40" t="n"/>
      <c r="H835" s="38" t="n"/>
      <c r="I835" s="38" t="n"/>
      <c r="J835" s="38" t="n"/>
      <c r="K835" s="24">
        <f>IF($H835="","",$H835-N($J835))</f>
        <v/>
      </c>
      <c r="L835" s="25">
        <f>IFERROR($K835/$H835,"")</f>
        <v/>
      </c>
      <c r="M835" s="39">
        <f>IFERROR(INDEX('10_CLIENTI'!$B$5:$B$204,MATCH($D835,'10_CLIENTI'!$A$5:$A$204,0)),"")</f>
        <v/>
      </c>
      <c r="N835" s="39">
        <f>IFERROR(INDEX('11_PRODUSE'!$B$5:$B$104,MATCH($E835,'11_PRODUSE'!$A$5:$A$104,0)),"")</f>
        <v/>
      </c>
      <c r="O835" s="13" t="n"/>
      <c r="P835" s="13" t="n"/>
    </row>
    <row r="836">
      <c r="A836" s="35" t="n"/>
      <c r="B836" s="39">
        <f>IF($A836="","",YEAR($A836)&amp;"-"&amp;RIGHT("0"&amp;MONTH($A836),2))</f>
        <v/>
      </c>
      <c r="C836" s="13" t="n"/>
      <c r="D836" s="13" t="n"/>
      <c r="E836" s="13" t="n"/>
      <c r="F836" s="13" t="n"/>
      <c r="G836" s="40" t="n"/>
      <c r="H836" s="38" t="n"/>
      <c r="I836" s="38" t="n"/>
      <c r="J836" s="38" t="n"/>
      <c r="K836" s="24">
        <f>IF($H836="","",$H836-N($J836))</f>
        <v/>
      </c>
      <c r="L836" s="25">
        <f>IFERROR($K836/$H836,"")</f>
        <v/>
      </c>
      <c r="M836" s="39">
        <f>IFERROR(INDEX('10_CLIENTI'!$B$5:$B$204,MATCH($D836,'10_CLIENTI'!$A$5:$A$204,0)),"")</f>
        <v/>
      </c>
      <c r="N836" s="39">
        <f>IFERROR(INDEX('11_PRODUSE'!$B$5:$B$104,MATCH($E836,'11_PRODUSE'!$A$5:$A$104,0)),"")</f>
        <v/>
      </c>
      <c r="O836" s="13" t="n"/>
      <c r="P836" s="13" t="n"/>
    </row>
    <row r="837">
      <c r="A837" s="35" t="n"/>
      <c r="B837" s="39">
        <f>IF($A837="","",YEAR($A837)&amp;"-"&amp;RIGHT("0"&amp;MONTH($A837),2))</f>
        <v/>
      </c>
      <c r="C837" s="13" t="n"/>
      <c r="D837" s="13" t="n"/>
      <c r="E837" s="13" t="n"/>
      <c r="F837" s="13" t="n"/>
      <c r="G837" s="40" t="n"/>
      <c r="H837" s="38" t="n"/>
      <c r="I837" s="38" t="n"/>
      <c r="J837" s="38" t="n"/>
      <c r="K837" s="24">
        <f>IF($H837="","",$H837-N($J837))</f>
        <v/>
      </c>
      <c r="L837" s="25">
        <f>IFERROR($K837/$H837,"")</f>
        <v/>
      </c>
      <c r="M837" s="39">
        <f>IFERROR(INDEX('10_CLIENTI'!$B$5:$B$204,MATCH($D837,'10_CLIENTI'!$A$5:$A$204,0)),"")</f>
        <v/>
      </c>
      <c r="N837" s="39">
        <f>IFERROR(INDEX('11_PRODUSE'!$B$5:$B$104,MATCH($E837,'11_PRODUSE'!$A$5:$A$104,0)),"")</f>
        <v/>
      </c>
      <c r="O837" s="13" t="n"/>
      <c r="P837" s="13" t="n"/>
    </row>
    <row r="838">
      <c r="A838" s="35" t="n"/>
      <c r="B838" s="39">
        <f>IF($A838="","",YEAR($A838)&amp;"-"&amp;RIGHT("0"&amp;MONTH($A838),2))</f>
        <v/>
      </c>
      <c r="C838" s="13" t="n"/>
      <c r="D838" s="13" t="n"/>
      <c r="E838" s="13" t="n"/>
      <c r="F838" s="13" t="n"/>
      <c r="G838" s="40" t="n"/>
      <c r="H838" s="38" t="n"/>
      <c r="I838" s="38" t="n"/>
      <c r="J838" s="38" t="n"/>
      <c r="K838" s="24">
        <f>IF($H838="","",$H838-N($J838))</f>
        <v/>
      </c>
      <c r="L838" s="25">
        <f>IFERROR($K838/$H838,"")</f>
        <v/>
      </c>
      <c r="M838" s="39">
        <f>IFERROR(INDEX('10_CLIENTI'!$B$5:$B$204,MATCH($D838,'10_CLIENTI'!$A$5:$A$204,0)),"")</f>
        <v/>
      </c>
      <c r="N838" s="39">
        <f>IFERROR(INDEX('11_PRODUSE'!$B$5:$B$104,MATCH($E838,'11_PRODUSE'!$A$5:$A$104,0)),"")</f>
        <v/>
      </c>
      <c r="O838" s="13" t="n"/>
      <c r="P838" s="13" t="n"/>
    </row>
    <row r="839">
      <c r="A839" s="35" t="n"/>
      <c r="B839" s="39">
        <f>IF($A839="","",YEAR($A839)&amp;"-"&amp;RIGHT("0"&amp;MONTH($A839),2))</f>
        <v/>
      </c>
      <c r="C839" s="13" t="n"/>
      <c r="D839" s="13" t="n"/>
      <c r="E839" s="13" t="n"/>
      <c r="F839" s="13" t="n"/>
      <c r="G839" s="40" t="n"/>
      <c r="H839" s="38" t="n"/>
      <c r="I839" s="38" t="n"/>
      <c r="J839" s="38" t="n"/>
      <c r="K839" s="24">
        <f>IF($H839="","",$H839-N($J839))</f>
        <v/>
      </c>
      <c r="L839" s="25">
        <f>IFERROR($K839/$H839,"")</f>
        <v/>
      </c>
      <c r="M839" s="39">
        <f>IFERROR(INDEX('10_CLIENTI'!$B$5:$B$204,MATCH($D839,'10_CLIENTI'!$A$5:$A$204,0)),"")</f>
        <v/>
      </c>
      <c r="N839" s="39">
        <f>IFERROR(INDEX('11_PRODUSE'!$B$5:$B$104,MATCH($E839,'11_PRODUSE'!$A$5:$A$104,0)),"")</f>
        <v/>
      </c>
      <c r="O839" s="13" t="n"/>
      <c r="P839" s="13" t="n"/>
    </row>
    <row r="840">
      <c r="A840" s="35" t="n"/>
      <c r="B840" s="39">
        <f>IF($A840="","",YEAR($A840)&amp;"-"&amp;RIGHT("0"&amp;MONTH($A840),2))</f>
        <v/>
      </c>
      <c r="C840" s="13" t="n"/>
      <c r="D840" s="13" t="n"/>
      <c r="E840" s="13" t="n"/>
      <c r="F840" s="13" t="n"/>
      <c r="G840" s="40" t="n"/>
      <c r="H840" s="38" t="n"/>
      <c r="I840" s="38" t="n"/>
      <c r="J840" s="38" t="n"/>
      <c r="K840" s="24">
        <f>IF($H840="","",$H840-N($J840))</f>
        <v/>
      </c>
      <c r="L840" s="25">
        <f>IFERROR($K840/$H840,"")</f>
        <v/>
      </c>
      <c r="M840" s="39">
        <f>IFERROR(INDEX('10_CLIENTI'!$B$5:$B$204,MATCH($D840,'10_CLIENTI'!$A$5:$A$204,0)),"")</f>
        <v/>
      </c>
      <c r="N840" s="39">
        <f>IFERROR(INDEX('11_PRODUSE'!$B$5:$B$104,MATCH($E840,'11_PRODUSE'!$A$5:$A$104,0)),"")</f>
        <v/>
      </c>
      <c r="O840" s="13" t="n"/>
      <c r="P840" s="13" t="n"/>
    </row>
    <row r="841">
      <c r="A841" s="35" t="n"/>
      <c r="B841" s="39">
        <f>IF($A841="","",YEAR($A841)&amp;"-"&amp;RIGHT("0"&amp;MONTH($A841),2))</f>
        <v/>
      </c>
      <c r="C841" s="13" t="n"/>
      <c r="D841" s="13" t="n"/>
      <c r="E841" s="13" t="n"/>
      <c r="F841" s="13" t="n"/>
      <c r="G841" s="40" t="n"/>
      <c r="H841" s="38" t="n"/>
      <c r="I841" s="38" t="n"/>
      <c r="J841" s="38" t="n"/>
      <c r="K841" s="24">
        <f>IF($H841="","",$H841-N($J841))</f>
        <v/>
      </c>
      <c r="L841" s="25">
        <f>IFERROR($K841/$H841,"")</f>
        <v/>
      </c>
      <c r="M841" s="39">
        <f>IFERROR(INDEX('10_CLIENTI'!$B$5:$B$204,MATCH($D841,'10_CLIENTI'!$A$5:$A$204,0)),"")</f>
        <v/>
      </c>
      <c r="N841" s="39">
        <f>IFERROR(INDEX('11_PRODUSE'!$B$5:$B$104,MATCH($E841,'11_PRODUSE'!$A$5:$A$104,0)),"")</f>
        <v/>
      </c>
      <c r="O841" s="13" t="n"/>
      <c r="P841" s="13" t="n"/>
    </row>
    <row r="842">
      <c r="A842" s="35" t="n"/>
      <c r="B842" s="39">
        <f>IF($A842="","",YEAR($A842)&amp;"-"&amp;RIGHT("0"&amp;MONTH($A842),2))</f>
        <v/>
      </c>
      <c r="C842" s="13" t="n"/>
      <c r="D842" s="13" t="n"/>
      <c r="E842" s="13" t="n"/>
      <c r="F842" s="13" t="n"/>
      <c r="G842" s="40" t="n"/>
      <c r="H842" s="38" t="n"/>
      <c r="I842" s="38" t="n"/>
      <c r="J842" s="38" t="n"/>
      <c r="K842" s="24">
        <f>IF($H842="","",$H842-N($J842))</f>
        <v/>
      </c>
      <c r="L842" s="25">
        <f>IFERROR($K842/$H842,"")</f>
        <v/>
      </c>
      <c r="M842" s="39">
        <f>IFERROR(INDEX('10_CLIENTI'!$B$5:$B$204,MATCH($D842,'10_CLIENTI'!$A$5:$A$204,0)),"")</f>
        <v/>
      </c>
      <c r="N842" s="39">
        <f>IFERROR(INDEX('11_PRODUSE'!$B$5:$B$104,MATCH($E842,'11_PRODUSE'!$A$5:$A$104,0)),"")</f>
        <v/>
      </c>
      <c r="O842" s="13" t="n"/>
      <c r="P842" s="13" t="n"/>
    </row>
    <row r="843">
      <c r="A843" s="35" t="n"/>
      <c r="B843" s="39">
        <f>IF($A843="","",YEAR($A843)&amp;"-"&amp;RIGHT("0"&amp;MONTH($A843),2))</f>
        <v/>
      </c>
      <c r="C843" s="13" t="n"/>
      <c r="D843" s="13" t="n"/>
      <c r="E843" s="13" t="n"/>
      <c r="F843" s="13" t="n"/>
      <c r="G843" s="40" t="n"/>
      <c r="H843" s="38" t="n"/>
      <c r="I843" s="38" t="n"/>
      <c r="J843" s="38" t="n"/>
      <c r="K843" s="24">
        <f>IF($H843="","",$H843-N($J843))</f>
        <v/>
      </c>
      <c r="L843" s="25">
        <f>IFERROR($K843/$H843,"")</f>
        <v/>
      </c>
      <c r="M843" s="39">
        <f>IFERROR(INDEX('10_CLIENTI'!$B$5:$B$204,MATCH($D843,'10_CLIENTI'!$A$5:$A$204,0)),"")</f>
        <v/>
      </c>
      <c r="N843" s="39">
        <f>IFERROR(INDEX('11_PRODUSE'!$B$5:$B$104,MATCH($E843,'11_PRODUSE'!$A$5:$A$104,0)),"")</f>
        <v/>
      </c>
      <c r="O843" s="13" t="n"/>
      <c r="P843" s="13" t="n"/>
    </row>
    <row r="844">
      <c r="A844" s="35" t="n"/>
      <c r="B844" s="39">
        <f>IF($A844="","",YEAR($A844)&amp;"-"&amp;RIGHT("0"&amp;MONTH($A844),2))</f>
        <v/>
      </c>
      <c r="C844" s="13" t="n"/>
      <c r="D844" s="13" t="n"/>
      <c r="E844" s="13" t="n"/>
      <c r="F844" s="13" t="n"/>
      <c r="G844" s="40" t="n"/>
      <c r="H844" s="38" t="n"/>
      <c r="I844" s="38" t="n"/>
      <c r="J844" s="38" t="n"/>
      <c r="K844" s="24">
        <f>IF($H844="","",$H844-N($J844))</f>
        <v/>
      </c>
      <c r="L844" s="25">
        <f>IFERROR($K844/$H844,"")</f>
        <v/>
      </c>
      <c r="M844" s="39">
        <f>IFERROR(INDEX('10_CLIENTI'!$B$5:$B$204,MATCH($D844,'10_CLIENTI'!$A$5:$A$204,0)),"")</f>
        <v/>
      </c>
      <c r="N844" s="39">
        <f>IFERROR(INDEX('11_PRODUSE'!$B$5:$B$104,MATCH($E844,'11_PRODUSE'!$A$5:$A$104,0)),"")</f>
        <v/>
      </c>
      <c r="O844" s="13" t="n"/>
      <c r="P844" s="13" t="n"/>
    </row>
    <row r="845">
      <c r="A845" s="35" t="n"/>
      <c r="B845" s="39">
        <f>IF($A845="","",YEAR($A845)&amp;"-"&amp;RIGHT("0"&amp;MONTH($A845),2))</f>
        <v/>
      </c>
      <c r="C845" s="13" t="n"/>
      <c r="D845" s="13" t="n"/>
      <c r="E845" s="13" t="n"/>
      <c r="F845" s="13" t="n"/>
      <c r="G845" s="40" t="n"/>
      <c r="H845" s="38" t="n"/>
      <c r="I845" s="38" t="n"/>
      <c r="J845" s="38" t="n"/>
      <c r="K845" s="24">
        <f>IF($H845="","",$H845-N($J845))</f>
        <v/>
      </c>
      <c r="L845" s="25">
        <f>IFERROR($K845/$H845,"")</f>
        <v/>
      </c>
      <c r="M845" s="39">
        <f>IFERROR(INDEX('10_CLIENTI'!$B$5:$B$204,MATCH($D845,'10_CLIENTI'!$A$5:$A$204,0)),"")</f>
        <v/>
      </c>
      <c r="N845" s="39">
        <f>IFERROR(INDEX('11_PRODUSE'!$B$5:$B$104,MATCH($E845,'11_PRODUSE'!$A$5:$A$104,0)),"")</f>
        <v/>
      </c>
      <c r="O845" s="13" t="n"/>
      <c r="P845" s="13" t="n"/>
    </row>
    <row r="846">
      <c r="A846" s="35" t="n"/>
      <c r="B846" s="39">
        <f>IF($A846="","",YEAR($A846)&amp;"-"&amp;RIGHT("0"&amp;MONTH($A846),2))</f>
        <v/>
      </c>
      <c r="C846" s="13" t="n"/>
      <c r="D846" s="13" t="n"/>
      <c r="E846" s="13" t="n"/>
      <c r="F846" s="13" t="n"/>
      <c r="G846" s="40" t="n"/>
      <c r="H846" s="38" t="n"/>
      <c r="I846" s="38" t="n"/>
      <c r="J846" s="38" t="n"/>
      <c r="K846" s="24">
        <f>IF($H846="","",$H846-N($J846))</f>
        <v/>
      </c>
      <c r="L846" s="25">
        <f>IFERROR($K846/$H846,"")</f>
        <v/>
      </c>
      <c r="M846" s="39">
        <f>IFERROR(INDEX('10_CLIENTI'!$B$5:$B$204,MATCH($D846,'10_CLIENTI'!$A$5:$A$204,0)),"")</f>
        <v/>
      </c>
      <c r="N846" s="39">
        <f>IFERROR(INDEX('11_PRODUSE'!$B$5:$B$104,MATCH($E846,'11_PRODUSE'!$A$5:$A$104,0)),"")</f>
        <v/>
      </c>
      <c r="O846" s="13" t="n"/>
      <c r="P846" s="13" t="n"/>
    </row>
    <row r="847">
      <c r="A847" s="35" t="n"/>
      <c r="B847" s="39">
        <f>IF($A847="","",YEAR($A847)&amp;"-"&amp;RIGHT("0"&amp;MONTH($A847),2))</f>
        <v/>
      </c>
      <c r="C847" s="13" t="n"/>
      <c r="D847" s="13" t="n"/>
      <c r="E847" s="13" t="n"/>
      <c r="F847" s="13" t="n"/>
      <c r="G847" s="40" t="n"/>
      <c r="H847" s="38" t="n"/>
      <c r="I847" s="38" t="n"/>
      <c r="J847" s="38" t="n"/>
      <c r="K847" s="24">
        <f>IF($H847="","",$H847-N($J847))</f>
        <v/>
      </c>
      <c r="L847" s="25">
        <f>IFERROR($K847/$H847,"")</f>
        <v/>
      </c>
      <c r="M847" s="39">
        <f>IFERROR(INDEX('10_CLIENTI'!$B$5:$B$204,MATCH($D847,'10_CLIENTI'!$A$5:$A$204,0)),"")</f>
        <v/>
      </c>
      <c r="N847" s="39">
        <f>IFERROR(INDEX('11_PRODUSE'!$B$5:$B$104,MATCH($E847,'11_PRODUSE'!$A$5:$A$104,0)),"")</f>
        <v/>
      </c>
      <c r="O847" s="13" t="n"/>
      <c r="P847" s="13" t="n"/>
    </row>
    <row r="848">
      <c r="A848" s="35" t="n"/>
      <c r="B848" s="39">
        <f>IF($A848="","",YEAR($A848)&amp;"-"&amp;RIGHT("0"&amp;MONTH($A848),2))</f>
        <v/>
      </c>
      <c r="C848" s="13" t="n"/>
      <c r="D848" s="13" t="n"/>
      <c r="E848" s="13" t="n"/>
      <c r="F848" s="13" t="n"/>
      <c r="G848" s="40" t="n"/>
      <c r="H848" s="38" t="n"/>
      <c r="I848" s="38" t="n"/>
      <c r="J848" s="38" t="n"/>
      <c r="K848" s="24">
        <f>IF($H848="","",$H848-N($J848))</f>
        <v/>
      </c>
      <c r="L848" s="25">
        <f>IFERROR($K848/$H848,"")</f>
        <v/>
      </c>
      <c r="M848" s="39">
        <f>IFERROR(INDEX('10_CLIENTI'!$B$5:$B$204,MATCH($D848,'10_CLIENTI'!$A$5:$A$204,0)),"")</f>
        <v/>
      </c>
      <c r="N848" s="39">
        <f>IFERROR(INDEX('11_PRODUSE'!$B$5:$B$104,MATCH($E848,'11_PRODUSE'!$A$5:$A$104,0)),"")</f>
        <v/>
      </c>
      <c r="O848" s="13" t="n"/>
      <c r="P848" s="13" t="n"/>
    </row>
    <row r="849">
      <c r="A849" s="35" t="n"/>
      <c r="B849" s="39">
        <f>IF($A849="","",YEAR($A849)&amp;"-"&amp;RIGHT("0"&amp;MONTH($A849),2))</f>
        <v/>
      </c>
      <c r="C849" s="13" t="n"/>
      <c r="D849" s="13" t="n"/>
      <c r="E849" s="13" t="n"/>
      <c r="F849" s="13" t="n"/>
      <c r="G849" s="40" t="n"/>
      <c r="H849" s="38" t="n"/>
      <c r="I849" s="38" t="n"/>
      <c r="J849" s="38" t="n"/>
      <c r="K849" s="24">
        <f>IF($H849="","",$H849-N($J849))</f>
        <v/>
      </c>
      <c r="L849" s="25">
        <f>IFERROR($K849/$H849,"")</f>
        <v/>
      </c>
      <c r="M849" s="39">
        <f>IFERROR(INDEX('10_CLIENTI'!$B$5:$B$204,MATCH($D849,'10_CLIENTI'!$A$5:$A$204,0)),"")</f>
        <v/>
      </c>
      <c r="N849" s="39">
        <f>IFERROR(INDEX('11_PRODUSE'!$B$5:$B$104,MATCH($E849,'11_PRODUSE'!$A$5:$A$104,0)),"")</f>
        <v/>
      </c>
      <c r="O849" s="13" t="n"/>
      <c r="P849" s="13" t="n"/>
    </row>
    <row r="850">
      <c r="A850" s="35" t="n"/>
      <c r="B850" s="39">
        <f>IF($A850="","",YEAR($A850)&amp;"-"&amp;RIGHT("0"&amp;MONTH($A850),2))</f>
        <v/>
      </c>
      <c r="C850" s="13" t="n"/>
      <c r="D850" s="13" t="n"/>
      <c r="E850" s="13" t="n"/>
      <c r="F850" s="13" t="n"/>
      <c r="G850" s="40" t="n"/>
      <c r="H850" s="38" t="n"/>
      <c r="I850" s="38" t="n"/>
      <c r="J850" s="38" t="n"/>
      <c r="K850" s="24">
        <f>IF($H850="","",$H850-N($J850))</f>
        <v/>
      </c>
      <c r="L850" s="25">
        <f>IFERROR($K850/$H850,"")</f>
        <v/>
      </c>
      <c r="M850" s="39">
        <f>IFERROR(INDEX('10_CLIENTI'!$B$5:$B$204,MATCH($D850,'10_CLIENTI'!$A$5:$A$204,0)),"")</f>
        <v/>
      </c>
      <c r="N850" s="39">
        <f>IFERROR(INDEX('11_PRODUSE'!$B$5:$B$104,MATCH($E850,'11_PRODUSE'!$A$5:$A$104,0)),"")</f>
        <v/>
      </c>
      <c r="O850" s="13" t="n"/>
      <c r="P850" s="13" t="n"/>
    </row>
    <row r="851">
      <c r="A851" s="35" t="n"/>
      <c r="B851" s="39">
        <f>IF($A851="","",YEAR($A851)&amp;"-"&amp;RIGHT("0"&amp;MONTH($A851),2))</f>
        <v/>
      </c>
      <c r="C851" s="13" t="n"/>
      <c r="D851" s="13" t="n"/>
      <c r="E851" s="13" t="n"/>
      <c r="F851" s="13" t="n"/>
      <c r="G851" s="40" t="n"/>
      <c r="H851" s="38" t="n"/>
      <c r="I851" s="38" t="n"/>
      <c r="J851" s="38" t="n"/>
      <c r="K851" s="24">
        <f>IF($H851="","",$H851-N($J851))</f>
        <v/>
      </c>
      <c r="L851" s="25">
        <f>IFERROR($K851/$H851,"")</f>
        <v/>
      </c>
      <c r="M851" s="39">
        <f>IFERROR(INDEX('10_CLIENTI'!$B$5:$B$204,MATCH($D851,'10_CLIENTI'!$A$5:$A$204,0)),"")</f>
        <v/>
      </c>
      <c r="N851" s="39">
        <f>IFERROR(INDEX('11_PRODUSE'!$B$5:$B$104,MATCH($E851,'11_PRODUSE'!$A$5:$A$104,0)),"")</f>
        <v/>
      </c>
      <c r="O851" s="13" t="n"/>
      <c r="P851" s="13" t="n"/>
    </row>
    <row r="852">
      <c r="A852" s="35" t="n"/>
      <c r="B852" s="39">
        <f>IF($A852="","",YEAR($A852)&amp;"-"&amp;RIGHT("0"&amp;MONTH($A852),2))</f>
        <v/>
      </c>
      <c r="C852" s="13" t="n"/>
      <c r="D852" s="13" t="n"/>
      <c r="E852" s="13" t="n"/>
      <c r="F852" s="13" t="n"/>
      <c r="G852" s="40" t="n"/>
      <c r="H852" s="38" t="n"/>
      <c r="I852" s="38" t="n"/>
      <c r="J852" s="38" t="n"/>
      <c r="K852" s="24">
        <f>IF($H852="","",$H852-N($J852))</f>
        <v/>
      </c>
      <c r="L852" s="25">
        <f>IFERROR($K852/$H852,"")</f>
        <v/>
      </c>
      <c r="M852" s="39">
        <f>IFERROR(INDEX('10_CLIENTI'!$B$5:$B$204,MATCH($D852,'10_CLIENTI'!$A$5:$A$204,0)),"")</f>
        <v/>
      </c>
      <c r="N852" s="39">
        <f>IFERROR(INDEX('11_PRODUSE'!$B$5:$B$104,MATCH($E852,'11_PRODUSE'!$A$5:$A$104,0)),"")</f>
        <v/>
      </c>
      <c r="O852" s="13" t="n"/>
      <c r="P852" s="13" t="n"/>
    </row>
    <row r="853">
      <c r="A853" s="35" t="n"/>
      <c r="B853" s="39">
        <f>IF($A853="","",YEAR($A853)&amp;"-"&amp;RIGHT("0"&amp;MONTH($A853),2))</f>
        <v/>
      </c>
      <c r="C853" s="13" t="n"/>
      <c r="D853" s="13" t="n"/>
      <c r="E853" s="13" t="n"/>
      <c r="F853" s="13" t="n"/>
      <c r="G853" s="40" t="n"/>
      <c r="H853" s="38" t="n"/>
      <c r="I853" s="38" t="n"/>
      <c r="J853" s="38" t="n"/>
      <c r="K853" s="24">
        <f>IF($H853="","",$H853-N($J853))</f>
        <v/>
      </c>
      <c r="L853" s="25">
        <f>IFERROR($K853/$H853,"")</f>
        <v/>
      </c>
      <c r="M853" s="39">
        <f>IFERROR(INDEX('10_CLIENTI'!$B$5:$B$204,MATCH($D853,'10_CLIENTI'!$A$5:$A$204,0)),"")</f>
        <v/>
      </c>
      <c r="N853" s="39">
        <f>IFERROR(INDEX('11_PRODUSE'!$B$5:$B$104,MATCH($E853,'11_PRODUSE'!$A$5:$A$104,0)),"")</f>
        <v/>
      </c>
      <c r="O853" s="13" t="n"/>
      <c r="P853" s="13" t="n"/>
    </row>
    <row r="854">
      <c r="A854" s="35" t="n"/>
      <c r="B854" s="39">
        <f>IF($A854="","",YEAR($A854)&amp;"-"&amp;RIGHT("0"&amp;MONTH($A854),2))</f>
        <v/>
      </c>
      <c r="C854" s="13" t="n"/>
      <c r="D854" s="13" t="n"/>
      <c r="E854" s="13" t="n"/>
      <c r="F854" s="13" t="n"/>
      <c r="G854" s="40" t="n"/>
      <c r="H854" s="38" t="n"/>
      <c r="I854" s="38" t="n"/>
      <c r="J854" s="38" t="n"/>
      <c r="K854" s="24">
        <f>IF($H854="","",$H854-N($J854))</f>
        <v/>
      </c>
      <c r="L854" s="25">
        <f>IFERROR($K854/$H854,"")</f>
        <v/>
      </c>
      <c r="M854" s="39">
        <f>IFERROR(INDEX('10_CLIENTI'!$B$5:$B$204,MATCH($D854,'10_CLIENTI'!$A$5:$A$204,0)),"")</f>
        <v/>
      </c>
      <c r="N854" s="39">
        <f>IFERROR(INDEX('11_PRODUSE'!$B$5:$B$104,MATCH($E854,'11_PRODUSE'!$A$5:$A$104,0)),"")</f>
        <v/>
      </c>
      <c r="O854" s="13" t="n"/>
      <c r="P854" s="13" t="n"/>
    </row>
    <row r="855">
      <c r="A855" s="35" t="n"/>
      <c r="B855" s="39">
        <f>IF($A855="","",YEAR($A855)&amp;"-"&amp;RIGHT("0"&amp;MONTH($A855),2))</f>
        <v/>
      </c>
      <c r="C855" s="13" t="n"/>
      <c r="D855" s="13" t="n"/>
      <c r="E855" s="13" t="n"/>
      <c r="F855" s="13" t="n"/>
      <c r="G855" s="40" t="n"/>
      <c r="H855" s="38" t="n"/>
      <c r="I855" s="38" t="n"/>
      <c r="J855" s="38" t="n"/>
      <c r="K855" s="24">
        <f>IF($H855="","",$H855-N($J855))</f>
        <v/>
      </c>
      <c r="L855" s="25">
        <f>IFERROR($K855/$H855,"")</f>
        <v/>
      </c>
      <c r="M855" s="39">
        <f>IFERROR(INDEX('10_CLIENTI'!$B$5:$B$204,MATCH($D855,'10_CLIENTI'!$A$5:$A$204,0)),"")</f>
        <v/>
      </c>
      <c r="N855" s="39">
        <f>IFERROR(INDEX('11_PRODUSE'!$B$5:$B$104,MATCH($E855,'11_PRODUSE'!$A$5:$A$104,0)),"")</f>
        <v/>
      </c>
      <c r="O855" s="13" t="n"/>
      <c r="P855" s="13" t="n"/>
    </row>
    <row r="856">
      <c r="A856" s="35" t="n"/>
      <c r="B856" s="39">
        <f>IF($A856="","",YEAR($A856)&amp;"-"&amp;RIGHT("0"&amp;MONTH($A856),2))</f>
        <v/>
      </c>
      <c r="C856" s="13" t="n"/>
      <c r="D856" s="13" t="n"/>
      <c r="E856" s="13" t="n"/>
      <c r="F856" s="13" t="n"/>
      <c r="G856" s="40" t="n"/>
      <c r="H856" s="38" t="n"/>
      <c r="I856" s="38" t="n"/>
      <c r="J856" s="38" t="n"/>
      <c r="K856" s="24">
        <f>IF($H856="","",$H856-N($J856))</f>
        <v/>
      </c>
      <c r="L856" s="25">
        <f>IFERROR($K856/$H856,"")</f>
        <v/>
      </c>
      <c r="M856" s="39">
        <f>IFERROR(INDEX('10_CLIENTI'!$B$5:$B$204,MATCH($D856,'10_CLIENTI'!$A$5:$A$204,0)),"")</f>
        <v/>
      </c>
      <c r="N856" s="39">
        <f>IFERROR(INDEX('11_PRODUSE'!$B$5:$B$104,MATCH($E856,'11_PRODUSE'!$A$5:$A$104,0)),"")</f>
        <v/>
      </c>
      <c r="O856" s="13" t="n"/>
      <c r="P856" s="13" t="n"/>
    </row>
    <row r="857">
      <c r="A857" s="35" t="n"/>
      <c r="B857" s="39">
        <f>IF($A857="","",YEAR($A857)&amp;"-"&amp;RIGHT("0"&amp;MONTH($A857),2))</f>
        <v/>
      </c>
      <c r="C857" s="13" t="n"/>
      <c r="D857" s="13" t="n"/>
      <c r="E857" s="13" t="n"/>
      <c r="F857" s="13" t="n"/>
      <c r="G857" s="40" t="n"/>
      <c r="H857" s="38" t="n"/>
      <c r="I857" s="38" t="n"/>
      <c r="J857" s="38" t="n"/>
      <c r="K857" s="24">
        <f>IF($H857="","",$H857-N($J857))</f>
        <v/>
      </c>
      <c r="L857" s="25">
        <f>IFERROR($K857/$H857,"")</f>
        <v/>
      </c>
      <c r="M857" s="39">
        <f>IFERROR(INDEX('10_CLIENTI'!$B$5:$B$204,MATCH($D857,'10_CLIENTI'!$A$5:$A$204,0)),"")</f>
        <v/>
      </c>
      <c r="N857" s="39">
        <f>IFERROR(INDEX('11_PRODUSE'!$B$5:$B$104,MATCH($E857,'11_PRODUSE'!$A$5:$A$104,0)),"")</f>
        <v/>
      </c>
      <c r="O857" s="13" t="n"/>
      <c r="P857" s="13" t="n"/>
    </row>
    <row r="858">
      <c r="A858" s="35" t="n"/>
      <c r="B858" s="39">
        <f>IF($A858="","",YEAR($A858)&amp;"-"&amp;RIGHT("0"&amp;MONTH($A858),2))</f>
        <v/>
      </c>
      <c r="C858" s="13" t="n"/>
      <c r="D858" s="13" t="n"/>
      <c r="E858" s="13" t="n"/>
      <c r="F858" s="13" t="n"/>
      <c r="G858" s="40" t="n"/>
      <c r="H858" s="38" t="n"/>
      <c r="I858" s="38" t="n"/>
      <c r="J858" s="38" t="n"/>
      <c r="K858" s="24">
        <f>IF($H858="","",$H858-N($J858))</f>
        <v/>
      </c>
      <c r="L858" s="25">
        <f>IFERROR($K858/$H858,"")</f>
        <v/>
      </c>
      <c r="M858" s="39">
        <f>IFERROR(INDEX('10_CLIENTI'!$B$5:$B$204,MATCH($D858,'10_CLIENTI'!$A$5:$A$204,0)),"")</f>
        <v/>
      </c>
      <c r="N858" s="39">
        <f>IFERROR(INDEX('11_PRODUSE'!$B$5:$B$104,MATCH($E858,'11_PRODUSE'!$A$5:$A$104,0)),"")</f>
        <v/>
      </c>
      <c r="O858" s="13" t="n"/>
      <c r="P858" s="13" t="n"/>
    </row>
    <row r="859">
      <c r="A859" s="35" t="n"/>
      <c r="B859" s="39">
        <f>IF($A859="","",YEAR($A859)&amp;"-"&amp;RIGHT("0"&amp;MONTH($A859),2))</f>
        <v/>
      </c>
      <c r="C859" s="13" t="n"/>
      <c r="D859" s="13" t="n"/>
      <c r="E859" s="13" t="n"/>
      <c r="F859" s="13" t="n"/>
      <c r="G859" s="40" t="n"/>
      <c r="H859" s="38" t="n"/>
      <c r="I859" s="38" t="n"/>
      <c r="J859" s="38" t="n"/>
      <c r="K859" s="24">
        <f>IF($H859="","",$H859-N($J859))</f>
        <v/>
      </c>
      <c r="L859" s="25">
        <f>IFERROR($K859/$H859,"")</f>
        <v/>
      </c>
      <c r="M859" s="39">
        <f>IFERROR(INDEX('10_CLIENTI'!$B$5:$B$204,MATCH($D859,'10_CLIENTI'!$A$5:$A$204,0)),"")</f>
        <v/>
      </c>
      <c r="N859" s="39">
        <f>IFERROR(INDEX('11_PRODUSE'!$B$5:$B$104,MATCH($E859,'11_PRODUSE'!$A$5:$A$104,0)),"")</f>
        <v/>
      </c>
      <c r="O859" s="13" t="n"/>
      <c r="P859" s="13" t="n"/>
    </row>
    <row r="860">
      <c r="A860" s="35" t="n"/>
      <c r="B860" s="39">
        <f>IF($A860="","",YEAR($A860)&amp;"-"&amp;RIGHT("0"&amp;MONTH($A860),2))</f>
        <v/>
      </c>
      <c r="C860" s="13" t="n"/>
      <c r="D860" s="13" t="n"/>
      <c r="E860" s="13" t="n"/>
      <c r="F860" s="13" t="n"/>
      <c r="G860" s="40" t="n"/>
      <c r="H860" s="38" t="n"/>
      <c r="I860" s="38" t="n"/>
      <c r="J860" s="38" t="n"/>
      <c r="K860" s="24">
        <f>IF($H860="","",$H860-N($J860))</f>
        <v/>
      </c>
      <c r="L860" s="25">
        <f>IFERROR($K860/$H860,"")</f>
        <v/>
      </c>
      <c r="M860" s="39">
        <f>IFERROR(INDEX('10_CLIENTI'!$B$5:$B$204,MATCH($D860,'10_CLIENTI'!$A$5:$A$204,0)),"")</f>
        <v/>
      </c>
      <c r="N860" s="39">
        <f>IFERROR(INDEX('11_PRODUSE'!$B$5:$B$104,MATCH($E860,'11_PRODUSE'!$A$5:$A$104,0)),"")</f>
        <v/>
      </c>
      <c r="O860" s="13" t="n"/>
      <c r="P860" s="13" t="n"/>
    </row>
    <row r="861">
      <c r="A861" s="35" t="n"/>
      <c r="B861" s="39">
        <f>IF($A861="","",YEAR($A861)&amp;"-"&amp;RIGHT("0"&amp;MONTH($A861),2))</f>
        <v/>
      </c>
      <c r="C861" s="13" t="n"/>
      <c r="D861" s="13" t="n"/>
      <c r="E861" s="13" t="n"/>
      <c r="F861" s="13" t="n"/>
      <c r="G861" s="40" t="n"/>
      <c r="H861" s="38" t="n"/>
      <c r="I861" s="38" t="n"/>
      <c r="J861" s="38" t="n"/>
      <c r="K861" s="24">
        <f>IF($H861="","",$H861-N($J861))</f>
        <v/>
      </c>
      <c r="L861" s="25">
        <f>IFERROR($K861/$H861,"")</f>
        <v/>
      </c>
      <c r="M861" s="39">
        <f>IFERROR(INDEX('10_CLIENTI'!$B$5:$B$204,MATCH($D861,'10_CLIENTI'!$A$5:$A$204,0)),"")</f>
        <v/>
      </c>
      <c r="N861" s="39">
        <f>IFERROR(INDEX('11_PRODUSE'!$B$5:$B$104,MATCH($E861,'11_PRODUSE'!$A$5:$A$104,0)),"")</f>
        <v/>
      </c>
      <c r="O861" s="13" t="n"/>
      <c r="P861" s="13" t="n"/>
    </row>
    <row r="862">
      <c r="A862" s="35" t="n"/>
      <c r="B862" s="39">
        <f>IF($A862="","",YEAR($A862)&amp;"-"&amp;RIGHT("0"&amp;MONTH($A862),2))</f>
        <v/>
      </c>
      <c r="C862" s="13" t="n"/>
      <c r="D862" s="13" t="n"/>
      <c r="E862" s="13" t="n"/>
      <c r="F862" s="13" t="n"/>
      <c r="G862" s="40" t="n"/>
      <c r="H862" s="38" t="n"/>
      <c r="I862" s="38" t="n"/>
      <c r="J862" s="38" t="n"/>
      <c r="K862" s="24">
        <f>IF($H862="","",$H862-N($J862))</f>
        <v/>
      </c>
      <c r="L862" s="25">
        <f>IFERROR($K862/$H862,"")</f>
        <v/>
      </c>
      <c r="M862" s="39">
        <f>IFERROR(INDEX('10_CLIENTI'!$B$5:$B$204,MATCH($D862,'10_CLIENTI'!$A$5:$A$204,0)),"")</f>
        <v/>
      </c>
      <c r="N862" s="39">
        <f>IFERROR(INDEX('11_PRODUSE'!$B$5:$B$104,MATCH($E862,'11_PRODUSE'!$A$5:$A$104,0)),"")</f>
        <v/>
      </c>
      <c r="O862" s="13" t="n"/>
      <c r="P862" s="13" t="n"/>
    </row>
    <row r="863">
      <c r="A863" s="35" t="n"/>
      <c r="B863" s="39">
        <f>IF($A863="","",YEAR($A863)&amp;"-"&amp;RIGHT("0"&amp;MONTH($A863),2))</f>
        <v/>
      </c>
      <c r="C863" s="13" t="n"/>
      <c r="D863" s="13" t="n"/>
      <c r="E863" s="13" t="n"/>
      <c r="F863" s="13" t="n"/>
      <c r="G863" s="40" t="n"/>
      <c r="H863" s="38" t="n"/>
      <c r="I863" s="38" t="n"/>
      <c r="J863" s="38" t="n"/>
      <c r="K863" s="24">
        <f>IF($H863="","",$H863-N($J863))</f>
        <v/>
      </c>
      <c r="L863" s="25">
        <f>IFERROR($K863/$H863,"")</f>
        <v/>
      </c>
      <c r="M863" s="39">
        <f>IFERROR(INDEX('10_CLIENTI'!$B$5:$B$204,MATCH($D863,'10_CLIENTI'!$A$5:$A$204,0)),"")</f>
        <v/>
      </c>
      <c r="N863" s="39">
        <f>IFERROR(INDEX('11_PRODUSE'!$B$5:$B$104,MATCH($E863,'11_PRODUSE'!$A$5:$A$104,0)),"")</f>
        <v/>
      </c>
      <c r="O863" s="13" t="n"/>
      <c r="P863" s="13" t="n"/>
    </row>
    <row r="864">
      <c r="A864" s="35" t="n"/>
      <c r="B864" s="39">
        <f>IF($A864="","",YEAR($A864)&amp;"-"&amp;RIGHT("0"&amp;MONTH($A864),2))</f>
        <v/>
      </c>
      <c r="C864" s="13" t="n"/>
      <c r="D864" s="13" t="n"/>
      <c r="E864" s="13" t="n"/>
      <c r="F864" s="13" t="n"/>
      <c r="G864" s="40" t="n"/>
      <c r="H864" s="38" t="n"/>
      <c r="I864" s="38" t="n"/>
      <c r="J864" s="38" t="n"/>
      <c r="K864" s="24">
        <f>IF($H864="","",$H864-N($J864))</f>
        <v/>
      </c>
      <c r="L864" s="25">
        <f>IFERROR($K864/$H864,"")</f>
        <v/>
      </c>
      <c r="M864" s="39">
        <f>IFERROR(INDEX('10_CLIENTI'!$B$5:$B$204,MATCH($D864,'10_CLIENTI'!$A$5:$A$204,0)),"")</f>
        <v/>
      </c>
      <c r="N864" s="39">
        <f>IFERROR(INDEX('11_PRODUSE'!$B$5:$B$104,MATCH($E864,'11_PRODUSE'!$A$5:$A$104,0)),"")</f>
        <v/>
      </c>
      <c r="O864" s="13" t="n"/>
      <c r="P864" s="13" t="n"/>
    </row>
    <row r="865">
      <c r="A865" s="35" t="n"/>
      <c r="B865" s="39">
        <f>IF($A865="","",YEAR($A865)&amp;"-"&amp;RIGHT("0"&amp;MONTH($A865),2))</f>
        <v/>
      </c>
      <c r="C865" s="13" t="n"/>
      <c r="D865" s="13" t="n"/>
      <c r="E865" s="13" t="n"/>
      <c r="F865" s="13" t="n"/>
      <c r="G865" s="40" t="n"/>
      <c r="H865" s="38" t="n"/>
      <c r="I865" s="38" t="n"/>
      <c r="J865" s="38" t="n"/>
      <c r="K865" s="24">
        <f>IF($H865="","",$H865-N($J865))</f>
        <v/>
      </c>
      <c r="L865" s="25">
        <f>IFERROR($K865/$H865,"")</f>
        <v/>
      </c>
      <c r="M865" s="39">
        <f>IFERROR(INDEX('10_CLIENTI'!$B$5:$B$204,MATCH($D865,'10_CLIENTI'!$A$5:$A$204,0)),"")</f>
        <v/>
      </c>
      <c r="N865" s="39">
        <f>IFERROR(INDEX('11_PRODUSE'!$B$5:$B$104,MATCH($E865,'11_PRODUSE'!$A$5:$A$104,0)),"")</f>
        <v/>
      </c>
      <c r="O865" s="13" t="n"/>
      <c r="P865" s="13" t="n"/>
    </row>
    <row r="866">
      <c r="A866" s="35" t="n"/>
      <c r="B866" s="39">
        <f>IF($A866="","",YEAR($A866)&amp;"-"&amp;RIGHT("0"&amp;MONTH($A866),2))</f>
        <v/>
      </c>
      <c r="C866" s="13" t="n"/>
      <c r="D866" s="13" t="n"/>
      <c r="E866" s="13" t="n"/>
      <c r="F866" s="13" t="n"/>
      <c r="G866" s="40" t="n"/>
      <c r="H866" s="38" t="n"/>
      <c r="I866" s="38" t="n"/>
      <c r="J866" s="38" t="n"/>
      <c r="K866" s="24">
        <f>IF($H866="","",$H866-N($J866))</f>
        <v/>
      </c>
      <c r="L866" s="25">
        <f>IFERROR($K866/$H866,"")</f>
        <v/>
      </c>
      <c r="M866" s="39">
        <f>IFERROR(INDEX('10_CLIENTI'!$B$5:$B$204,MATCH($D866,'10_CLIENTI'!$A$5:$A$204,0)),"")</f>
        <v/>
      </c>
      <c r="N866" s="39">
        <f>IFERROR(INDEX('11_PRODUSE'!$B$5:$B$104,MATCH($E866,'11_PRODUSE'!$A$5:$A$104,0)),"")</f>
        <v/>
      </c>
      <c r="O866" s="13" t="n"/>
      <c r="P866" s="13" t="n"/>
    </row>
    <row r="867">
      <c r="A867" s="35" t="n"/>
      <c r="B867" s="39">
        <f>IF($A867="","",YEAR($A867)&amp;"-"&amp;RIGHT("0"&amp;MONTH($A867),2))</f>
        <v/>
      </c>
      <c r="C867" s="13" t="n"/>
      <c r="D867" s="13" t="n"/>
      <c r="E867" s="13" t="n"/>
      <c r="F867" s="13" t="n"/>
      <c r="G867" s="40" t="n"/>
      <c r="H867" s="38" t="n"/>
      <c r="I867" s="38" t="n"/>
      <c r="J867" s="38" t="n"/>
      <c r="K867" s="24">
        <f>IF($H867="","",$H867-N($J867))</f>
        <v/>
      </c>
      <c r="L867" s="25">
        <f>IFERROR($K867/$H867,"")</f>
        <v/>
      </c>
      <c r="M867" s="39">
        <f>IFERROR(INDEX('10_CLIENTI'!$B$5:$B$204,MATCH($D867,'10_CLIENTI'!$A$5:$A$204,0)),"")</f>
        <v/>
      </c>
      <c r="N867" s="39">
        <f>IFERROR(INDEX('11_PRODUSE'!$B$5:$B$104,MATCH($E867,'11_PRODUSE'!$A$5:$A$104,0)),"")</f>
        <v/>
      </c>
      <c r="O867" s="13" t="n"/>
      <c r="P867" s="13" t="n"/>
    </row>
    <row r="868">
      <c r="A868" s="35" t="n"/>
      <c r="B868" s="39">
        <f>IF($A868="","",YEAR($A868)&amp;"-"&amp;RIGHT("0"&amp;MONTH($A868),2))</f>
        <v/>
      </c>
      <c r="C868" s="13" t="n"/>
      <c r="D868" s="13" t="n"/>
      <c r="E868" s="13" t="n"/>
      <c r="F868" s="13" t="n"/>
      <c r="G868" s="40" t="n"/>
      <c r="H868" s="38" t="n"/>
      <c r="I868" s="38" t="n"/>
      <c r="J868" s="38" t="n"/>
      <c r="K868" s="24">
        <f>IF($H868="","",$H868-N($J868))</f>
        <v/>
      </c>
      <c r="L868" s="25">
        <f>IFERROR($K868/$H868,"")</f>
        <v/>
      </c>
      <c r="M868" s="39">
        <f>IFERROR(INDEX('10_CLIENTI'!$B$5:$B$204,MATCH($D868,'10_CLIENTI'!$A$5:$A$204,0)),"")</f>
        <v/>
      </c>
      <c r="N868" s="39">
        <f>IFERROR(INDEX('11_PRODUSE'!$B$5:$B$104,MATCH($E868,'11_PRODUSE'!$A$5:$A$104,0)),"")</f>
        <v/>
      </c>
      <c r="O868" s="13" t="n"/>
      <c r="P868" s="13" t="n"/>
    </row>
    <row r="869">
      <c r="A869" s="35" t="n"/>
      <c r="B869" s="39">
        <f>IF($A869="","",YEAR($A869)&amp;"-"&amp;RIGHT("0"&amp;MONTH($A869),2))</f>
        <v/>
      </c>
      <c r="C869" s="13" t="n"/>
      <c r="D869" s="13" t="n"/>
      <c r="E869" s="13" t="n"/>
      <c r="F869" s="13" t="n"/>
      <c r="G869" s="40" t="n"/>
      <c r="H869" s="38" t="n"/>
      <c r="I869" s="38" t="n"/>
      <c r="J869" s="38" t="n"/>
      <c r="K869" s="24">
        <f>IF($H869="","",$H869-N($J869))</f>
        <v/>
      </c>
      <c r="L869" s="25">
        <f>IFERROR($K869/$H869,"")</f>
        <v/>
      </c>
      <c r="M869" s="39">
        <f>IFERROR(INDEX('10_CLIENTI'!$B$5:$B$204,MATCH($D869,'10_CLIENTI'!$A$5:$A$204,0)),"")</f>
        <v/>
      </c>
      <c r="N869" s="39">
        <f>IFERROR(INDEX('11_PRODUSE'!$B$5:$B$104,MATCH($E869,'11_PRODUSE'!$A$5:$A$104,0)),"")</f>
        <v/>
      </c>
      <c r="O869" s="13" t="n"/>
      <c r="P869" s="13" t="n"/>
    </row>
    <row r="870">
      <c r="A870" s="35" t="n"/>
      <c r="B870" s="39">
        <f>IF($A870="","",YEAR($A870)&amp;"-"&amp;RIGHT("0"&amp;MONTH($A870),2))</f>
        <v/>
      </c>
      <c r="C870" s="13" t="n"/>
      <c r="D870" s="13" t="n"/>
      <c r="E870" s="13" t="n"/>
      <c r="F870" s="13" t="n"/>
      <c r="G870" s="40" t="n"/>
      <c r="H870" s="38" t="n"/>
      <c r="I870" s="38" t="n"/>
      <c r="J870" s="38" t="n"/>
      <c r="K870" s="24">
        <f>IF($H870="","",$H870-N($J870))</f>
        <v/>
      </c>
      <c r="L870" s="25">
        <f>IFERROR($K870/$H870,"")</f>
        <v/>
      </c>
      <c r="M870" s="39">
        <f>IFERROR(INDEX('10_CLIENTI'!$B$5:$B$204,MATCH($D870,'10_CLIENTI'!$A$5:$A$204,0)),"")</f>
        <v/>
      </c>
      <c r="N870" s="39">
        <f>IFERROR(INDEX('11_PRODUSE'!$B$5:$B$104,MATCH($E870,'11_PRODUSE'!$A$5:$A$104,0)),"")</f>
        <v/>
      </c>
      <c r="O870" s="13" t="n"/>
      <c r="P870" s="13" t="n"/>
    </row>
    <row r="871">
      <c r="A871" s="35" t="n"/>
      <c r="B871" s="39">
        <f>IF($A871="","",YEAR($A871)&amp;"-"&amp;RIGHT("0"&amp;MONTH($A871),2))</f>
        <v/>
      </c>
      <c r="C871" s="13" t="n"/>
      <c r="D871" s="13" t="n"/>
      <c r="E871" s="13" t="n"/>
      <c r="F871" s="13" t="n"/>
      <c r="G871" s="40" t="n"/>
      <c r="H871" s="38" t="n"/>
      <c r="I871" s="38" t="n"/>
      <c r="J871" s="38" t="n"/>
      <c r="K871" s="24">
        <f>IF($H871="","",$H871-N($J871))</f>
        <v/>
      </c>
      <c r="L871" s="25">
        <f>IFERROR($K871/$H871,"")</f>
        <v/>
      </c>
      <c r="M871" s="39">
        <f>IFERROR(INDEX('10_CLIENTI'!$B$5:$B$204,MATCH($D871,'10_CLIENTI'!$A$5:$A$204,0)),"")</f>
        <v/>
      </c>
      <c r="N871" s="39">
        <f>IFERROR(INDEX('11_PRODUSE'!$B$5:$B$104,MATCH($E871,'11_PRODUSE'!$A$5:$A$104,0)),"")</f>
        <v/>
      </c>
      <c r="O871" s="13" t="n"/>
      <c r="P871" s="13" t="n"/>
    </row>
    <row r="872">
      <c r="A872" s="35" t="n"/>
      <c r="B872" s="39">
        <f>IF($A872="","",YEAR($A872)&amp;"-"&amp;RIGHT("0"&amp;MONTH($A872),2))</f>
        <v/>
      </c>
      <c r="C872" s="13" t="n"/>
      <c r="D872" s="13" t="n"/>
      <c r="E872" s="13" t="n"/>
      <c r="F872" s="13" t="n"/>
      <c r="G872" s="40" t="n"/>
      <c r="H872" s="38" t="n"/>
      <c r="I872" s="38" t="n"/>
      <c r="J872" s="38" t="n"/>
      <c r="K872" s="24">
        <f>IF($H872="","",$H872-N($J872))</f>
        <v/>
      </c>
      <c r="L872" s="25">
        <f>IFERROR($K872/$H872,"")</f>
        <v/>
      </c>
      <c r="M872" s="39">
        <f>IFERROR(INDEX('10_CLIENTI'!$B$5:$B$204,MATCH($D872,'10_CLIENTI'!$A$5:$A$204,0)),"")</f>
        <v/>
      </c>
      <c r="N872" s="39">
        <f>IFERROR(INDEX('11_PRODUSE'!$B$5:$B$104,MATCH($E872,'11_PRODUSE'!$A$5:$A$104,0)),"")</f>
        <v/>
      </c>
      <c r="O872" s="13" t="n"/>
      <c r="P872" s="13" t="n"/>
    </row>
    <row r="873">
      <c r="A873" s="35" t="n"/>
      <c r="B873" s="39">
        <f>IF($A873="","",YEAR($A873)&amp;"-"&amp;RIGHT("0"&amp;MONTH($A873),2))</f>
        <v/>
      </c>
      <c r="C873" s="13" t="n"/>
      <c r="D873" s="13" t="n"/>
      <c r="E873" s="13" t="n"/>
      <c r="F873" s="13" t="n"/>
      <c r="G873" s="40" t="n"/>
      <c r="H873" s="38" t="n"/>
      <c r="I873" s="38" t="n"/>
      <c r="J873" s="38" t="n"/>
      <c r="K873" s="24">
        <f>IF($H873="","",$H873-N($J873))</f>
        <v/>
      </c>
      <c r="L873" s="25">
        <f>IFERROR($K873/$H873,"")</f>
        <v/>
      </c>
      <c r="M873" s="39">
        <f>IFERROR(INDEX('10_CLIENTI'!$B$5:$B$204,MATCH($D873,'10_CLIENTI'!$A$5:$A$204,0)),"")</f>
        <v/>
      </c>
      <c r="N873" s="39">
        <f>IFERROR(INDEX('11_PRODUSE'!$B$5:$B$104,MATCH($E873,'11_PRODUSE'!$A$5:$A$104,0)),"")</f>
        <v/>
      </c>
      <c r="O873" s="13" t="n"/>
      <c r="P873" s="13" t="n"/>
    </row>
    <row r="874">
      <c r="A874" s="35" t="n"/>
      <c r="B874" s="39">
        <f>IF($A874="","",YEAR($A874)&amp;"-"&amp;RIGHT("0"&amp;MONTH($A874),2))</f>
        <v/>
      </c>
      <c r="C874" s="13" t="n"/>
      <c r="D874" s="13" t="n"/>
      <c r="E874" s="13" t="n"/>
      <c r="F874" s="13" t="n"/>
      <c r="G874" s="40" t="n"/>
      <c r="H874" s="38" t="n"/>
      <c r="I874" s="38" t="n"/>
      <c r="J874" s="38" t="n"/>
      <c r="K874" s="24">
        <f>IF($H874="","",$H874-N($J874))</f>
        <v/>
      </c>
      <c r="L874" s="25">
        <f>IFERROR($K874/$H874,"")</f>
        <v/>
      </c>
      <c r="M874" s="39">
        <f>IFERROR(INDEX('10_CLIENTI'!$B$5:$B$204,MATCH($D874,'10_CLIENTI'!$A$5:$A$204,0)),"")</f>
        <v/>
      </c>
      <c r="N874" s="39">
        <f>IFERROR(INDEX('11_PRODUSE'!$B$5:$B$104,MATCH($E874,'11_PRODUSE'!$A$5:$A$104,0)),"")</f>
        <v/>
      </c>
      <c r="O874" s="13" t="n"/>
      <c r="P874" s="13" t="n"/>
    </row>
    <row r="875">
      <c r="A875" s="35" t="n"/>
      <c r="B875" s="39">
        <f>IF($A875="","",YEAR($A875)&amp;"-"&amp;RIGHT("0"&amp;MONTH($A875),2))</f>
        <v/>
      </c>
      <c r="C875" s="13" t="n"/>
      <c r="D875" s="13" t="n"/>
      <c r="E875" s="13" t="n"/>
      <c r="F875" s="13" t="n"/>
      <c r="G875" s="40" t="n"/>
      <c r="H875" s="38" t="n"/>
      <c r="I875" s="38" t="n"/>
      <c r="J875" s="38" t="n"/>
      <c r="K875" s="24">
        <f>IF($H875="","",$H875-N($J875))</f>
        <v/>
      </c>
      <c r="L875" s="25">
        <f>IFERROR($K875/$H875,"")</f>
        <v/>
      </c>
      <c r="M875" s="39">
        <f>IFERROR(INDEX('10_CLIENTI'!$B$5:$B$204,MATCH($D875,'10_CLIENTI'!$A$5:$A$204,0)),"")</f>
        <v/>
      </c>
      <c r="N875" s="39">
        <f>IFERROR(INDEX('11_PRODUSE'!$B$5:$B$104,MATCH($E875,'11_PRODUSE'!$A$5:$A$104,0)),"")</f>
        <v/>
      </c>
      <c r="O875" s="13" t="n"/>
      <c r="P875" s="13" t="n"/>
    </row>
    <row r="876">
      <c r="A876" s="35" t="n"/>
      <c r="B876" s="39">
        <f>IF($A876="","",YEAR($A876)&amp;"-"&amp;RIGHT("0"&amp;MONTH($A876),2))</f>
        <v/>
      </c>
      <c r="C876" s="13" t="n"/>
      <c r="D876" s="13" t="n"/>
      <c r="E876" s="13" t="n"/>
      <c r="F876" s="13" t="n"/>
      <c r="G876" s="40" t="n"/>
      <c r="H876" s="38" t="n"/>
      <c r="I876" s="38" t="n"/>
      <c r="J876" s="38" t="n"/>
      <c r="K876" s="24">
        <f>IF($H876="","",$H876-N($J876))</f>
        <v/>
      </c>
      <c r="L876" s="25">
        <f>IFERROR($K876/$H876,"")</f>
        <v/>
      </c>
      <c r="M876" s="39">
        <f>IFERROR(INDEX('10_CLIENTI'!$B$5:$B$204,MATCH($D876,'10_CLIENTI'!$A$5:$A$204,0)),"")</f>
        <v/>
      </c>
      <c r="N876" s="39">
        <f>IFERROR(INDEX('11_PRODUSE'!$B$5:$B$104,MATCH($E876,'11_PRODUSE'!$A$5:$A$104,0)),"")</f>
        <v/>
      </c>
      <c r="O876" s="13" t="n"/>
      <c r="P876" s="13" t="n"/>
    </row>
    <row r="877">
      <c r="A877" s="35" t="n"/>
      <c r="B877" s="39">
        <f>IF($A877="","",YEAR($A877)&amp;"-"&amp;RIGHT("0"&amp;MONTH($A877),2))</f>
        <v/>
      </c>
      <c r="C877" s="13" t="n"/>
      <c r="D877" s="13" t="n"/>
      <c r="E877" s="13" t="n"/>
      <c r="F877" s="13" t="n"/>
      <c r="G877" s="40" t="n"/>
      <c r="H877" s="38" t="n"/>
      <c r="I877" s="38" t="n"/>
      <c r="J877" s="38" t="n"/>
      <c r="K877" s="24">
        <f>IF($H877="","",$H877-N($J877))</f>
        <v/>
      </c>
      <c r="L877" s="25">
        <f>IFERROR($K877/$H877,"")</f>
        <v/>
      </c>
      <c r="M877" s="39">
        <f>IFERROR(INDEX('10_CLIENTI'!$B$5:$B$204,MATCH($D877,'10_CLIENTI'!$A$5:$A$204,0)),"")</f>
        <v/>
      </c>
      <c r="N877" s="39">
        <f>IFERROR(INDEX('11_PRODUSE'!$B$5:$B$104,MATCH($E877,'11_PRODUSE'!$A$5:$A$104,0)),"")</f>
        <v/>
      </c>
      <c r="O877" s="13" t="n"/>
      <c r="P877" s="13" t="n"/>
    </row>
    <row r="878">
      <c r="A878" s="35" t="n"/>
      <c r="B878" s="39">
        <f>IF($A878="","",YEAR($A878)&amp;"-"&amp;RIGHT("0"&amp;MONTH($A878),2))</f>
        <v/>
      </c>
      <c r="C878" s="13" t="n"/>
      <c r="D878" s="13" t="n"/>
      <c r="E878" s="13" t="n"/>
      <c r="F878" s="13" t="n"/>
      <c r="G878" s="40" t="n"/>
      <c r="H878" s="38" t="n"/>
      <c r="I878" s="38" t="n"/>
      <c r="J878" s="38" t="n"/>
      <c r="K878" s="24">
        <f>IF($H878="","",$H878-N($J878))</f>
        <v/>
      </c>
      <c r="L878" s="25">
        <f>IFERROR($K878/$H878,"")</f>
        <v/>
      </c>
      <c r="M878" s="39">
        <f>IFERROR(INDEX('10_CLIENTI'!$B$5:$B$204,MATCH($D878,'10_CLIENTI'!$A$5:$A$204,0)),"")</f>
        <v/>
      </c>
      <c r="N878" s="39">
        <f>IFERROR(INDEX('11_PRODUSE'!$B$5:$B$104,MATCH($E878,'11_PRODUSE'!$A$5:$A$104,0)),"")</f>
        <v/>
      </c>
      <c r="O878" s="13" t="n"/>
      <c r="P878" s="13" t="n"/>
    </row>
    <row r="879">
      <c r="A879" s="35" t="n"/>
      <c r="B879" s="39">
        <f>IF($A879="","",YEAR($A879)&amp;"-"&amp;RIGHT("0"&amp;MONTH($A879),2))</f>
        <v/>
      </c>
      <c r="C879" s="13" t="n"/>
      <c r="D879" s="13" t="n"/>
      <c r="E879" s="13" t="n"/>
      <c r="F879" s="13" t="n"/>
      <c r="G879" s="40" t="n"/>
      <c r="H879" s="38" t="n"/>
      <c r="I879" s="38" t="n"/>
      <c r="J879" s="38" t="n"/>
      <c r="K879" s="24">
        <f>IF($H879="","",$H879-N($J879))</f>
        <v/>
      </c>
      <c r="L879" s="25">
        <f>IFERROR($K879/$H879,"")</f>
        <v/>
      </c>
      <c r="M879" s="39">
        <f>IFERROR(INDEX('10_CLIENTI'!$B$5:$B$204,MATCH($D879,'10_CLIENTI'!$A$5:$A$204,0)),"")</f>
        <v/>
      </c>
      <c r="N879" s="39">
        <f>IFERROR(INDEX('11_PRODUSE'!$B$5:$B$104,MATCH($E879,'11_PRODUSE'!$A$5:$A$104,0)),"")</f>
        <v/>
      </c>
      <c r="O879" s="13" t="n"/>
      <c r="P879" s="13" t="n"/>
    </row>
    <row r="880">
      <c r="A880" s="35" t="n"/>
      <c r="B880" s="39">
        <f>IF($A880="","",YEAR($A880)&amp;"-"&amp;RIGHT("0"&amp;MONTH($A880),2))</f>
        <v/>
      </c>
      <c r="C880" s="13" t="n"/>
      <c r="D880" s="13" t="n"/>
      <c r="E880" s="13" t="n"/>
      <c r="F880" s="13" t="n"/>
      <c r="G880" s="40" t="n"/>
      <c r="H880" s="38" t="n"/>
      <c r="I880" s="38" t="n"/>
      <c r="J880" s="38" t="n"/>
      <c r="K880" s="24">
        <f>IF($H880="","",$H880-N($J880))</f>
        <v/>
      </c>
      <c r="L880" s="25">
        <f>IFERROR($K880/$H880,"")</f>
        <v/>
      </c>
      <c r="M880" s="39">
        <f>IFERROR(INDEX('10_CLIENTI'!$B$5:$B$204,MATCH($D880,'10_CLIENTI'!$A$5:$A$204,0)),"")</f>
        <v/>
      </c>
      <c r="N880" s="39">
        <f>IFERROR(INDEX('11_PRODUSE'!$B$5:$B$104,MATCH($E880,'11_PRODUSE'!$A$5:$A$104,0)),"")</f>
        <v/>
      </c>
      <c r="O880" s="13" t="n"/>
      <c r="P880" s="13" t="n"/>
    </row>
    <row r="881">
      <c r="A881" s="35" t="n"/>
      <c r="B881" s="39">
        <f>IF($A881="","",YEAR($A881)&amp;"-"&amp;RIGHT("0"&amp;MONTH($A881),2))</f>
        <v/>
      </c>
      <c r="C881" s="13" t="n"/>
      <c r="D881" s="13" t="n"/>
      <c r="E881" s="13" t="n"/>
      <c r="F881" s="13" t="n"/>
      <c r="G881" s="40" t="n"/>
      <c r="H881" s="38" t="n"/>
      <c r="I881" s="38" t="n"/>
      <c r="J881" s="38" t="n"/>
      <c r="K881" s="24">
        <f>IF($H881="","",$H881-N($J881))</f>
        <v/>
      </c>
      <c r="L881" s="25">
        <f>IFERROR($K881/$H881,"")</f>
        <v/>
      </c>
      <c r="M881" s="39">
        <f>IFERROR(INDEX('10_CLIENTI'!$B$5:$B$204,MATCH($D881,'10_CLIENTI'!$A$5:$A$204,0)),"")</f>
        <v/>
      </c>
      <c r="N881" s="39">
        <f>IFERROR(INDEX('11_PRODUSE'!$B$5:$B$104,MATCH($E881,'11_PRODUSE'!$A$5:$A$104,0)),"")</f>
        <v/>
      </c>
      <c r="O881" s="13" t="n"/>
      <c r="P881" s="13" t="n"/>
    </row>
    <row r="882">
      <c r="A882" s="35" t="n"/>
      <c r="B882" s="39">
        <f>IF($A882="","",YEAR($A882)&amp;"-"&amp;RIGHT("0"&amp;MONTH($A882),2))</f>
        <v/>
      </c>
      <c r="C882" s="13" t="n"/>
      <c r="D882" s="13" t="n"/>
      <c r="E882" s="13" t="n"/>
      <c r="F882" s="13" t="n"/>
      <c r="G882" s="40" t="n"/>
      <c r="H882" s="38" t="n"/>
      <c r="I882" s="38" t="n"/>
      <c r="J882" s="38" t="n"/>
      <c r="K882" s="24">
        <f>IF($H882="","",$H882-N($J882))</f>
        <v/>
      </c>
      <c r="L882" s="25">
        <f>IFERROR($K882/$H882,"")</f>
        <v/>
      </c>
      <c r="M882" s="39">
        <f>IFERROR(INDEX('10_CLIENTI'!$B$5:$B$204,MATCH($D882,'10_CLIENTI'!$A$5:$A$204,0)),"")</f>
        <v/>
      </c>
      <c r="N882" s="39">
        <f>IFERROR(INDEX('11_PRODUSE'!$B$5:$B$104,MATCH($E882,'11_PRODUSE'!$A$5:$A$104,0)),"")</f>
        <v/>
      </c>
      <c r="O882" s="13" t="n"/>
      <c r="P882" s="13" t="n"/>
    </row>
    <row r="883">
      <c r="A883" s="35" t="n"/>
      <c r="B883" s="39">
        <f>IF($A883="","",YEAR($A883)&amp;"-"&amp;RIGHT("0"&amp;MONTH($A883),2))</f>
        <v/>
      </c>
      <c r="C883" s="13" t="n"/>
      <c r="D883" s="13" t="n"/>
      <c r="E883" s="13" t="n"/>
      <c r="F883" s="13" t="n"/>
      <c r="G883" s="40" t="n"/>
      <c r="H883" s="38" t="n"/>
      <c r="I883" s="38" t="n"/>
      <c r="J883" s="38" t="n"/>
      <c r="K883" s="24">
        <f>IF($H883="","",$H883-N($J883))</f>
        <v/>
      </c>
      <c r="L883" s="25">
        <f>IFERROR($K883/$H883,"")</f>
        <v/>
      </c>
      <c r="M883" s="39">
        <f>IFERROR(INDEX('10_CLIENTI'!$B$5:$B$204,MATCH($D883,'10_CLIENTI'!$A$5:$A$204,0)),"")</f>
        <v/>
      </c>
      <c r="N883" s="39">
        <f>IFERROR(INDEX('11_PRODUSE'!$B$5:$B$104,MATCH($E883,'11_PRODUSE'!$A$5:$A$104,0)),"")</f>
        <v/>
      </c>
      <c r="O883" s="13" t="n"/>
      <c r="P883" s="13" t="n"/>
    </row>
    <row r="884">
      <c r="A884" s="35" t="n"/>
      <c r="B884" s="39">
        <f>IF($A884="","",YEAR($A884)&amp;"-"&amp;RIGHT("0"&amp;MONTH($A884),2))</f>
        <v/>
      </c>
      <c r="C884" s="13" t="n"/>
      <c r="D884" s="13" t="n"/>
      <c r="E884" s="13" t="n"/>
      <c r="F884" s="13" t="n"/>
      <c r="G884" s="40" t="n"/>
      <c r="H884" s="38" t="n"/>
      <c r="I884" s="38" t="n"/>
      <c r="J884" s="38" t="n"/>
      <c r="K884" s="24">
        <f>IF($H884="","",$H884-N($J884))</f>
        <v/>
      </c>
      <c r="L884" s="25">
        <f>IFERROR($K884/$H884,"")</f>
        <v/>
      </c>
      <c r="M884" s="39">
        <f>IFERROR(INDEX('10_CLIENTI'!$B$5:$B$204,MATCH($D884,'10_CLIENTI'!$A$5:$A$204,0)),"")</f>
        <v/>
      </c>
      <c r="N884" s="39">
        <f>IFERROR(INDEX('11_PRODUSE'!$B$5:$B$104,MATCH($E884,'11_PRODUSE'!$A$5:$A$104,0)),"")</f>
        <v/>
      </c>
      <c r="O884" s="13" t="n"/>
      <c r="P884" s="13" t="n"/>
    </row>
    <row r="885">
      <c r="A885" s="35" t="n"/>
      <c r="B885" s="39">
        <f>IF($A885="","",YEAR($A885)&amp;"-"&amp;RIGHT("0"&amp;MONTH($A885),2))</f>
        <v/>
      </c>
      <c r="C885" s="13" t="n"/>
      <c r="D885" s="13" t="n"/>
      <c r="E885" s="13" t="n"/>
      <c r="F885" s="13" t="n"/>
      <c r="G885" s="40" t="n"/>
      <c r="H885" s="38" t="n"/>
      <c r="I885" s="38" t="n"/>
      <c r="J885" s="38" t="n"/>
      <c r="K885" s="24">
        <f>IF($H885="","",$H885-N($J885))</f>
        <v/>
      </c>
      <c r="L885" s="25">
        <f>IFERROR($K885/$H885,"")</f>
        <v/>
      </c>
      <c r="M885" s="39">
        <f>IFERROR(INDEX('10_CLIENTI'!$B$5:$B$204,MATCH($D885,'10_CLIENTI'!$A$5:$A$204,0)),"")</f>
        <v/>
      </c>
      <c r="N885" s="39">
        <f>IFERROR(INDEX('11_PRODUSE'!$B$5:$B$104,MATCH($E885,'11_PRODUSE'!$A$5:$A$104,0)),"")</f>
        <v/>
      </c>
      <c r="O885" s="13" t="n"/>
      <c r="P885" s="13" t="n"/>
    </row>
    <row r="886">
      <c r="A886" s="35" t="n"/>
      <c r="B886" s="39">
        <f>IF($A886="","",YEAR($A886)&amp;"-"&amp;RIGHT("0"&amp;MONTH($A886),2))</f>
        <v/>
      </c>
      <c r="C886" s="13" t="n"/>
      <c r="D886" s="13" t="n"/>
      <c r="E886" s="13" t="n"/>
      <c r="F886" s="13" t="n"/>
      <c r="G886" s="40" t="n"/>
      <c r="H886" s="38" t="n"/>
      <c r="I886" s="38" t="n"/>
      <c r="J886" s="38" t="n"/>
      <c r="K886" s="24">
        <f>IF($H886="","",$H886-N($J886))</f>
        <v/>
      </c>
      <c r="L886" s="25">
        <f>IFERROR($K886/$H886,"")</f>
        <v/>
      </c>
      <c r="M886" s="39">
        <f>IFERROR(INDEX('10_CLIENTI'!$B$5:$B$204,MATCH($D886,'10_CLIENTI'!$A$5:$A$204,0)),"")</f>
        <v/>
      </c>
      <c r="N886" s="39">
        <f>IFERROR(INDEX('11_PRODUSE'!$B$5:$B$104,MATCH($E886,'11_PRODUSE'!$A$5:$A$104,0)),"")</f>
        <v/>
      </c>
      <c r="O886" s="13" t="n"/>
      <c r="P886" s="13" t="n"/>
    </row>
    <row r="887">
      <c r="A887" s="35" t="n"/>
      <c r="B887" s="39">
        <f>IF($A887="","",YEAR($A887)&amp;"-"&amp;RIGHT("0"&amp;MONTH($A887),2))</f>
        <v/>
      </c>
      <c r="C887" s="13" t="n"/>
      <c r="D887" s="13" t="n"/>
      <c r="E887" s="13" t="n"/>
      <c r="F887" s="13" t="n"/>
      <c r="G887" s="40" t="n"/>
      <c r="H887" s="38" t="n"/>
      <c r="I887" s="38" t="n"/>
      <c r="J887" s="38" t="n"/>
      <c r="K887" s="24">
        <f>IF($H887="","",$H887-N($J887))</f>
        <v/>
      </c>
      <c r="L887" s="25">
        <f>IFERROR($K887/$H887,"")</f>
        <v/>
      </c>
      <c r="M887" s="39">
        <f>IFERROR(INDEX('10_CLIENTI'!$B$5:$B$204,MATCH($D887,'10_CLIENTI'!$A$5:$A$204,0)),"")</f>
        <v/>
      </c>
      <c r="N887" s="39">
        <f>IFERROR(INDEX('11_PRODUSE'!$B$5:$B$104,MATCH($E887,'11_PRODUSE'!$A$5:$A$104,0)),"")</f>
        <v/>
      </c>
      <c r="O887" s="13" t="n"/>
      <c r="P887" s="13" t="n"/>
    </row>
    <row r="888">
      <c r="A888" s="35" t="n"/>
      <c r="B888" s="39">
        <f>IF($A888="","",YEAR($A888)&amp;"-"&amp;RIGHT("0"&amp;MONTH($A888),2))</f>
        <v/>
      </c>
      <c r="C888" s="13" t="n"/>
      <c r="D888" s="13" t="n"/>
      <c r="E888" s="13" t="n"/>
      <c r="F888" s="13" t="n"/>
      <c r="G888" s="40" t="n"/>
      <c r="H888" s="38" t="n"/>
      <c r="I888" s="38" t="n"/>
      <c r="J888" s="38" t="n"/>
      <c r="K888" s="24">
        <f>IF($H888="","",$H888-N($J888))</f>
        <v/>
      </c>
      <c r="L888" s="25">
        <f>IFERROR($K888/$H888,"")</f>
        <v/>
      </c>
      <c r="M888" s="39">
        <f>IFERROR(INDEX('10_CLIENTI'!$B$5:$B$204,MATCH($D888,'10_CLIENTI'!$A$5:$A$204,0)),"")</f>
        <v/>
      </c>
      <c r="N888" s="39">
        <f>IFERROR(INDEX('11_PRODUSE'!$B$5:$B$104,MATCH($E888,'11_PRODUSE'!$A$5:$A$104,0)),"")</f>
        <v/>
      </c>
      <c r="O888" s="13" t="n"/>
      <c r="P888" s="13" t="n"/>
    </row>
    <row r="889">
      <c r="A889" s="35" t="n"/>
      <c r="B889" s="39">
        <f>IF($A889="","",YEAR($A889)&amp;"-"&amp;RIGHT("0"&amp;MONTH($A889),2))</f>
        <v/>
      </c>
      <c r="C889" s="13" t="n"/>
      <c r="D889" s="13" t="n"/>
      <c r="E889" s="13" t="n"/>
      <c r="F889" s="13" t="n"/>
      <c r="G889" s="40" t="n"/>
      <c r="H889" s="38" t="n"/>
      <c r="I889" s="38" t="n"/>
      <c r="J889" s="38" t="n"/>
      <c r="K889" s="24">
        <f>IF($H889="","",$H889-N($J889))</f>
        <v/>
      </c>
      <c r="L889" s="25">
        <f>IFERROR($K889/$H889,"")</f>
        <v/>
      </c>
      <c r="M889" s="39">
        <f>IFERROR(INDEX('10_CLIENTI'!$B$5:$B$204,MATCH($D889,'10_CLIENTI'!$A$5:$A$204,0)),"")</f>
        <v/>
      </c>
      <c r="N889" s="39">
        <f>IFERROR(INDEX('11_PRODUSE'!$B$5:$B$104,MATCH($E889,'11_PRODUSE'!$A$5:$A$104,0)),"")</f>
        <v/>
      </c>
      <c r="O889" s="13" t="n"/>
      <c r="P889" s="13" t="n"/>
    </row>
    <row r="890">
      <c r="A890" s="35" t="n"/>
      <c r="B890" s="39">
        <f>IF($A890="","",YEAR($A890)&amp;"-"&amp;RIGHT("0"&amp;MONTH($A890),2))</f>
        <v/>
      </c>
      <c r="C890" s="13" t="n"/>
      <c r="D890" s="13" t="n"/>
      <c r="E890" s="13" t="n"/>
      <c r="F890" s="13" t="n"/>
      <c r="G890" s="40" t="n"/>
      <c r="H890" s="38" t="n"/>
      <c r="I890" s="38" t="n"/>
      <c r="J890" s="38" t="n"/>
      <c r="K890" s="24">
        <f>IF($H890="","",$H890-N($J890))</f>
        <v/>
      </c>
      <c r="L890" s="25">
        <f>IFERROR($K890/$H890,"")</f>
        <v/>
      </c>
      <c r="M890" s="39">
        <f>IFERROR(INDEX('10_CLIENTI'!$B$5:$B$204,MATCH($D890,'10_CLIENTI'!$A$5:$A$204,0)),"")</f>
        <v/>
      </c>
      <c r="N890" s="39">
        <f>IFERROR(INDEX('11_PRODUSE'!$B$5:$B$104,MATCH($E890,'11_PRODUSE'!$A$5:$A$104,0)),"")</f>
        <v/>
      </c>
      <c r="O890" s="13" t="n"/>
      <c r="P890" s="13" t="n"/>
    </row>
    <row r="891">
      <c r="A891" s="35" t="n"/>
      <c r="B891" s="39">
        <f>IF($A891="","",YEAR($A891)&amp;"-"&amp;RIGHT("0"&amp;MONTH($A891),2))</f>
        <v/>
      </c>
      <c r="C891" s="13" t="n"/>
      <c r="D891" s="13" t="n"/>
      <c r="E891" s="13" t="n"/>
      <c r="F891" s="13" t="n"/>
      <c r="G891" s="40" t="n"/>
      <c r="H891" s="38" t="n"/>
      <c r="I891" s="38" t="n"/>
      <c r="J891" s="38" t="n"/>
      <c r="K891" s="24">
        <f>IF($H891="","",$H891-N($J891))</f>
        <v/>
      </c>
      <c r="L891" s="25">
        <f>IFERROR($K891/$H891,"")</f>
        <v/>
      </c>
      <c r="M891" s="39">
        <f>IFERROR(INDEX('10_CLIENTI'!$B$5:$B$204,MATCH($D891,'10_CLIENTI'!$A$5:$A$204,0)),"")</f>
        <v/>
      </c>
      <c r="N891" s="39">
        <f>IFERROR(INDEX('11_PRODUSE'!$B$5:$B$104,MATCH($E891,'11_PRODUSE'!$A$5:$A$104,0)),"")</f>
        <v/>
      </c>
      <c r="O891" s="13" t="n"/>
      <c r="P891" s="13" t="n"/>
    </row>
    <row r="892">
      <c r="A892" s="35" t="n"/>
      <c r="B892" s="39">
        <f>IF($A892="","",YEAR($A892)&amp;"-"&amp;RIGHT("0"&amp;MONTH($A892),2))</f>
        <v/>
      </c>
      <c r="C892" s="13" t="n"/>
      <c r="D892" s="13" t="n"/>
      <c r="E892" s="13" t="n"/>
      <c r="F892" s="13" t="n"/>
      <c r="G892" s="40" t="n"/>
      <c r="H892" s="38" t="n"/>
      <c r="I892" s="38" t="n"/>
      <c r="J892" s="38" t="n"/>
      <c r="K892" s="24">
        <f>IF($H892="","",$H892-N($J892))</f>
        <v/>
      </c>
      <c r="L892" s="25">
        <f>IFERROR($K892/$H892,"")</f>
        <v/>
      </c>
      <c r="M892" s="39">
        <f>IFERROR(INDEX('10_CLIENTI'!$B$5:$B$204,MATCH($D892,'10_CLIENTI'!$A$5:$A$204,0)),"")</f>
        <v/>
      </c>
      <c r="N892" s="39">
        <f>IFERROR(INDEX('11_PRODUSE'!$B$5:$B$104,MATCH($E892,'11_PRODUSE'!$A$5:$A$104,0)),"")</f>
        <v/>
      </c>
      <c r="O892" s="13" t="n"/>
      <c r="P892" s="13" t="n"/>
    </row>
    <row r="893">
      <c r="A893" s="35" t="n"/>
      <c r="B893" s="39">
        <f>IF($A893="","",YEAR($A893)&amp;"-"&amp;RIGHT("0"&amp;MONTH($A893),2))</f>
        <v/>
      </c>
      <c r="C893" s="13" t="n"/>
      <c r="D893" s="13" t="n"/>
      <c r="E893" s="13" t="n"/>
      <c r="F893" s="13" t="n"/>
      <c r="G893" s="40" t="n"/>
      <c r="H893" s="38" t="n"/>
      <c r="I893" s="38" t="n"/>
      <c r="J893" s="38" t="n"/>
      <c r="K893" s="24">
        <f>IF($H893="","",$H893-N($J893))</f>
        <v/>
      </c>
      <c r="L893" s="25">
        <f>IFERROR($K893/$H893,"")</f>
        <v/>
      </c>
      <c r="M893" s="39">
        <f>IFERROR(INDEX('10_CLIENTI'!$B$5:$B$204,MATCH($D893,'10_CLIENTI'!$A$5:$A$204,0)),"")</f>
        <v/>
      </c>
      <c r="N893" s="39">
        <f>IFERROR(INDEX('11_PRODUSE'!$B$5:$B$104,MATCH($E893,'11_PRODUSE'!$A$5:$A$104,0)),"")</f>
        <v/>
      </c>
      <c r="O893" s="13" t="n"/>
      <c r="P893" s="13" t="n"/>
    </row>
    <row r="894">
      <c r="A894" s="35" t="n"/>
      <c r="B894" s="39">
        <f>IF($A894="","",YEAR($A894)&amp;"-"&amp;RIGHT("0"&amp;MONTH($A894),2))</f>
        <v/>
      </c>
      <c r="C894" s="13" t="n"/>
      <c r="D894" s="13" t="n"/>
      <c r="E894" s="13" t="n"/>
      <c r="F894" s="13" t="n"/>
      <c r="G894" s="40" t="n"/>
      <c r="H894" s="38" t="n"/>
      <c r="I894" s="38" t="n"/>
      <c r="J894" s="38" t="n"/>
      <c r="K894" s="24">
        <f>IF($H894="","",$H894-N($J894))</f>
        <v/>
      </c>
      <c r="L894" s="25">
        <f>IFERROR($K894/$H894,"")</f>
        <v/>
      </c>
      <c r="M894" s="39">
        <f>IFERROR(INDEX('10_CLIENTI'!$B$5:$B$204,MATCH($D894,'10_CLIENTI'!$A$5:$A$204,0)),"")</f>
        <v/>
      </c>
      <c r="N894" s="39">
        <f>IFERROR(INDEX('11_PRODUSE'!$B$5:$B$104,MATCH($E894,'11_PRODUSE'!$A$5:$A$104,0)),"")</f>
        <v/>
      </c>
      <c r="O894" s="13" t="n"/>
      <c r="P894" s="13" t="n"/>
    </row>
    <row r="895">
      <c r="A895" s="35" t="n"/>
      <c r="B895" s="39">
        <f>IF($A895="","",YEAR($A895)&amp;"-"&amp;RIGHT("0"&amp;MONTH($A895),2))</f>
        <v/>
      </c>
      <c r="C895" s="13" t="n"/>
      <c r="D895" s="13" t="n"/>
      <c r="E895" s="13" t="n"/>
      <c r="F895" s="13" t="n"/>
      <c r="G895" s="40" t="n"/>
      <c r="H895" s="38" t="n"/>
      <c r="I895" s="38" t="n"/>
      <c r="J895" s="38" t="n"/>
      <c r="K895" s="24">
        <f>IF($H895="","",$H895-N($J895))</f>
        <v/>
      </c>
      <c r="L895" s="25">
        <f>IFERROR($K895/$H895,"")</f>
        <v/>
      </c>
      <c r="M895" s="39">
        <f>IFERROR(INDEX('10_CLIENTI'!$B$5:$B$204,MATCH($D895,'10_CLIENTI'!$A$5:$A$204,0)),"")</f>
        <v/>
      </c>
      <c r="N895" s="39">
        <f>IFERROR(INDEX('11_PRODUSE'!$B$5:$B$104,MATCH($E895,'11_PRODUSE'!$A$5:$A$104,0)),"")</f>
        <v/>
      </c>
      <c r="O895" s="13" t="n"/>
      <c r="P895" s="13" t="n"/>
    </row>
    <row r="896">
      <c r="A896" s="35" t="n"/>
      <c r="B896" s="39">
        <f>IF($A896="","",YEAR($A896)&amp;"-"&amp;RIGHT("0"&amp;MONTH($A896),2))</f>
        <v/>
      </c>
      <c r="C896" s="13" t="n"/>
      <c r="D896" s="13" t="n"/>
      <c r="E896" s="13" t="n"/>
      <c r="F896" s="13" t="n"/>
      <c r="G896" s="40" t="n"/>
      <c r="H896" s="38" t="n"/>
      <c r="I896" s="38" t="n"/>
      <c r="J896" s="38" t="n"/>
      <c r="K896" s="24">
        <f>IF($H896="","",$H896-N($J896))</f>
        <v/>
      </c>
      <c r="L896" s="25">
        <f>IFERROR($K896/$H896,"")</f>
        <v/>
      </c>
      <c r="M896" s="39">
        <f>IFERROR(INDEX('10_CLIENTI'!$B$5:$B$204,MATCH($D896,'10_CLIENTI'!$A$5:$A$204,0)),"")</f>
        <v/>
      </c>
      <c r="N896" s="39">
        <f>IFERROR(INDEX('11_PRODUSE'!$B$5:$B$104,MATCH($E896,'11_PRODUSE'!$A$5:$A$104,0)),"")</f>
        <v/>
      </c>
      <c r="O896" s="13" t="n"/>
      <c r="P896" s="13" t="n"/>
    </row>
    <row r="897">
      <c r="A897" s="35" t="n"/>
      <c r="B897" s="39">
        <f>IF($A897="","",YEAR($A897)&amp;"-"&amp;RIGHT("0"&amp;MONTH($A897),2))</f>
        <v/>
      </c>
      <c r="C897" s="13" t="n"/>
      <c r="D897" s="13" t="n"/>
      <c r="E897" s="13" t="n"/>
      <c r="F897" s="13" t="n"/>
      <c r="G897" s="40" t="n"/>
      <c r="H897" s="38" t="n"/>
      <c r="I897" s="38" t="n"/>
      <c r="J897" s="38" t="n"/>
      <c r="K897" s="24">
        <f>IF($H897="","",$H897-N($J897))</f>
        <v/>
      </c>
      <c r="L897" s="25">
        <f>IFERROR($K897/$H897,"")</f>
        <v/>
      </c>
      <c r="M897" s="39">
        <f>IFERROR(INDEX('10_CLIENTI'!$B$5:$B$204,MATCH($D897,'10_CLIENTI'!$A$5:$A$204,0)),"")</f>
        <v/>
      </c>
      <c r="N897" s="39">
        <f>IFERROR(INDEX('11_PRODUSE'!$B$5:$B$104,MATCH($E897,'11_PRODUSE'!$A$5:$A$104,0)),"")</f>
        <v/>
      </c>
      <c r="O897" s="13" t="n"/>
      <c r="P897" s="13" t="n"/>
    </row>
    <row r="898">
      <c r="A898" s="35" t="n"/>
      <c r="B898" s="39">
        <f>IF($A898="","",YEAR($A898)&amp;"-"&amp;RIGHT("0"&amp;MONTH($A898),2))</f>
        <v/>
      </c>
      <c r="C898" s="13" t="n"/>
      <c r="D898" s="13" t="n"/>
      <c r="E898" s="13" t="n"/>
      <c r="F898" s="13" t="n"/>
      <c r="G898" s="40" t="n"/>
      <c r="H898" s="38" t="n"/>
      <c r="I898" s="38" t="n"/>
      <c r="J898" s="38" t="n"/>
      <c r="K898" s="24">
        <f>IF($H898="","",$H898-N($J898))</f>
        <v/>
      </c>
      <c r="L898" s="25">
        <f>IFERROR($K898/$H898,"")</f>
        <v/>
      </c>
      <c r="M898" s="39">
        <f>IFERROR(INDEX('10_CLIENTI'!$B$5:$B$204,MATCH($D898,'10_CLIENTI'!$A$5:$A$204,0)),"")</f>
        <v/>
      </c>
      <c r="N898" s="39">
        <f>IFERROR(INDEX('11_PRODUSE'!$B$5:$B$104,MATCH($E898,'11_PRODUSE'!$A$5:$A$104,0)),"")</f>
        <v/>
      </c>
      <c r="O898" s="13" t="n"/>
      <c r="P898" s="13" t="n"/>
    </row>
    <row r="899">
      <c r="A899" s="35" t="n"/>
      <c r="B899" s="39">
        <f>IF($A899="","",YEAR($A899)&amp;"-"&amp;RIGHT("0"&amp;MONTH($A899),2))</f>
        <v/>
      </c>
      <c r="C899" s="13" t="n"/>
      <c r="D899" s="13" t="n"/>
      <c r="E899" s="13" t="n"/>
      <c r="F899" s="13" t="n"/>
      <c r="G899" s="40" t="n"/>
      <c r="H899" s="38" t="n"/>
      <c r="I899" s="38" t="n"/>
      <c r="J899" s="38" t="n"/>
      <c r="K899" s="24">
        <f>IF($H899="","",$H899-N($J899))</f>
        <v/>
      </c>
      <c r="L899" s="25">
        <f>IFERROR($K899/$H899,"")</f>
        <v/>
      </c>
      <c r="M899" s="39">
        <f>IFERROR(INDEX('10_CLIENTI'!$B$5:$B$204,MATCH($D899,'10_CLIENTI'!$A$5:$A$204,0)),"")</f>
        <v/>
      </c>
      <c r="N899" s="39">
        <f>IFERROR(INDEX('11_PRODUSE'!$B$5:$B$104,MATCH($E899,'11_PRODUSE'!$A$5:$A$104,0)),"")</f>
        <v/>
      </c>
      <c r="O899" s="13" t="n"/>
      <c r="P899" s="13" t="n"/>
    </row>
    <row r="900">
      <c r="A900" s="35" t="n"/>
      <c r="B900" s="39">
        <f>IF($A900="","",YEAR($A900)&amp;"-"&amp;RIGHT("0"&amp;MONTH($A900),2))</f>
        <v/>
      </c>
      <c r="C900" s="13" t="n"/>
      <c r="D900" s="13" t="n"/>
      <c r="E900" s="13" t="n"/>
      <c r="F900" s="13" t="n"/>
      <c r="G900" s="40" t="n"/>
      <c r="H900" s="38" t="n"/>
      <c r="I900" s="38" t="n"/>
      <c r="J900" s="38" t="n"/>
      <c r="K900" s="24">
        <f>IF($H900="","",$H900-N($J900))</f>
        <v/>
      </c>
      <c r="L900" s="25">
        <f>IFERROR($K900/$H900,"")</f>
        <v/>
      </c>
      <c r="M900" s="39">
        <f>IFERROR(INDEX('10_CLIENTI'!$B$5:$B$204,MATCH($D900,'10_CLIENTI'!$A$5:$A$204,0)),"")</f>
        <v/>
      </c>
      <c r="N900" s="39">
        <f>IFERROR(INDEX('11_PRODUSE'!$B$5:$B$104,MATCH($E900,'11_PRODUSE'!$A$5:$A$104,0)),"")</f>
        <v/>
      </c>
      <c r="O900" s="13" t="n"/>
      <c r="P900" s="13" t="n"/>
    </row>
    <row r="901">
      <c r="A901" s="35" t="n"/>
      <c r="B901" s="39">
        <f>IF($A901="","",YEAR($A901)&amp;"-"&amp;RIGHT("0"&amp;MONTH($A901),2))</f>
        <v/>
      </c>
      <c r="C901" s="13" t="n"/>
      <c r="D901" s="13" t="n"/>
      <c r="E901" s="13" t="n"/>
      <c r="F901" s="13" t="n"/>
      <c r="G901" s="40" t="n"/>
      <c r="H901" s="38" t="n"/>
      <c r="I901" s="38" t="n"/>
      <c r="J901" s="38" t="n"/>
      <c r="K901" s="24">
        <f>IF($H901="","",$H901-N($J901))</f>
        <v/>
      </c>
      <c r="L901" s="25">
        <f>IFERROR($K901/$H901,"")</f>
        <v/>
      </c>
      <c r="M901" s="39">
        <f>IFERROR(INDEX('10_CLIENTI'!$B$5:$B$204,MATCH($D901,'10_CLIENTI'!$A$5:$A$204,0)),"")</f>
        <v/>
      </c>
      <c r="N901" s="39">
        <f>IFERROR(INDEX('11_PRODUSE'!$B$5:$B$104,MATCH($E901,'11_PRODUSE'!$A$5:$A$104,0)),"")</f>
        <v/>
      </c>
      <c r="O901" s="13" t="n"/>
      <c r="P901" s="13" t="n"/>
    </row>
    <row r="902">
      <c r="A902" s="35" t="n"/>
      <c r="B902" s="39">
        <f>IF($A902="","",YEAR($A902)&amp;"-"&amp;RIGHT("0"&amp;MONTH($A902),2))</f>
        <v/>
      </c>
      <c r="C902" s="13" t="n"/>
      <c r="D902" s="13" t="n"/>
      <c r="E902" s="13" t="n"/>
      <c r="F902" s="13" t="n"/>
      <c r="G902" s="40" t="n"/>
      <c r="H902" s="38" t="n"/>
      <c r="I902" s="38" t="n"/>
      <c r="J902" s="38" t="n"/>
      <c r="K902" s="24">
        <f>IF($H902="","",$H902-N($J902))</f>
        <v/>
      </c>
      <c r="L902" s="25">
        <f>IFERROR($K902/$H902,"")</f>
        <v/>
      </c>
      <c r="M902" s="39">
        <f>IFERROR(INDEX('10_CLIENTI'!$B$5:$B$204,MATCH($D902,'10_CLIENTI'!$A$5:$A$204,0)),"")</f>
        <v/>
      </c>
      <c r="N902" s="39">
        <f>IFERROR(INDEX('11_PRODUSE'!$B$5:$B$104,MATCH($E902,'11_PRODUSE'!$A$5:$A$104,0)),"")</f>
        <v/>
      </c>
      <c r="O902" s="13" t="n"/>
      <c r="P902" s="13" t="n"/>
    </row>
    <row r="903">
      <c r="A903" s="35" t="n"/>
      <c r="B903" s="39">
        <f>IF($A903="","",YEAR($A903)&amp;"-"&amp;RIGHT("0"&amp;MONTH($A903),2))</f>
        <v/>
      </c>
      <c r="C903" s="13" t="n"/>
      <c r="D903" s="13" t="n"/>
      <c r="E903" s="13" t="n"/>
      <c r="F903" s="13" t="n"/>
      <c r="G903" s="40" t="n"/>
      <c r="H903" s="38" t="n"/>
      <c r="I903" s="38" t="n"/>
      <c r="J903" s="38" t="n"/>
      <c r="K903" s="24">
        <f>IF($H903="","",$H903-N($J903))</f>
        <v/>
      </c>
      <c r="L903" s="25">
        <f>IFERROR($K903/$H903,"")</f>
        <v/>
      </c>
      <c r="M903" s="39">
        <f>IFERROR(INDEX('10_CLIENTI'!$B$5:$B$204,MATCH($D903,'10_CLIENTI'!$A$5:$A$204,0)),"")</f>
        <v/>
      </c>
      <c r="N903" s="39">
        <f>IFERROR(INDEX('11_PRODUSE'!$B$5:$B$104,MATCH($E903,'11_PRODUSE'!$A$5:$A$104,0)),"")</f>
        <v/>
      </c>
      <c r="O903" s="13" t="n"/>
      <c r="P903" s="13" t="n"/>
    </row>
    <row r="904">
      <c r="A904" s="35" t="n"/>
      <c r="B904" s="39">
        <f>IF($A904="","",YEAR($A904)&amp;"-"&amp;RIGHT("0"&amp;MONTH($A904),2))</f>
        <v/>
      </c>
      <c r="C904" s="13" t="n"/>
      <c r="D904" s="13" t="n"/>
      <c r="E904" s="13" t="n"/>
      <c r="F904" s="13" t="n"/>
      <c r="G904" s="40" t="n"/>
      <c r="H904" s="38" t="n"/>
      <c r="I904" s="38" t="n"/>
      <c r="J904" s="38" t="n"/>
      <c r="K904" s="24">
        <f>IF($H904="","",$H904-N($J904))</f>
        <v/>
      </c>
      <c r="L904" s="25">
        <f>IFERROR($K904/$H904,"")</f>
        <v/>
      </c>
      <c r="M904" s="39">
        <f>IFERROR(INDEX('10_CLIENTI'!$B$5:$B$204,MATCH($D904,'10_CLIENTI'!$A$5:$A$204,0)),"")</f>
        <v/>
      </c>
      <c r="N904" s="39">
        <f>IFERROR(INDEX('11_PRODUSE'!$B$5:$B$104,MATCH($E904,'11_PRODUSE'!$A$5:$A$104,0)),"")</f>
        <v/>
      </c>
      <c r="O904" s="13" t="n"/>
      <c r="P904" s="13" t="n"/>
    </row>
    <row r="905">
      <c r="A905" s="35" t="n"/>
      <c r="B905" s="39">
        <f>IF($A905="","",YEAR($A905)&amp;"-"&amp;RIGHT("0"&amp;MONTH($A905),2))</f>
        <v/>
      </c>
      <c r="C905" s="13" t="n"/>
      <c r="D905" s="13" t="n"/>
      <c r="E905" s="13" t="n"/>
      <c r="F905" s="13" t="n"/>
      <c r="G905" s="40" t="n"/>
      <c r="H905" s="38" t="n"/>
      <c r="I905" s="38" t="n"/>
      <c r="J905" s="38" t="n"/>
      <c r="K905" s="24">
        <f>IF($H905="","",$H905-N($J905))</f>
        <v/>
      </c>
      <c r="L905" s="25">
        <f>IFERROR($K905/$H905,"")</f>
        <v/>
      </c>
      <c r="M905" s="39">
        <f>IFERROR(INDEX('10_CLIENTI'!$B$5:$B$204,MATCH($D905,'10_CLIENTI'!$A$5:$A$204,0)),"")</f>
        <v/>
      </c>
      <c r="N905" s="39">
        <f>IFERROR(INDEX('11_PRODUSE'!$B$5:$B$104,MATCH($E905,'11_PRODUSE'!$A$5:$A$104,0)),"")</f>
        <v/>
      </c>
      <c r="O905" s="13" t="n"/>
      <c r="P905" s="13" t="n"/>
    </row>
    <row r="906">
      <c r="A906" s="35" t="n"/>
      <c r="B906" s="39">
        <f>IF($A906="","",YEAR($A906)&amp;"-"&amp;RIGHT("0"&amp;MONTH($A906),2))</f>
        <v/>
      </c>
      <c r="C906" s="13" t="n"/>
      <c r="D906" s="13" t="n"/>
      <c r="E906" s="13" t="n"/>
      <c r="F906" s="13" t="n"/>
      <c r="G906" s="40" t="n"/>
      <c r="H906" s="38" t="n"/>
      <c r="I906" s="38" t="n"/>
      <c r="J906" s="38" t="n"/>
      <c r="K906" s="24">
        <f>IF($H906="","",$H906-N($J906))</f>
        <v/>
      </c>
      <c r="L906" s="25">
        <f>IFERROR($K906/$H906,"")</f>
        <v/>
      </c>
      <c r="M906" s="39">
        <f>IFERROR(INDEX('10_CLIENTI'!$B$5:$B$204,MATCH($D906,'10_CLIENTI'!$A$5:$A$204,0)),"")</f>
        <v/>
      </c>
      <c r="N906" s="39">
        <f>IFERROR(INDEX('11_PRODUSE'!$B$5:$B$104,MATCH($E906,'11_PRODUSE'!$A$5:$A$104,0)),"")</f>
        <v/>
      </c>
      <c r="O906" s="13" t="n"/>
      <c r="P906" s="13" t="n"/>
    </row>
    <row r="907">
      <c r="A907" s="35" t="n"/>
      <c r="B907" s="39">
        <f>IF($A907="","",YEAR($A907)&amp;"-"&amp;RIGHT("0"&amp;MONTH($A907),2))</f>
        <v/>
      </c>
      <c r="C907" s="13" t="n"/>
      <c r="D907" s="13" t="n"/>
      <c r="E907" s="13" t="n"/>
      <c r="F907" s="13" t="n"/>
      <c r="G907" s="40" t="n"/>
      <c r="H907" s="38" t="n"/>
      <c r="I907" s="38" t="n"/>
      <c r="J907" s="38" t="n"/>
      <c r="K907" s="24">
        <f>IF($H907="","",$H907-N($J907))</f>
        <v/>
      </c>
      <c r="L907" s="25">
        <f>IFERROR($K907/$H907,"")</f>
        <v/>
      </c>
      <c r="M907" s="39">
        <f>IFERROR(INDEX('10_CLIENTI'!$B$5:$B$204,MATCH($D907,'10_CLIENTI'!$A$5:$A$204,0)),"")</f>
        <v/>
      </c>
      <c r="N907" s="39">
        <f>IFERROR(INDEX('11_PRODUSE'!$B$5:$B$104,MATCH($E907,'11_PRODUSE'!$A$5:$A$104,0)),"")</f>
        <v/>
      </c>
      <c r="O907" s="13" t="n"/>
      <c r="P907" s="13" t="n"/>
    </row>
    <row r="908">
      <c r="A908" s="35" t="n"/>
      <c r="B908" s="39">
        <f>IF($A908="","",YEAR($A908)&amp;"-"&amp;RIGHT("0"&amp;MONTH($A908),2))</f>
        <v/>
      </c>
      <c r="C908" s="13" t="n"/>
      <c r="D908" s="13" t="n"/>
      <c r="E908" s="13" t="n"/>
      <c r="F908" s="13" t="n"/>
      <c r="G908" s="40" t="n"/>
      <c r="H908" s="38" t="n"/>
      <c r="I908" s="38" t="n"/>
      <c r="J908" s="38" t="n"/>
      <c r="K908" s="24">
        <f>IF($H908="","",$H908-N($J908))</f>
        <v/>
      </c>
      <c r="L908" s="25">
        <f>IFERROR($K908/$H908,"")</f>
        <v/>
      </c>
      <c r="M908" s="39">
        <f>IFERROR(INDEX('10_CLIENTI'!$B$5:$B$204,MATCH($D908,'10_CLIENTI'!$A$5:$A$204,0)),"")</f>
        <v/>
      </c>
      <c r="N908" s="39">
        <f>IFERROR(INDEX('11_PRODUSE'!$B$5:$B$104,MATCH($E908,'11_PRODUSE'!$A$5:$A$104,0)),"")</f>
        <v/>
      </c>
      <c r="O908" s="13" t="n"/>
      <c r="P908" s="13" t="n"/>
    </row>
    <row r="909">
      <c r="A909" s="35" t="n"/>
      <c r="B909" s="39">
        <f>IF($A909="","",YEAR($A909)&amp;"-"&amp;RIGHT("0"&amp;MONTH($A909),2))</f>
        <v/>
      </c>
      <c r="C909" s="13" t="n"/>
      <c r="D909" s="13" t="n"/>
      <c r="E909" s="13" t="n"/>
      <c r="F909" s="13" t="n"/>
      <c r="G909" s="40" t="n"/>
      <c r="H909" s="38" t="n"/>
      <c r="I909" s="38" t="n"/>
      <c r="J909" s="38" t="n"/>
      <c r="K909" s="24">
        <f>IF($H909="","",$H909-N($J909))</f>
        <v/>
      </c>
      <c r="L909" s="25">
        <f>IFERROR($K909/$H909,"")</f>
        <v/>
      </c>
      <c r="M909" s="39">
        <f>IFERROR(INDEX('10_CLIENTI'!$B$5:$B$204,MATCH($D909,'10_CLIENTI'!$A$5:$A$204,0)),"")</f>
        <v/>
      </c>
      <c r="N909" s="39">
        <f>IFERROR(INDEX('11_PRODUSE'!$B$5:$B$104,MATCH($E909,'11_PRODUSE'!$A$5:$A$104,0)),"")</f>
        <v/>
      </c>
      <c r="O909" s="13" t="n"/>
      <c r="P909" s="13" t="n"/>
    </row>
    <row r="910">
      <c r="A910" s="35" t="n"/>
      <c r="B910" s="39">
        <f>IF($A910="","",YEAR($A910)&amp;"-"&amp;RIGHT("0"&amp;MONTH($A910),2))</f>
        <v/>
      </c>
      <c r="C910" s="13" t="n"/>
      <c r="D910" s="13" t="n"/>
      <c r="E910" s="13" t="n"/>
      <c r="F910" s="13" t="n"/>
      <c r="G910" s="40" t="n"/>
      <c r="H910" s="38" t="n"/>
      <c r="I910" s="38" t="n"/>
      <c r="J910" s="38" t="n"/>
      <c r="K910" s="24">
        <f>IF($H910="","",$H910-N($J910))</f>
        <v/>
      </c>
      <c r="L910" s="25">
        <f>IFERROR($K910/$H910,"")</f>
        <v/>
      </c>
      <c r="M910" s="39">
        <f>IFERROR(INDEX('10_CLIENTI'!$B$5:$B$204,MATCH($D910,'10_CLIENTI'!$A$5:$A$204,0)),"")</f>
        <v/>
      </c>
      <c r="N910" s="39">
        <f>IFERROR(INDEX('11_PRODUSE'!$B$5:$B$104,MATCH($E910,'11_PRODUSE'!$A$5:$A$104,0)),"")</f>
        <v/>
      </c>
      <c r="O910" s="13" t="n"/>
      <c r="P910" s="13" t="n"/>
    </row>
    <row r="911">
      <c r="A911" s="35" t="n"/>
      <c r="B911" s="39">
        <f>IF($A911="","",YEAR($A911)&amp;"-"&amp;RIGHT("0"&amp;MONTH($A911),2))</f>
        <v/>
      </c>
      <c r="C911" s="13" t="n"/>
      <c r="D911" s="13" t="n"/>
      <c r="E911" s="13" t="n"/>
      <c r="F911" s="13" t="n"/>
      <c r="G911" s="40" t="n"/>
      <c r="H911" s="38" t="n"/>
      <c r="I911" s="38" t="n"/>
      <c r="J911" s="38" t="n"/>
      <c r="K911" s="24">
        <f>IF($H911="","",$H911-N($J911))</f>
        <v/>
      </c>
      <c r="L911" s="25">
        <f>IFERROR($K911/$H911,"")</f>
        <v/>
      </c>
      <c r="M911" s="39">
        <f>IFERROR(INDEX('10_CLIENTI'!$B$5:$B$204,MATCH($D911,'10_CLIENTI'!$A$5:$A$204,0)),"")</f>
        <v/>
      </c>
      <c r="N911" s="39">
        <f>IFERROR(INDEX('11_PRODUSE'!$B$5:$B$104,MATCH($E911,'11_PRODUSE'!$A$5:$A$104,0)),"")</f>
        <v/>
      </c>
      <c r="O911" s="13" t="n"/>
      <c r="P911" s="13" t="n"/>
    </row>
    <row r="912">
      <c r="A912" s="35" t="n"/>
      <c r="B912" s="39">
        <f>IF($A912="","",YEAR($A912)&amp;"-"&amp;RIGHT("0"&amp;MONTH($A912),2))</f>
        <v/>
      </c>
      <c r="C912" s="13" t="n"/>
      <c r="D912" s="13" t="n"/>
      <c r="E912" s="13" t="n"/>
      <c r="F912" s="13" t="n"/>
      <c r="G912" s="40" t="n"/>
      <c r="H912" s="38" t="n"/>
      <c r="I912" s="38" t="n"/>
      <c r="J912" s="38" t="n"/>
      <c r="K912" s="24">
        <f>IF($H912="","",$H912-N($J912))</f>
        <v/>
      </c>
      <c r="L912" s="25">
        <f>IFERROR($K912/$H912,"")</f>
        <v/>
      </c>
      <c r="M912" s="39">
        <f>IFERROR(INDEX('10_CLIENTI'!$B$5:$B$204,MATCH($D912,'10_CLIENTI'!$A$5:$A$204,0)),"")</f>
        <v/>
      </c>
      <c r="N912" s="39">
        <f>IFERROR(INDEX('11_PRODUSE'!$B$5:$B$104,MATCH($E912,'11_PRODUSE'!$A$5:$A$104,0)),"")</f>
        <v/>
      </c>
      <c r="O912" s="13" t="n"/>
      <c r="P912" s="13" t="n"/>
    </row>
    <row r="913">
      <c r="A913" s="35" t="n"/>
      <c r="B913" s="39">
        <f>IF($A913="","",YEAR($A913)&amp;"-"&amp;RIGHT("0"&amp;MONTH($A913),2))</f>
        <v/>
      </c>
      <c r="C913" s="13" t="n"/>
      <c r="D913" s="13" t="n"/>
      <c r="E913" s="13" t="n"/>
      <c r="F913" s="13" t="n"/>
      <c r="G913" s="40" t="n"/>
      <c r="H913" s="38" t="n"/>
      <c r="I913" s="38" t="n"/>
      <c r="J913" s="38" t="n"/>
      <c r="K913" s="24">
        <f>IF($H913="","",$H913-N($J913))</f>
        <v/>
      </c>
      <c r="L913" s="25">
        <f>IFERROR($K913/$H913,"")</f>
        <v/>
      </c>
      <c r="M913" s="39">
        <f>IFERROR(INDEX('10_CLIENTI'!$B$5:$B$204,MATCH($D913,'10_CLIENTI'!$A$5:$A$204,0)),"")</f>
        <v/>
      </c>
      <c r="N913" s="39">
        <f>IFERROR(INDEX('11_PRODUSE'!$B$5:$B$104,MATCH($E913,'11_PRODUSE'!$A$5:$A$104,0)),"")</f>
        <v/>
      </c>
      <c r="O913" s="13" t="n"/>
      <c r="P913" s="13" t="n"/>
    </row>
    <row r="914">
      <c r="A914" s="35" t="n"/>
      <c r="B914" s="39">
        <f>IF($A914="","",YEAR($A914)&amp;"-"&amp;RIGHT("0"&amp;MONTH($A914),2))</f>
        <v/>
      </c>
      <c r="C914" s="13" t="n"/>
      <c r="D914" s="13" t="n"/>
      <c r="E914" s="13" t="n"/>
      <c r="F914" s="13" t="n"/>
      <c r="G914" s="40" t="n"/>
      <c r="H914" s="38" t="n"/>
      <c r="I914" s="38" t="n"/>
      <c r="J914" s="38" t="n"/>
      <c r="K914" s="24">
        <f>IF($H914="","",$H914-N($J914))</f>
        <v/>
      </c>
      <c r="L914" s="25">
        <f>IFERROR($K914/$H914,"")</f>
        <v/>
      </c>
      <c r="M914" s="39">
        <f>IFERROR(INDEX('10_CLIENTI'!$B$5:$B$204,MATCH($D914,'10_CLIENTI'!$A$5:$A$204,0)),"")</f>
        <v/>
      </c>
      <c r="N914" s="39">
        <f>IFERROR(INDEX('11_PRODUSE'!$B$5:$B$104,MATCH($E914,'11_PRODUSE'!$A$5:$A$104,0)),"")</f>
        <v/>
      </c>
      <c r="O914" s="13" t="n"/>
      <c r="P914" s="13" t="n"/>
    </row>
    <row r="915">
      <c r="A915" s="35" t="n"/>
      <c r="B915" s="39">
        <f>IF($A915="","",YEAR($A915)&amp;"-"&amp;RIGHT("0"&amp;MONTH($A915),2))</f>
        <v/>
      </c>
      <c r="C915" s="13" t="n"/>
      <c r="D915" s="13" t="n"/>
      <c r="E915" s="13" t="n"/>
      <c r="F915" s="13" t="n"/>
      <c r="G915" s="40" t="n"/>
      <c r="H915" s="38" t="n"/>
      <c r="I915" s="38" t="n"/>
      <c r="J915" s="38" t="n"/>
      <c r="K915" s="24">
        <f>IF($H915="","",$H915-N($J915))</f>
        <v/>
      </c>
      <c r="L915" s="25">
        <f>IFERROR($K915/$H915,"")</f>
        <v/>
      </c>
      <c r="M915" s="39">
        <f>IFERROR(INDEX('10_CLIENTI'!$B$5:$B$204,MATCH($D915,'10_CLIENTI'!$A$5:$A$204,0)),"")</f>
        <v/>
      </c>
      <c r="N915" s="39">
        <f>IFERROR(INDEX('11_PRODUSE'!$B$5:$B$104,MATCH($E915,'11_PRODUSE'!$A$5:$A$104,0)),"")</f>
        <v/>
      </c>
      <c r="O915" s="13" t="n"/>
      <c r="P915" s="13" t="n"/>
    </row>
    <row r="916">
      <c r="A916" s="35" t="n"/>
      <c r="B916" s="39">
        <f>IF($A916="","",YEAR($A916)&amp;"-"&amp;RIGHT("0"&amp;MONTH($A916),2))</f>
        <v/>
      </c>
      <c r="C916" s="13" t="n"/>
      <c r="D916" s="13" t="n"/>
      <c r="E916" s="13" t="n"/>
      <c r="F916" s="13" t="n"/>
      <c r="G916" s="40" t="n"/>
      <c r="H916" s="38" t="n"/>
      <c r="I916" s="38" t="n"/>
      <c r="J916" s="38" t="n"/>
      <c r="K916" s="24">
        <f>IF($H916="","",$H916-N($J916))</f>
        <v/>
      </c>
      <c r="L916" s="25">
        <f>IFERROR($K916/$H916,"")</f>
        <v/>
      </c>
      <c r="M916" s="39">
        <f>IFERROR(INDEX('10_CLIENTI'!$B$5:$B$204,MATCH($D916,'10_CLIENTI'!$A$5:$A$204,0)),"")</f>
        <v/>
      </c>
      <c r="N916" s="39">
        <f>IFERROR(INDEX('11_PRODUSE'!$B$5:$B$104,MATCH($E916,'11_PRODUSE'!$A$5:$A$104,0)),"")</f>
        <v/>
      </c>
      <c r="O916" s="13" t="n"/>
      <c r="P916" s="13" t="n"/>
    </row>
    <row r="917">
      <c r="A917" s="35" t="n"/>
      <c r="B917" s="39">
        <f>IF($A917="","",YEAR($A917)&amp;"-"&amp;RIGHT("0"&amp;MONTH($A917),2))</f>
        <v/>
      </c>
      <c r="C917" s="13" t="n"/>
      <c r="D917" s="13" t="n"/>
      <c r="E917" s="13" t="n"/>
      <c r="F917" s="13" t="n"/>
      <c r="G917" s="40" t="n"/>
      <c r="H917" s="38" t="n"/>
      <c r="I917" s="38" t="n"/>
      <c r="J917" s="38" t="n"/>
      <c r="K917" s="24">
        <f>IF($H917="","",$H917-N($J917))</f>
        <v/>
      </c>
      <c r="L917" s="25">
        <f>IFERROR($K917/$H917,"")</f>
        <v/>
      </c>
      <c r="M917" s="39">
        <f>IFERROR(INDEX('10_CLIENTI'!$B$5:$B$204,MATCH($D917,'10_CLIENTI'!$A$5:$A$204,0)),"")</f>
        <v/>
      </c>
      <c r="N917" s="39">
        <f>IFERROR(INDEX('11_PRODUSE'!$B$5:$B$104,MATCH($E917,'11_PRODUSE'!$A$5:$A$104,0)),"")</f>
        <v/>
      </c>
      <c r="O917" s="13" t="n"/>
      <c r="P917" s="13" t="n"/>
    </row>
    <row r="918">
      <c r="A918" s="35" t="n"/>
      <c r="B918" s="39">
        <f>IF($A918="","",YEAR($A918)&amp;"-"&amp;RIGHT("0"&amp;MONTH($A918),2))</f>
        <v/>
      </c>
      <c r="C918" s="13" t="n"/>
      <c r="D918" s="13" t="n"/>
      <c r="E918" s="13" t="n"/>
      <c r="F918" s="13" t="n"/>
      <c r="G918" s="40" t="n"/>
      <c r="H918" s="38" t="n"/>
      <c r="I918" s="38" t="n"/>
      <c r="J918" s="38" t="n"/>
      <c r="K918" s="24">
        <f>IF($H918="","",$H918-N($J918))</f>
        <v/>
      </c>
      <c r="L918" s="25">
        <f>IFERROR($K918/$H918,"")</f>
        <v/>
      </c>
      <c r="M918" s="39">
        <f>IFERROR(INDEX('10_CLIENTI'!$B$5:$B$204,MATCH($D918,'10_CLIENTI'!$A$5:$A$204,0)),"")</f>
        <v/>
      </c>
      <c r="N918" s="39">
        <f>IFERROR(INDEX('11_PRODUSE'!$B$5:$B$104,MATCH($E918,'11_PRODUSE'!$A$5:$A$104,0)),"")</f>
        <v/>
      </c>
      <c r="O918" s="13" t="n"/>
      <c r="P918" s="13" t="n"/>
    </row>
    <row r="919">
      <c r="A919" s="35" t="n"/>
      <c r="B919" s="39">
        <f>IF($A919="","",YEAR($A919)&amp;"-"&amp;RIGHT("0"&amp;MONTH($A919),2))</f>
        <v/>
      </c>
      <c r="C919" s="13" t="n"/>
      <c r="D919" s="13" t="n"/>
      <c r="E919" s="13" t="n"/>
      <c r="F919" s="13" t="n"/>
      <c r="G919" s="40" t="n"/>
      <c r="H919" s="38" t="n"/>
      <c r="I919" s="38" t="n"/>
      <c r="J919" s="38" t="n"/>
      <c r="K919" s="24">
        <f>IF($H919="","",$H919-N($J919))</f>
        <v/>
      </c>
      <c r="L919" s="25">
        <f>IFERROR($K919/$H919,"")</f>
        <v/>
      </c>
      <c r="M919" s="39">
        <f>IFERROR(INDEX('10_CLIENTI'!$B$5:$B$204,MATCH($D919,'10_CLIENTI'!$A$5:$A$204,0)),"")</f>
        <v/>
      </c>
      <c r="N919" s="39">
        <f>IFERROR(INDEX('11_PRODUSE'!$B$5:$B$104,MATCH($E919,'11_PRODUSE'!$A$5:$A$104,0)),"")</f>
        <v/>
      </c>
      <c r="O919" s="13" t="n"/>
      <c r="P919" s="13" t="n"/>
    </row>
    <row r="920">
      <c r="A920" s="35" t="n"/>
      <c r="B920" s="39">
        <f>IF($A920="","",YEAR($A920)&amp;"-"&amp;RIGHT("0"&amp;MONTH($A920),2))</f>
        <v/>
      </c>
      <c r="C920" s="13" t="n"/>
      <c r="D920" s="13" t="n"/>
      <c r="E920" s="13" t="n"/>
      <c r="F920" s="13" t="n"/>
      <c r="G920" s="40" t="n"/>
      <c r="H920" s="38" t="n"/>
      <c r="I920" s="38" t="n"/>
      <c r="J920" s="38" t="n"/>
      <c r="K920" s="24">
        <f>IF($H920="","",$H920-N($J920))</f>
        <v/>
      </c>
      <c r="L920" s="25">
        <f>IFERROR($K920/$H920,"")</f>
        <v/>
      </c>
      <c r="M920" s="39">
        <f>IFERROR(INDEX('10_CLIENTI'!$B$5:$B$204,MATCH($D920,'10_CLIENTI'!$A$5:$A$204,0)),"")</f>
        <v/>
      </c>
      <c r="N920" s="39">
        <f>IFERROR(INDEX('11_PRODUSE'!$B$5:$B$104,MATCH($E920,'11_PRODUSE'!$A$5:$A$104,0)),"")</f>
        <v/>
      </c>
      <c r="O920" s="13" t="n"/>
      <c r="P920" s="13" t="n"/>
    </row>
    <row r="921">
      <c r="A921" s="35" t="n"/>
      <c r="B921" s="39">
        <f>IF($A921="","",YEAR($A921)&amp;"-"&amp;RIGHT("0"&amp;MONTH($A921),2))</f>
        <v/>
      </c>
      <c r="C921" s="13" t="n"/>
      <c r="D921" s="13" t="n"/>
      <c r="E921" s="13" t="n"/>
      <c r="F921" s="13" t="n"/>
      <c r="G921" s="40" t="n"/>
      <c r="H921" s="38" t="n"/>
      <c r="I921" s="38" t="n"/>
      <c r="J921" s="38" t="n"/>
      <c r="K921" s="24">
        <f>IF($H921="","",$H921-N($J921))</f>
        <v/>
      </c>
      <c r="L921" s="25">
        <f>IFERROR($K921/$H921,"")</f>
        <v/>
      </c>
      <c r="M921" s="39">
        <f>IFERROR(INDEX('10_CLIENTI'!$B$5:$B$204,MATCH($D921,'10_CLIENTI'!$A$5:$A$204,0)),"")</f>
        <v/>
      </c>
      <c r="N921" s="39">
        <f>IFERROR(INDEX('11_PRODUSE'!$B$5:$B$104,MATCH($E921,'11_PRODUSE'!$A$5:$A$104,0)),"")</f>
        <v/>
      </c>
      <c r="O921" s="13" t="n"/>
      <c r="P921" s="13" t="n"/>
    </row>
    <row r="922">
      <c r="A922" s="35" t="n"/>
      <c r="B922" s="39">
        <f>IF($A922="","",YEAR($A922)&amp;"-"&amp;RIGHT("0"&amp;MONTH($A922),2))</f>
        <v/>
      </c>
      <c r="C922" s="13" t="n"/>
      <c r="D922" s="13" t="n"/>
      <c r="E922" s="13" t="n"/>
      <c r="F922" s="13" t="n"/>
      <c r="G922" s="40" t="n"/>
      <c r="H922" s="38" t="n"/>
      <c r="I922" s="38" t="n"/>
      <c r="J922" s="38" t="n"/>
      <c r="K922" s="24">
        <f>IF($H922="","",$H922-N($J922))</f>
        <v/>
      </c>
      <c r="L922" s="25">
        <f>IFERROR($K922/$H922,"")</f>
        <v/>
      </c>
      <c r="M922" s="39">
        <f>IFERROR(INDEX('10_CLIENTI'!$B$5:$B$204,MATCH($D922,'10_CLIENTI'!$A$5:$A$204,0)),"")</f>
        <v/>
      </c>
      <c r="N922" s="39">
        <f>IFERROR(INDEX('11_PRODUSE'!$B$5:$B$104,MATCH($E922,'11_PRODUSE'!$A$5:$A$104,0)),"")</f>
        <v/>
      </c>
      <c r="O922" s="13" t="n"/>
      <c r="P922" s="13" t="n"/>
    </row>
    <row r="923">
      <c r="A923" s="35" t="n"/>
      <c r="B923" s="39">
        <f>IF($A923="","",YEAR($A923)&amp;"-"&amp;RIGHT("0"&amp;MONTH($A923),2))</f>
        <v/>
      </c>
      <c r="C923" s="13" t="n"/>
      <c r="D923" s="13" t="n"/>
      <c r="E923" s="13" t="n"/>
      <c r="F923" s="13" t="n"/>
      <c r="G923" s="40" t="n"/>
      <c r="H923" s="38" t="n"/>
      <c r="I923" s="38" t="n"/>
      <c r="J923" s="38" t="n"/>
      <c r="K923" s="24">
        <f>IF($H923="","",$H923-N($J923))</f>
        <v/>
      </c>
      <c r="L923" s="25">
        <f>IFERROR($K923/$H923,"")</f>
        <v/>
      </c>
      <c r="M923" s="39">
        <f>IFERROR(INDEX('10_CLIENTI'!$B$5:$B$204,MATCH($D923,'10_CLIENTI'!$A$5:$A$204,0)),"")</f>
        <v/>
      </c>
      <c r="N923" s="39">
        <f>IFERROR(INDEX('11_PRODUSE'!$B$5:$B$104,MATCH($E923,'11_PRODUSE'!$A$5:$A$104,0)),"")</f>
        <v/>
      </c>
      <c r="O923" s="13" t="n"/>
      <c r="P923" s="13" t="n"/>
    </row>
    <row r="924">
      <c r="A924" s="35" t="n"/>
      <c r="B924" s="39">
        <f>IF($A924="","",YEAR($A924)&amp;"-"&amp;RIGHT("0"&amp;MONTH($A924),2))</f>
        <v/>
      </c>
      <c r="C924" s="13" t="n"/>
      <c r="D924" s="13" t="n"/>
      <c r="E924" s="13" t="n"/>
      <c r="F924" s="13" t="n"/>
      <c r="G924" s="40" t="n"/>
      <c r="H924" s="38" t="n"/>
      <c r="I924" s="38" t="n"/>
      <c r="J924" s="38" t="n"/>
      <c r="K924" s="24">
        <f>IF($H924="","",$H924-N($J924))</f>
        <v/>
      </c>
      <c r="L924" s="25">
        <f>IFERROR($K924/$H924,"")</f>
        <v/>
      </c>
      <c r="M924" s="39">
        <f>IFERROR(INDEX('10_CLIENTI'!$B$5:$B$204,MATCH($D924,'10_CLIENTI'!$A$5:$A$204,0)),"")</f>
        <v/>
      </c>
      <c r="N924" s="39">
        <f>IFERROR(INDEX('11_PRODUSE'!$B$5:$B$104,MATCH($E924,'11_PRODUSE'!$A$5:$A$104,0)),"")</f>
        <v/>
      </c>
      <c r="O924" s="13" t="n"/>
      <c r="P924" s="13" t="n"/>
    </row>
    <row r="925">
      <c r="A925" s="35" t="n"/>
      <c r="B925" s="39">
        <f>IF($A925="","",YEAR($A925)&amp;"-"&amp;RIGHT("0"&amp;MONTH($A925),2))</f>
        <v/>
      </c>
      <c r="C925" s="13" t="n"/>
      <c r="D925" s="13" t="n"/>
      <c r="E925" s="13" t="n"/>
      <c r="F925" s="13" t="n"/>
      <c r="G925" s="40" t="n"/>
      <c r="H925" s="38" t="n"/>
      <c r="I925" s="38" t="n"/>
      <c r="J925" s="38" t="n"/>
      <c r="K925" s="24">
        <f>IF($H925="","",$H925-N($J925))</f>
        <v/>
      </c>
      <c r="L925" s="25">
        <f>IFERROR($K925/$H925,"")</f>
        <v/>
      </c>
      <c r="M925" s="39">
        <f>IFERROR(INDEX('10_CLIENTI'!$B$5:$B$204,MATCH($D925,'10_CLIENTI'!$A$5:$A$204,0)),"")</f>
        <v/>
      </c>
      <c r="N925" s="39">
        <f>IFERROR(INDEX('11_PRODUSE'!$B$5:$B$104,MATCH($E925,'11_PRODUSE'!$A$5:$A$104,0)),"")</f>
        <v/>
      </c>
      <c r="O925" s="13" t="n"/>
      <c r="P925" s="13" t="n"/>
    </row>
    <row r="926">
      <c r="A926" s="35" t="n"/>
      <c r="B926" s="39">
        <f>IF($A926="","",YEAR($A926)&amp;"-"&amp;RIGHT("0"&amp;MONTH($A926),2))</f>
        <v/>
      </c>
      <c r="C926" s="13" t="n"/>
      <c r="D926" s="13" t="n"/>
      <c r="E926" s="13" t="n"/>
      <c r="F926" s="13" t="n"/>
      <c r="G926" s="40" t="n"/>
      <c r="H926" s="38" t="n"/>
      <c r="I926" s="38" t="n"/>
      <c r="J926" s="38" t="n"/>
      <c r="K926" s="24">
        <f>IF($H926="","",$H926-N($J926))</f>
        <v/>
      </c>
      <c r="L926" s="25">
        <f>IFERROR($K926/$H926,"")</f>
        <v/>
      </c>
      <c r="M926" s="39">
        <f>IFERROR(INDEX('10_CLIENTI'!$B$5:$B$204,MATCH($D926,'10_CLIENTI'!$A$5:$A$204,0)),"")</f>
        <v/>
      </c>
      <c r="N926" s="39">
        <f>IFERROR(INDEX('11_PRODUSE'!$B$5:$B$104,MATCH($E926,'11_PRODUSE'!$A$5:$A$104,0)),"")</f>
        <v/>
      </c>
      <c r="O926" s="13" t="n"/>
      <c r="P926" s="13" t="n"/>
    </row>
    <row r="927">
      <c r="A927" s="35" t="n"/>
      <c r="B927" s="39">
        <f>IF($A927="","",YEAR($A927)&amp;"-"&amp;RIGHT("0"&amp;MONTH($A927),2))</f>
        <v/>
      </c>
      <c r="C927" s="13" t="n"/>
      <c r="D927" s="13" t="n"/>
      <c r="E927" s="13" t="n"/>
      <c r="F927" s="13" t="n"/>
      <c r="G927" s="40" t="n"/>
      <c r="H927" s="38" t="n"/>
      <c r="I927" s="38" t="n"/>
      <c r="J927" s="38" t="n"/>
      <c r="K927" s="24">
        <f>IF($H927="","",$H927-N($J927))</f>
        <v/>
      </c>
      <c r="L927" s="25">
        <f>IFERROR($K927/$H927,"")</f>
        <v/>
      </c>
      <c r="M927" s="39">
        <f>IFERROR(INDEX('10_CLIENTI'!$B$5:$B$204,MATCH($D927,'10_CLIENTI'!$A$5:$A$204,0)),"")</f>
        <v/>
      </c>
      <c r="N927" s="39">
        <f>IFERROR(INDEX('11_PRODUSE'!$B$5:$B$104,MATCH($E927,'11_PRODUSE'!$A$5:$A$104,0)),"")</f>
        <v/>
      </c>
      <c r="O927" s="13" t="n"/>
      <c r="P927" s="13" t="n"/>
    </row>
    <row r="928">
      <c r="A928" s="35" t="n"/>
      <c r="B928" s="39">
        <f>IF($A928="","",YEAR($A928)&amp;"-"&amp;RIGHT("0"&amp;MONTH($A928),2))</f>
        <v/>
      </c>
      <c r="C928" s="13" t="n"/>
      <c r="D928" s="13" t="n"/>
      <c r="E928" s="13" t="n"/>
      <c r="F928" s="13" t="n"/>
      <c r="G928" s="40" t="n"/>
      <c r="H928" s="38" t="n"/>
      <c r="I928" s="38" t="n"/>
      <c r="J928" s="38" t="n"/>
      <c r="K928" s="24">
        <f>IF($H928="","",$H928-N($J928))</f>
        <v/>
      </c>
      <c r="L928" s="25">
        <f>IFERROR($K928/$H928,"")</f>
        <v/>
      </c>
      <c r="M928" s="39">
        <f>IFERROR(INDEX('10_CLIENTI'!$B$5:$B$204,MATCH($D928,'10_CLIENTI'!$A$5:$A$204,0)),"")</f>
        <v/>
      </c>
      <c r="N928" s="39">
        <f>IFERROR(INDEX('11_PRODUSE'!$B$5:$B$104,MATCH($E928,'11_PRODUSE'!$A$5:$A$104,0)),"")</f>
        <v/>
      </c>
      <c r="O928" s="13" t="n"/>
      <c r="P928" s="13" t="n"/>
    </row>
    <row r="929">
      <c r="A929" s="35" t="n"/>
      <c r="B929" s="39">
        <f>IF($A929="","",YEAR($A929)&amp;"-"&amp;RIGHT("0"&amp;MONTH($A929),2))</f>
        <v/>
      </c>
      <c r="C929" s="13" t="n"/>
      <c r="D929" s="13" t="n"/>
      <c r="E929" s="13" t="n"/>
      <c r="F929" s="13" t="n"/>
      <c r="G929" s="40" t="n"/>
      <c r="H929" s="38" t="n"/>
      <c r="I929" s="38" t="n"/>
      <c r="J929" s="38" t="n"/>
      <c r="K929" s="24">
        <f>IF($H929="","",$H929-N($J929))</f>
        <v/>
      </c>
      <c r="L929" s="25">
        <f>IFERROR($K929/$H929,"")</f>
        <v/>
      </c>
      <c r="M929" s="39">
        <f>IFERROR(INDEX('10_CLIENTI'!$B$5:$B$204,MATCH($D929,'10_CLIENTI'!$A$5:$A$204,0)),"")</f>
        <v/>
      </c>
      <c r="N929" s="39">
        <f>IFERROR(INDEX('11_PRODUSE'!$B$5:$B$104,MATCH($E929,'11_PRODUSE'!$A$5:$A$104,0)),"")</f>
        <v/>
      </c>
      <c r="O929" s="13" t="n"/>
      <c r="P929" s="13" t="n"/>
    </row>
    <row r="930">
      <c r="A930" s="35" t="n"/>
      <c r="B930" s="39">
        <f>IF($A930="","",YEAR($A930)&amp;"-"&amp;RIGHT("0"&amp;MONTH($A930),2))</f>
        <v/>
      </c>
      <c r="C930" s="13" t="n"/>
      <c r="D930" s="13" t="n"/>
      <c r="E930" s="13" t="n"/>
      <c r="F930" s="13" t="n"/>
      <c r="G930" s="40" t="n"/>
      <c r="H930" s="38" t="n"/>
      <c r="I930" s="38" t="n"/>
      <c r="J930" s="38" t="n"/>
      <c r="K930" s="24">
        <f>IF($H930="","",$H930-N($J930))</f>
        <v/>
      </c>
      <c r="L930" s="25">
        <f>IFERROR($K930/$H930,"")</f>
        <v/>
      </c>
      <c r="M930" s="39">
        <f>IFERROR(INDEX('10_CLIENTI'!$B$5:$B$204,MATCH($D930,'10_CLIENTI'!$A$5:$A$204,0)),"")</f>
        <v/>
      </c>
      <c r="N930" s="39">
        <f>IFERROR(INDEX('11_PRODUSE'!$B$5:$B$104,MATCH($E930,'11_PRODUSE'!$A$5:$A$104,0)),"")</f>
        <v/>
      </c>
      <c r="O930" s="13" t="n"/>
      <c r="P930" s="13" t="n"/>
    </row>
    <row r="931">
      <c r="A931" s="35" t="n"/>
      <c r="B931" s="39">
        <f>IF($A931="","",YEAR($A931)&amp;"-"&amp;RIGHT("0"&amp;MONTH($A931),2))</f>
        <v/>
      </c>
      <c r="C931" s="13" t="n"/>
      <c r="D931" s="13" t="n"/>
      <c r="E931" s="13" t="n"/>
      <c r="F931" s="13" t="n"/>
      <c r="G931" s="40" t="n"/>
      <c r="H931" s="38" t="n"/>
      <c r="I931" s="38" t="n"/>
      <c r="J931" s="38" t="n"/>
      <c r="K931" s="24">
        <f>IF($H931="","",$H931-N($J931))</f>
        <v/>
      </c>
      <c r="L931" s="25">
        <f>IFERROR($K931/$H931,"")</f>
        <v/>
      </c>
      <c r="M931" s="39">
        <f>IFERROR(INDEX('10_CLIENTI'!$B$5:$B$204,MATCH($D931,'10_CLIENTI'!$A$5:$A$204,0)),"")</f>
        <v/>
      </c>
      <c r="N931" s="39">
        <f>IFERROR(INDEX('11_PRODUSE'!$B$5:$B$104,MATCH($E931,'11_PRODUSE'!$A$5:$A$104,0)),"")</f>
        <v/>
      </c>
      <c r="O931" s="13" t="n"/>
      <c r="P931" s="13" t="n"/>
    </row>
    <row r="932">
      <c r="A932" s="35" t="n"/>
      <c r="B932" s="39">
        <f>IF($A932="","",YEAR($A932)&amp;"-"&amp;RIGHT("0"&amp;MONTH($A932),2))</f>
        <v/>
      </c>
      <c r="C932" s="13" t="n"/>
      <c r="D932" s="13" t="n"/>
      <c r="E932" s="13" t="n"/>
      <c r="F932" s="13" t="n"/>
      <c r="G932" s="40" t="n"/>
      <c r="H932" s="38" t="n"/>
      <c r="I932" s="38" t="n"/>
      <c r="J932" s="38" t="n"/>
      <c r="K932" s="24">
        <f>IF($H932="","",$H932-N($J932))</f>
        <v/>
      </c>
      <c r="L932" s="25">
        <f>IFERROR($K932/$H932,"")</f>
        <v/>
      </c>
      <c r="M932" s="39">
        <f>IFERROR(INDEX('10_CLIENTI'!$B$5:$B$204,MATCH($D932,'10_CLIENTI'!$A$5:$A$204,0)),"")</f>
        <v/>
      </c>
      <c r="N932" s="39">
        <f>IFERROR(INDEX('11_PRODUSE'!$B$5:$B$104,MATCH($E932,'11_PRODUSE'!$A$5:$A$104,0)),"")</f>
        <v/>
      </c>
      <c r="O932" s="13" t="n"/>
      <c r="P932" s="13" t="n"/>
    </row>
    <row r="933">
      <c r="A933" s="35" t="n"/>
      <c r="B933" s="39">
        <f>IF($A933="","",YEAR($A933)&amp;"-"&amp;RIGHT("0"&amp;MONTH($A933),2))</f>
        <v/>
      </c>
      <c r="C933" s="13" t="n"/>
      <c r="D933" s="13" t="n"/>
      <c r="E933" s="13" t="n"/>
      <c r="F933" s="13" t="n"/>
      <c r="G933" s="40" t="n"/>
      <c r="H933" s="38" t="n"/>
      <c r="I933" s="38" t="n"/>
      <c r="J933" s="38" t="n"/>
      <c r="K933" s="24">
        <f>IF($H933="","",$H933-N($J933))</f>
        <v/>
      </c>
      <c r="L933" s="25">
        <f>IFERROR($K933/$H933,"")</f>
        <v/>
      </c>
      <c r="M933" s="39">
        <f>IFERROR(INDEX('10_CLIENTI'!$B$5:$B$204,MATCH($D933,'10_CLIENTI'!$A$5:$A$204,0)),"")</f>
        <v/>
      </c>
      <c r="N933" s="39">
        <f>IFERROR(INDEX('11_PRODUSE'!$B$5:$B$104,MATCH($E933,'11_PRODUSE'!$A$5:$A$104,0)),"")</f>
        <v/>
      </c>
      <c r="O933" s="13" t="n"/>
      <c r="P933" s="13" t="n"/>
    </row>
    <row r="934">
      <c r="A934" s="35" t="n"/>
      <c r="B934" s="39">
        <f>IF($A934="","",YEAR($A934)&amp;"-"&amp;RIGHT("0"&amp;MONTH($A934),2))</f>
        <v/>
      </c>
      <c r="C934" s="13" t="n"/>
      <c r="D934" s="13" t="n"/>
      <c r="E934" s="13" t="n"/>
      <c r="F934" s="13" t="n"/>
      <c r="G934" s="40" t="n"/>
      <c r="H934" s="38" t="n"/>
      <c r="I934" s="38" t="n"/>
      <c r="J934" s="38" t="n"/>
      <c r="K934" s="24">
        <f>IF($H934="","",$H934-N($J934))</f>
        <v/>
      </c>
      <c r="L934" s="25">
        <f>IFERROR($K934/$H934,"")</f>
        <v/>
      </c>
      <c r="M934" s="39">
        <f>IFERROR(INDEX('10_CLIENTI'!$B$5:$B$204,MATCH($D934,'10_CLIENTI'!$A$5:$A$204,0)),"")</f>
        <v/>
      </c>
      <c r="N934" s="39">
        <f>IFERROR(INDEX('11_PRODUSE'!$B$5:$B$104,MATCH($E934,'11_PRODUSE'!$A$5:$A$104,0)),"")</f>
        <v/>
      </c>
      <c r="O934" s="13" t="n"/>
      <c r="P934" s="13" t="n"/>
    </row>
    <row r="935">
      <c r="A935" s="35" t="n"/>
      <c r="B935" s="39">
        <f>IF($A935="","",YEAR($A935)&amp;"-"&amp;RIGHT("0"&amp;MONTH($A935),2))</f>
        <v/>
      </c>
      <c r="C935" s="13" t="n"/>
      <c r="D935" s="13" t="n"/>
      <c r="E935" s="13" t="n"/>
      <c r="F935" s="13" t="n"/>
      <c r="G935" s="40" t="n"/>
      <c r="H935" s="38" t="n"/>
      <c r="I935" s="38" t="n"/>
      <c r="J935" s="38" t="n"/>
      <c r="K935" s="24">
        <f>IF($H935="","",$H935-N($J935))</f>
        <v/>
      </c>
      <c r="L935" s="25">
        <f>IFERROR($K935/$H935,"")</f>
        <v/>
      </c>
      <c r="M935" s="39">
        <f>IFERROR(INDEX('10_CLIENTI'!$B$5:$B$204,MATCH($D935,'10_CLIENTI'!$A$5:$A$204,0)),"")</f>
        <v/>
      </c>
      <c r="N935" s="39">
        <f>IFERROR(INDEX('11_PRODUSE'!$B$5:$B$104,MATCH($E935,'11_PRODUSE'!$A$5:$A$104,0)),"")</f>
        <v/>
      </c>
      <c r="O935" s="13" t="n"/>
      <c r="P935" s="13" t="n"/>
    </row>
    <row r="936">
      <c r="A936" s="35" t="n"/>
      <c r="B936" s="39">
        <f>IF($A936="","",YEAR($A936)&amp;"-"&amp;RIGHT("0"&amp;MONTH($A936),2))</f>
        <v/>
      </c>
      <c r="C936" s="13" t="n"/>
      <c r="D936" s="13" t="n"/>
      <c r="E936" s="13" t="n"/>
      <c r="F936" s="13" t="n"/>
      <c r="G936" s="40" t="n"/>
      <c r="H936" s="38" t="n"/>
      <c r="I936" s="38" t="n"/>
      <c r="J936" s="38" t="n"/>
      <c r="K936" s="24">
        <f>IF($H936="","",$H936-N($J936))</f>
        <v/>
      </c>
      <c r="L936" s="25">
        <f>IFERROR($K936/$H936,"")</f>
        <v/>
      </c>
      <c r="M936" s="39">
        <f>IFERROR(INDEX('10_CLIENTI'!$B$5:$B$204,MATCH($D936,'10_CLIENTI'!$A$5:$A$204,0)),"")</f>
        <v/>
      </c>
      <c r="N936" s="39">
        <f>IFERROR(INDEX('11_PRODUSE'!$B$5:$B$104,MATCH($E936,'11_PRODUSE'!$A$5:$A$104,0)),"")</f>
        <v/>
      </c>
      <c r="O936" s="13" t="n"/>
      <c r="P936" s="13" t="n"/>
    </row>
    <row r="937">
      <c r="A937" s="35" t="n"/>
      <c r="B937" s="39">
        <f>IF($A937="","",YEAR($A937)&amp;"-"&amp;RIGHT("0"&amp;MONTH($A937),2))</f>
        <v/>
      </c>
      <c r="C937" s="13" t="n"/>
      <c r="D937" s="13" t="n"/>
      <c r="E937" s="13" t="n"/>
      <c r="F937" s="13" t="n"/>
      <c r="G937" s="40" t="n"/>
      <c r="H937" s="38" t="n"/>
      <c r="I937" s="38" t="n"/>
      <c r="J937" s="38" t="n"/>
      <c r="K937" s="24">
        <f>IF($H937="","",$H937-N($J937))</f>
        <v/>
      </c>
      <c r="L937" s="25">
        <f>IFERROR($K937/$H937,"")</f>
        <v/>
      </c>
      <c r="M937" s="39">
        <f>IFERROR(INDEX('10_CLIENTI'!$B$5:$B$204,MATCH($D937,'10_CLIENTI'!$A$5:$A$204,0)),"")</f>
        <v/>
      </c>
      <c r="N937" s="39">
        <f>IFERROR(INDEX('11_PRODUSE'!$B$5:$B$104,MATCH($E937,'11_PRODUSE'!$A$5:$A$104,0)),"")</f>
        <v/>
      </c>
      <c r="O937" s="13" t="n"/>
      <c r="P937" s="13" t="n"/>
    </row>
    <row r="938">
      <c r="A938" s="35" t="n"/>
      <c r="B938" s="39">
        <f>IF($A938="","",YEAR($A938)&amp;"-"&amp;RIGHT("0"&amp;MONTH($A938),2))</f>
        <v/>
      </c>
      <c r="C938" s="13" t="n"/>
      <c r="D938" s="13" t="n"/>
      <c r="E938" s="13" t="n"/>
      <c r="F938" s="13" t="n"/>
      <c r="G938" s="40" t="n"/>
      <c r="H938" s="38" t="n"/>
      <c r="I938" s="38" t="n"/>
      <c r="J938" s="38" t="n"/>
      <c r="K938" s="24">
        <f>IF($H938="","",$H938-N($J938))</f>
        <v/>
      </c>
      <c r="L938" s="25">
        <f>IFERROR($K938/$H938,"")</f>
        <v/>
      </c>
      <c r="M938" s="39">
        <f>IFERROR(INDEX('10_CLIENTI'!$B$5:$B$204,MATCH($D938,'10_CLIENTI'!$A$5:$A$204,0)),"")</f>
        <v/>
      </c>
      <c r="N938" s="39">
        <f>IFERROR(INDEX('11_PRODUSE'!$B$5:$B$104,MATCH($E938,'11_PRODUSE'!$A$5:$A$104,0)),"")</f>
        <v/>
      </c>
      <c r="O938" s="13" t="n"/>
      <c r="P938" s="13" t="n"/>
    </row>
    <row r="939">
      <c r="A939" s="35" t="n"/>
      <c r="B939" s="39">
        <f>IF($A939="","",YEAR($A939)&amp;"-"&amp;RIGHT("0"&amp;MONTH($A939),2))</f>
        <v/>
      </c>
      <c r="C939" s="13" t="n"/>
      <c r="D939" s="13" t="n"/>
      <c r="E939" s="13" t="n"/>
      <c r="F939" s="13" t="n"/>
      <c r="G939" s="40" t="n"/>
      <c r="H939" s="38" t="n"/>
      <c r="I939" s="38" t="n"/>
      <c r="J939" s="38" t="n"/>
      <c r="K939" s="24">
        <f>IF($H939="","",$H939-N($J939))</f>
        <v/>
      </c>
      <c r="L939" s="25">
        <f>IFERROR($K939/$H939,"")</f>
        <v/>
      </c>
      <c r="M939" s="39">
        <f>IFERROR(INDEX('10_CLIENTI'!$B$5:$B$204,MATCH($D939,'10_CLIENTI'!$A$5:$A$204,0)),"")</f>
        <v/>
      </c>
      <c r="N939" s="39">
        <f>IFERROR(INDEX('11_PRODUSE'!$B$5:$B$104,MATCH($E939,'11_PRODUSE'!$A$5:$A$104,0)),"")</f>
        <v/>
      </c>
      <c r="O939" s="13" t="n"/>
      <c r="P939" s="13" t="n"/>
    </row>
    <row r="940">
      <c r="A940" s="35" t="n"/>
      <c r="B940" s="39">
        <f>IF($A940="","",YEAR($A940)&amp;"-"&amp;RIGHT("0"&amp;MONTH($A940),2))</f>
        <v/>
      </c>
      <c r="C940" s="13" t="n"/>
      <c r="D940" s="13" t="n"/>
      <c r="E940" s="13" t="n"/>
      <c r="F940" s="13" t="n"/>
      <c r="G940" s="40" t="n"/>
      <c r="H940" s="38" t="n"/>
      <c r="I940" s="38" t="n"/>
      <c r="J940" s="38" t="n"/>
      <c r="K940" s="24">
        <f>IF($H940="","",$H940-N($J940))</f>
        <v/>
      </c>
      <c r="L940" s="25">
        <f>IFERROR($K940/$H940,"")</f>
        <v/>
      </c>
      <c r="M940" s="39">
        <f>IFERROR(INDEX('10_CLIENTI'!$B$5:$B$204,MATCH($D940,'10_CLIENTI'!$A$5:$A$204,0)),"")</f>
        <v/>
      </c>
      <c r="N940" s="39">
        <f>IFERROR(INDEX('11_PRODUSE'!$B$5:$B$104,MATCH($E940,'11_PRODUSE'!$A$5:$A$104,0)),"")</f>
        <v/>
      </c>
      <c r="O940" s="13" t="n"/>
      <c r="P940" s="13" t="n"/>
    </row>
    <row r="941">
      <c r="A941" s="35" t="n"/>
      <c r="B941" s="39">
        <f>IF($A941="","",YEAR($A941)&amp;"-"&amp;RIGHT("0"&amp;MONTH($A941),2))</f>
        <v/>
      </c>
      <c r="C941" s="13" t="n"/>
      <c r="D941" s="13" t="n"/>
      <c r="E941" s="13" t="n"/>
      <c r="F941" s="13" t="n"/>
      <c r="G941" s="40" t="n"/>
      <c r="H941" s="38" t="n"/>
      <c r="I941" s="38" t="n"/>
      <c r="J941" s="38" t="n"/>
      <c r="K941" s="24">
        <f>IF($H941="","",$H941-N($J941))</f>
        <v/>
      </c>
      <c r="L941" s="25">
        <f>IFERROR($K941/$H941,"")</f>
        <v/>
      </c>
      <c r="M941" s="39">
        <f>IFERROR(INDEX('10_CLIENTI'!$B$5:$B$204,MATCH($D941,'10_CLIENTI'!$A$5:$A$204,0)),"")</f>
        <v/>
      </c>
      <c r="N941" s="39">
        <f>IFERROR(INDEX('11_PRODUSE'!$B$5:$B$104,MATCH($E941,'11_PRODUSE'!$A$5:$A$104,0)),"")</f>
        <v/>
      </c>
      <c r="O941" s="13" t="n"/>
      <c r="P941" s="13" t="n"/>
    </row>
    <row r="942">
      <c r="A942" s="35" t="n"/>
      <c r="B942" s="39">
        <f>IF($A942="","",YEAR($A942)&amp;"-"&amp;RIGHT("0"&amp;MONTH($A942),2))</f>
        <v/>
      </c>
      <c r="C942" s="13" t="n"/>
      <c r="D942" s="13" t="n"/>
      <c r="E942" s="13" t="n"/>
      <c r="F942" s="13" t="n"/>
      <c r="G942" s="40" t="n"/>
      <c r="H942" s="38" t="n"/>
      <c r="I942" s="38" t="n"/>
      <c r="J942" s="38" t="n"/>
      <c r="K942" s="24">
        <f>IF($H942="","",$H942-N($J942))</f>
        <v/>
      </c>
      <c r="L942" s="25">
        <f>IFERROR($K942/$H942,"")</f>
        <v/>
      </c>
      <c r="M942" s="39">
        <f>IFERROR(INDEX('10_CLIENTI'!$B$5:$B$204,MATCH($D942,'10_CLIENTI'!$A$5:$A$204,0)),"")</f>
        <v/>
      </c>
      <c r="N942" s="39">
        <f>IFERROR(INDEX('11_PRODUSE'!$B$5:$B$104,MATCH($E942,'11_PRODUSE'!$A$5:$A$104,0)),"")</f>
        <v/>
      </c>
      <c r="O942" s="13" t="n"/>
      <c r="P942" s="13" t="n"/>
    </row>
    <row r="943">
      <c r="A943" s="35" t="n"/>
      <c r="B943" s="39">
        <f>IF($A943="","",YEAR($A943)&amp;"-"&amp;RIGHT("0"&amp;MONTH($A943),2))</f>
        <v/>
      </c>
      <c r="C943" s="13" t="n"/>
      <c r="D943" s="13" t="n"/>
      <c r="E943" s="13" t="n"/>
      <c r="F943" s="13" t="n"/>
      <c r="G943" s="40" t="n"/>
      <c r="H943" s="38" t="n"/>
      <c r="I943" s="38" t="n"/>
      <c r="J943" s="38" t="n"/>
      <c r="K943" s="24">
        <f>IF($H943="","",$H943-N($J943))</f>
        <v/>
      </c>
      <c r="L943" s="25">
        <f>IFERROR($K943/$H943,"")</f>
        <v/>
      </c>
      <c r="M943" s="39">
        <f>IFERROR(INDEX('10_CLIENTI'!$B$5:$B$204,MATCH($D943,'10_CLIENTI'!$A$5:$A$204,0)),"")</f>
        <v/>
      </c>
      <c r="N943" s="39">
        <f>IFERROR(INDEX('11_PRODUSE'!$B$5:$B$104,MATCH($E943,'11_PRODUSE'!$A$5:$A$104,0)),"")</f>
        <v/>
      </c>
      <c r="O943" s="13" t="n"/>
      <c r="P943" s="13" t="n"/>
    </row>
    <row r="944">
      <c r="A944" s="35" t="n"/>
      <c r="B944" s="39">
        <f>IF($A944="","",YEAR($A944)&amp;"-"&amp;RIGHT("0"&amp;MONTH($A944),2))</f>
        <v/>
      </c>
      <c r="C944" s="13" t="n"/>
      <c r="D944" s="13" t="n"/>
      <c r="E944" s="13" t="n"/>
      <c r="F944" s="13" t="n"/>
      <c r="G944" s="40" t="n"/>
      <c r="H944" s="38" t="n"/>
      <c r="I944" s="38" t="n"/>
      <c r="J944" s="38" t="n"/>
      <c r="K944" s="24">
        <f>IF($H944="","",$H944-N($J944))</f>
        <v/>
      </c>
      <c r="L944" s="25">
        <f>IFERROR($K944/$H944,"")</f>
        <v/>
      </c>
      <c r="M944" s="39">
        <f>IFERROR(INDEX('10_CLIENTI'!$B$5:$B$204,MATCH($D944,'10_CLIENTI'!$A$5:$A$204,0)),"")</f>
        <v/>
      </c>
      <c r="N944" s="39">
        <f>IFERROR(INDEX('11_PRODUSE'!$B$5:$B$104,MATCH($E944,'11_PRODUSE'!$A$5:$A$104,0)),"")</f>
        <v/>
      </c>
      <c r="O944" s="13" t="n"/>
      <c r="P944" s="13" t="n"/>
    </row>
    <row r="945">
      <c r="A945" s="35" t="n"/>
      <c r="B945" s="39">
        <f>IF($A945="","",YEAR($A945)&amp;"-"&amp;RIGHT("0"&amp;MONTH($A945),2))</f>
        <v/>
      </c>
      <c r="C945" s="13" t="n"/>
      <c r="D945" s="13" t="n"/>
      <c r="E945" s="13" t="n"/>
      <c r="F945" s="13" t="n"/>
      <c r="G945" s="40" t="n"/>
      <c r="H945" s="38" t="n"/>
      <c r="I945" s="38" t="n"/>
      <c r="J945" s="38" t="n"/>
      <c r="K945" s="24">
        <f>IF($H945="","",$H945-N($J945))</f>
        <v/>
      </c>
      <c r="L945" s="25">
        <f>IFERROR($K945/$H945,"")</f>
        <v/>
      </c>
      <c r="M945" s="39">
        <f>IFERROR(INDEX('10_CLIENTI'!$B$5:$B$204,MATCH($D945,'10_CLIENTI'!$A$5:$A$204,0)),"")</f>
        <v/>
      </c>
      <c r="N945" s="39">
        <f>IFERROR(INDEX('11_PRODUSE'!$B$5:$B$104,MATCH($E945,'11_PRODUSE'!$A$5:$A$104,0)),"")</f>
        <v/>
      </c>
      <c r="O945" s="13" t="n"/>
      <c r="P945" s="13" t="n"/>
    </row>
    <row r="946">
      <c r="A946" s="35" t="n"/>
      <c r="B946" s="39">
        <f>IF($A946="","",YEAR($A946)&amp;"-"&amp;RIGHT("0"&amp;MONTH($A946),2))</f>
        <v/>
      </c>
      <c r="C946" s="13" t="n"/>
      <c r="D946" s="13" t="n"/>
      <c r="E946" s="13" t="n"/>
      <c r="F946" s="13" t="n"/>
      <c r="G946" s="40" t="n"/>
      <c r="H946" s="38" t="n"/>
      <c r="I946" s="38" t="n"/>
      <c r="J946" s="38" t="n"/>
      <c r="K946" s="24">
        <f>IF($H946="","",$H946-N($J946))</f>
        <v/>
      </c>
      <c r="L946" s="25">
        <f>IFERROR($K946/$H946,"")</f>
        <v/>
      </c>
      <c r="M946" s="39">
        <f>IFERROR(INDEX('10_CLIENTI'!$B$5:$B$204,MATCH($D946,'10_CLIENTI'!$A$5:$A$204,0)),"")</f>
        <v/>
      </c>
      <c r="N946" s="39">
        <f>IFERROR(INDEX('11_PRODUSE'!$B$5:$B$104,MATCH($E946,'11_PRODUSE'!$A$5:$A$104,0)),"")</f>
        <v/>
      </c>
      <c r="O946" s="13" t="n"/>
      <c r="P946" s="13" t="n"/>
    </row>
    <row r="947">
      <c r="A947" s="35" t="n"/>
      <c r="B947" s="39">
        <f>IF($A947="","",YEAR($A947)&amp;"-"&amp;RIGHT("0"&amp;MONTH($A947),2))</f>
        <v/>
      </c>
      <c r="C947" s="13" t="n"/>
      <c r="D947" s="13" t="n"/>
      <c r="E947" s="13" t="n"/>
      <c r="F947" s="13" t="n"/>
      <c r="G947" s="40" t="n"/>
      <c r="H947" s="38" t="n"/>
      <c r="I947" s="38" t="n"/>
      <c r="J947" s="38" t="n"/>
      <c r="K947" s="24">
        <f>IF($H947="","",$H947-N($J947))</f>
        <v/>
      </c>
      <c r="L947" s="25">
        <f>IFERROR($K947/$H947,"")</f>
        <v/>
      </c>
      <c r="M947" s="39">
        <f>IFERROR(INDEX('10_CLIENTI'!$B$5:$B$204,MATCH($D947,'10_CLIENTI'!$A$5:$A$204,0)),"")</f>
        <v/>
      </c>
      <c r="N947" s="39">
        <f>IFERROR(INDEX('11_PRODUSE'!$B$5:$B$104,MATCH($E947,'11_PRODUSE'!$A$5:$A$104,0)),"")</f>
        <v/>
      </c>
      <c r="O947" s="13" t="n"/>
      <c r="P947" s="13" t="n"/>
    </row>
    <row r="948">
      <c r="A948" s="35" t="n"/>
      <c r="B948" s="39">
        <f>IF($A948="","",YEAR($A948)&amp;"-"&amp;RIGHT("0"&amp;MONTH($A948),2))</f>
        <v/>
      </c>
      <c r="C948" s="13" t="n"/>
      <c r="D948" s="13" t="n"/>
      <c r="E948" s="13" t="n"/>
      <c r="F948" s="13" t="n"/>
      <c r="G948" s="40" t="n"/>
      <c r="H948" s="38" t="n"/>
      <c r="I948" s="38" t="n"/>
      <c r="J948" s="38" t="n"/>
      <c r="K948" s="24">
        <f>IF($H948="","",$H948-N($J948))</f>
        <v/>
      </c>
      <c r="L948" s="25">
        <f>IFERROR($K948/$H948,"")</f>
        <v/>
      </c>
      <c r="M948" s="39">
        <f>IFERROR(INDEX('10_CLIENTI'!$B$5:$B$204,MATCH($D948,'10_CLIENTI'!$A$5:$A$204,0)),"")</f>
        <v/>
      </c>
      <c r="N948" s="39">
        <f>IFERROR(INDEX('11_PRODUSE'!$B$5:$B$104,MATCH($E948,'11_PRODUSE'!$A$5:$A$104,0)),"")</f>
        <v/>
      </c>
      <c r="O948" s="13" t="n"/>
      <c r="P948" s="13" t="n"/>
    </row>
    <row r="949">
      <c r="A949" s="35" t="n"/>
      <c r="B949" s="39">
        <f>IF($A949="","",YEAR($A949)&amp;"-"&amp;RIGHT("0"&amp;MONTH($A949),2))</f>
        <v/>
      </c>
      <c r="C949" s="13" t="n"/>
      <c r="D949" s="13" t="n"/>
      <c r="E949" s="13" t="n"/>
      <c r="F949" s="13" t="n"/>
      <c r="G949" s="40" t="n"/>
      <c r="H949" s="38" t="n"/>
      <c r="I949" s="38" t="n"/>
      <c r="J949" s="38" t="n"/>
      <c r="K949" s="24">
        <f>IF($H949="","",$H949-N($J949))</f>
        <v/>
      </c>
      <c r="L949" s="25">
        <f>IFERROR($K949/$H949,"")</f>
        <v/>
      </c>
      <c r="M949" s="39">
        <f>IFERROR(INDEX('10_CLIENTI'!$B$5:$B$204,MATCH($D949,'10_CLIENTI'!$A$5:$A$204,0)),"")</f>
        <v/>
      </c>
      <c r="N949" s="39">
        <f>IFERROR(INDEX('11_PRODUSE'!$B$5:$B$104,MATCH($E949,'11_PRODUSE'!$A$5:$A$104,0)),"")</f>
        <v/>
      </c>
      <c r="O949" s="13" t="n"/>
      <c r="P949" s="13" t="n"/>
    </row>
    <row r="950">
      <c r="A950" s="35" t="n"/>
      <c r="B950" s="39">
        <f>IF($A950="","",YEAR($A950)&amp;"-"&amp;RIGHT("0"&amp;MONTH($A950),2))</f>
        <v/>
      </c>
      <c r="C950" s="13" t="n"/>
      <c r="D950" s="13" t="n"/>
      <c r="E950" s="13" t="n"/>
      <c r="F950" s="13" t="n"/>
      <c r="G950" s="40" t="n"/>
      <c r="H950" s="38" t="n"/>
      <c r="I950" s="38" t="n"/>
      <c r="J950" s="38" t="n"/>
      <c r="K950" s="24">
        <f>IF($H950="","",$H950-N($J950))</f>
        <v/>
      </c>
      <c r="L950" s="25">
        <f>IFERROR($K950/$H950,"")</f>
        <v/>
      </c>
      <c r="M950" s="39">
        <f>IFERROR(INDEX('10_CLIENTI'!$B$5:$B$204,MATCH($D950,'10_CLIENTI'!$A$5:$A$204,0)),"")</f>
        <v/>
      </c>
      <c r="N950" s="39">
        <f>IFERROR(INDEX('11_PRODUSE'!$B$5:$B$104,MATCH($E950,'11_PRODUSE'!$A$5:$A$104,0)),"")</f>
        <v/>
      </c>
      <c r="O950" s="13" t="n"/>
      <c r="P950" s="13" t="n"/>
    </row>
    <row r="951">
      <c r="A951" s="35" t="n"/>
      <c r="B951" s="39">
        <f>IF($A951="","",YEAR($A951)&amp;"-"&amp;RIGHT("0"&amp;MONTH($A951),2))</f>
        <v/>
      </c>
      <c r="C951" s="13" t="n"/>
      <c r="D951" s="13" t="n"/>
      <c r="E951" s="13" t="n"/>
      <c r="F951" s="13" t="n"/>
      <c r="G951" s="40" t="n"/>
      <c r="H951" s="38" t="n"/>
      <c r="I951" s="38" t="n"/>
      <c r="J951" s="38" t="n"/>
      <c r="K951" s="24">
        <f>IF($H951="","",$H951-N($J951))</f>
        <v/>
      </c>
      <c r="L951" s="25">
        <f>IFERROR($K951/$H951,"")</f>
        <v/>
      </c>
      <c r="M951" s="39">
        <f>IFERROR(INDEX('10_CLIENTI'!$B$5:$B$204,MATCH($D951,'10_CLIENTI'!$A$5:$A$204,0)),"")</f>
        <v/>
      </c>
      <c r="N951" s="39">
        <f>IFERROR(INDEX('11_PRODUSE'!$B$5:$B$104,MATCH($E951,'11_PRODUSE'!$A$5:$A$104,0)),"")</f>
        <v/>
      </c>
      <c r="O951" s="13" t="n"/>
      <c r="P951" s="13" t="n"/>
    </row>
    <row r="952">
      <c r="A952" s="35" t="n"/>
      <c r="B952" s="39">
        <f>IF($A952="","",YEAR($A952)&amp;"-"&amp;RIGHT("0"&amp;MONTH($A952),2))</f>
        <v/>
      </c>
      <c r="C952" s="13" t="n"/>
      <c r="D952" s="13" t="n"/>
      <c r="E952" s="13" t="n"/>
      <c r="F952" s="13" t="n"/>
      <c r="G952" s="40" t="n"/>
      <c r="H952" s="38" t="n"/>
      <c r="I952" s="38" t="n"/>
      <c r="J952" s="38" t="n"/>
      <c r="K952" s="24">
        <f>IF($H952="","",$H952-N($J952))</f>
        <v/>
      </c>
      <c r="L952" s="25">
        <f>IFERROR($K952/$H952,"")</f>
        <v/>
      </c>
      <c r="M952" s="39">
        <f>IFERROR(INDEX('10_CLIENTI'!$B$5:$B$204,MATCH($D952,'10_CLIENTI'!$A$5:$A$204,0)),"")</f>
        <v/>
      </c>
      <c r="N952" s="39">
        <f>IFERROR(INDEX('11_PRODUSE'!$B$5:$B$104,MATCH($E952,'11_PRODUSE'!$A$5:$A$104,0)),"")</f>
        <v/>
      </c>
      <c r="O952" s="13" t="n"/>
      <c r="P952" s="13" t="n"/>
    </row>
    <row r="953">
      <c r="A953" s="35" t="n"/>
      <c r="B953" s="39">
        <f>IF($A953="","",YEAR($A953)&amp;"-"&amp;RIGHT("0"&amp;MONTH($A953),2))</f>
        <v/>
      </c>
      <c r="C953" s="13" t="n"/>
      <c r="D953" s="13" t="n"/>
      <c r="E953" s="13" t="n"/>
      <c r="F953" s="13" t="n"/>
      <c r="G953" s="40" t="n"/>
      <c r="H953" s="38" t="n"/>
      <c r="I953" s="38" t="n"/>
      <c r="J953" s="38" t="n"/>
      <c r="K953" s="24">
        <f>IF($H953="","",$H953-N($J953))</f>
        <v/>
      </c>
      <c r="L953" s="25">
        <f>IFERROR($K953/$H953,"")</f>
        <v/>
      </c>
      <c r="M953" s="39">
        <f>IFERROR(INDEX('10_CLIENTI'!$B$5:$B$204,MATCH($D953,'10_CLIENTI'!$A$5:$A$204,0)),"")</f>
        <v/>
      </c>
      <c r="N953" s="39">
        <f>IFERROR(INDEX('11_PRODUSE'!$B$5:$B$104,MATCH($E953,'11_PRODUSE'!$A$5:$A$104,0)),"")</f>
        <v/>
      </c>
      <c r="O953" s="13" t="n"/>
      <c r="P953" s="13" t="n"/>
    </row>
    <row r="954">
      <c r="A954" s="35" t="n"/>
      <c r="B954" s="39">
        <f>IF($A954="","",YEAR($A954)&amp;"-"&amp;RIGHT("0"&amp;MONTH($A954),2))</f>
        <v/>
      </c>
      <c r="C954" s="13" t="n"/>
      <c r="D954" s="13" t="n"/>
      <c r="E954" s="13" t="n"/>
      <c r="F954" s="13" t="n"/>
      <c r="G954" s="40" t="n"/>
      <c r="H954" s="38" t="n"/>
      <c r="I954" s="38" t="n"/>
      <c r="J954" s="38" t="n"/>
      <c r="K954" s="24">
        <f>IF($H954="","",$H954-N($J954))</f>
        <v/>
      </c>
      <c r="L954" s="25">
        <f>IFERROR($K954/$H954,"")</f>
        <v/>
      </c>
      <c r="M954" s="39">
        <f>IFERROR(INDEX('10_CLIENTI'!$B$5:$B$204,MATCH($D954,'10_CLIENTI'!$A$5:$A$204,0)),"")</f>
        <v/>
      </c>
      <c r="N954" s="39">
        <f>IFERROR(INDEX('11_PRODUSE'!$B$5:$B$104,MATCH($E954,'11_PRODUSE'!$A$5:$A$104,0)),"")</f>
        <v/>
      </c>
      <c r="O954" s="13" t="n"/>
      <c r="P954" s="13" t="n"/>
    </row>
    <row r="955">
      <c r="A955" s="35" t="n"/>
      <c r="B955" s="39">
        <f>IF($A955="","",YEAR($A955)&amp;"-"&amp;RIGHT("0"&amp;MONTH($A955),2))</f>
        <v/>
      </c>
      <c r="C955" s="13" t="n"/>
      <c r="D955" s="13" t="n"/>
      <c r="E955" s="13" t="n"/>
      <c r="F955" s="13" t="n"/>
      <c r="G955" s="40" t="n"/>
      <c r="H955" s="38" t="n"/>
      <c r="I955" s="38" t="n"/>
      <c r="J955" s="38" t="n"/>
      <c r="K955" s="24">
        <f>IF($H955="","",$H955-N($J955))</f>
        <v/>
      </c>
      <c r="L955" s="25">
        <f>IFERROR($K955/$H955,"")</f>
        <v/>
      </c>
      <c r="M955" s="39">
        <f>IFERROR(INDEX('10_CLIENTI'!$B$5:$B$204,MATCH($D955,'10_CLIENTI'!$A$5:$A$204,0)),"")</f>
        <v/>
      </c>
      <c r="N955" s="39">
        <f>IFERROR(INDEX('11_PRODUSE'!$B$5:$B$104,MATCH($E955,'11_PRODUSE'!$A$5:$A$104,0)),"")</f>
        <v/>
      </c>
      <c r="O955" s="13" t="n"/>
      <c r="P955" s="13" t="n"/>
    </row>
    <row r="956">
      <c r="A956" s="35" t="n"/>
      <c r="B956" s="39">
        <f>IF($A956="","",YEAR($A956)&amp;"-"&amp;RIGHT("0"&amp;MONTH($A956),2))</f>
        <v/>
      </c>
      <c r="C956" s="13" t="n"/>
      <c r="D956" s="13" t="n"/>
      <c r="E956" s="13" t="n"/>
      <c r="F956" s="13" t="n"/>
      <c r="G956" s="40" t="n"/>
      <c r="H956" s="38" t="n"/>
      <c r="I956" s="38" t="n"/>
      <c r="J956" s="38" t="n"/>
      <c r="K956" s="24">
        <f>IF($H956="","",$H956-N($J956))</f>
        <v/>
      </c>
      <c r="L956" s="25">
        <f>IFERROR($K956/$H956,"")</f>
        <v/>
      </c>
      <c r="M956" s="39">
        <f>IFERROR(INDEX('10_CLIENTI'!$B$5:$B$204,MATCH($D956,'10_CLIENTI'!$A$5:$A$204,0)),"")</f>
        <v/>
      </c>
      <c r="N956" s="39">
        <f>IFERROR(INDEX('11_PRODUSE'!$B$5:$B$104,MATCH($E956,'11_PRODUSE'!$A$5:$A$104,0)),"")</f>
        <v/>
      </c>
      <c r="O956" s="13" t="n"/>
      <c r="P956" s="13" t="n"/>
    </row>
    <row r="957">
      <c r="A957" s="35" t="n"/>
      <c r="B957" s="39">
        <f>IF($A957="","",YEAR($A957)&amp;"-"&amp;RIGHT("0"&amp;MONTH($A957),2))</f>
        <v/>
      </c>
      <c r="C957" s="13" t="n"/>
      <c r="D957" s="13" t="n"/>
      <c r="E957" s="13" t="n"/>
      <c r="F957" s="13" t="n"/>
      <c r="G957" s="40" t="n"/>
      <c r="H957" s="38" t="n"/>
      <c r="I957" s="38" t="n"/>
      <c r="J957" s="38" t="n"/>
      <c r="K957" s="24">
        <f>IF($H957="","",$H957-N($J957))</f>
        <v/>
      </c>
      <c r="L957" s="25">
        <f>IFERROR($K957/$H957,"")</f>
        <v/>
      </c>
      <c r="M957" s="39">
        <f>IFERROR(INDEX('10_CLIENTI'!$B$5:$B$204,MATCH($D957,'10_CLIENTI'!$A$5:$A$204,0)),"")</f>
        <v/>
      </c>
      <c r="N957" s="39">
        <f>IFERROR(INDEX('11_PRODUSE'!$B$5:$B$104,MATCH($E957,'11_PRODUSE'!$A$5:$A$104,0)),"")</f>
        <v/>
      </c>
      <c r="O957" s="13" t="n"/>
      <c r="P957" s="13" t="n"/>
    </row>
    <row r="958">
      <c r="A958" s="35" t="n"/>
      <c r="B958" s="39">
        <f>IF($A958="","",YEAR($A958)&amp;"-"&amp;RIGHT("0"&amp;MONTH($A958),2))</f>
        <v/>
      </c>
      <c r="C958" s="13" t="n"/>
      <c r="D958" s="13" t="n"/>
      <c r="E958" s="13" t="n"/>
      <c r="F958" s="13" t="n"/>
      <c r="G958" s="40" t="n"/>
      <c r="H958" s="38" t="n"/>
      <c r="I958" s="38" t="n"/>
      <c r="J958" s="38" t="n"/>
      <c r="K958" s="24">
        <f>IF($H958="","",$H958-N($J958))</f>
        <v/>
      </c>
      <c r="L958" s="25">
        <f>IFERROR($K958/$H958,"")</f>
        <v/>
      </c>
      <c r="M958" s="39">
        <f>IFERROR(INDEX('10_CLIENTI'!$B$5:$B$204,MATCH($D958,'10_CLIENTI'!$A$5:$A$204,0)),"")</f>
        <v/>
      </c>
      <c r="N958" s="39">
        <f>IFERROR(INDEX('11_PRODUSE'!$B$5:$B$104,MATCH($E958,'11_PRODUSE'!$A$5:$A$104,0)),"")</f>
        <v/>
      </c>
      <c r="O958" s="13" t="n"/>
      <c r="P958" s="13" t="n"/>
    </row>
    <row r="959">
      <c r="A959" s="35" t="n"/>
      <c r="B959" s="39">
        <f>IF($A959="","",YEAR($A959)&amp;"-"&amp;RIGHT("0"&amp;MONTH($A959),2))</f>
        <v/>
      </c>
      <c r="C959" s="13" t="n"/>
      <c r="D959" s="13" t="n"/>
      <c r="E959" s="13" t="n"/>
      <c r="F959" s="13" t="n"/>
      <c r="G959" s="40" t="n"/>
      <c r="H959" s="38" t="n"/>
      <c r="I959" s="38" t="n"/>
      <c r="J959" s="38" t="n"/>
      <c r="K959" s="24">
        <f>IF($H959="","",$H959-N($J959))</f>
        <v/>
      </c>
      <c r="L959" s="25">
        <f>IFERROR($K959/$H959,"")</f>
        <v/>
      </c>
      <c r="M959" s="39">
        <f>IFERROR(INDEX('10_CLIENTI'!$B$5:$B$204,MATCH($D959,'10_CLIENTI'!$A$5:$A$204,0)),"")</f>
        <v/>
      </c>
      <c r="N959" s="39">
        <f>IFERROR(INDEX('11_PRODUSE'!$B$5:$B$104,MATCH($E959,'11_PRODUSE'!$A$5:$A$104,0)),"")</f>
        <v/>
      </c>
      <c r="O959" s="13" t="n"/>
      <c r="P959" s="13" t="n"/>
    </row>
    <row r="960">
      <c r="A960" s="35" t="n"/>
      <c r="B960" s="39">
        <f>IF($A960="","",YEAR($A960)&amp;"-"&amp;RIGHT("0"&amp;MONTH($A960),2))</f>
        <v/>
      </c>
      <c r="C960" s="13" t="n"/>
      <c r="D960" s="13" t="n"/>
      <c r="E960" s="13" t="n"/>
      <c r="F960" s="13" t="n"/>
      <c r="G960" s="40" t="n"/>
      <c r="H960" s="38" t="n"/>
      <c r="I960" s="38" t="n"/>
      <c r="J960" s="38" t="n"/>
      <c r="K960" s="24">
        <f>IF($H960="","",$H960-N($J960))</f>
        <v/>
      </c>
      <c r="L960" s="25">
        <f>IFERROR($K960/$H960,"")</f>
        <v/>
      </c>
      <c r="M960" s="39">
        <f>IFERROR(INDEX('10_CLIENTI'!$B$5:$B$204,MATCH($D960,'10_CLIENTI'!$A$5:$A$204,0)),"")</f>
        <v/>
      </c>
      <c r="N960" s="39">
        <f>IFERROR(INDEX('11_PRODUSE'!$B$5:$B$104,MATCH($E960,'11_PRODUSE'!$A$5:$A$104,0)),"")</f>
        <v/>
      </c>
      <c r="O960" s="13" t="n"/>
      <c r="P960" s="13" t="n"/>
    </row>
    <row r="961">
      <c r="A961" s="35" t="n"/>
      <c r="B961" s="39">
        <f>IF($A961="","",YEAR($A961)&amp;"-"&amp;RIGHT("0"&amp;MONTH($A961),2))</f>
        <v/>
      </c>
      <c r="C961" s="13" t="n"/>
      <c r="D961" s="13" t="n"/>
      <c r="E961" s="13" t="n"/>
      <c r="F961" s="13" t="n"/>
      <c r="G961" s="40" t="n"/>
      <c r="H961" s="38" t="n"/>
      <c r="I961" s="38" t="n"/>
      <c r="J961" s="38" t="n"/>
      <c r="K961" s="24">
        <f>IF($H961="","",$H961-N($J961))</f>
        <v/>
      </c>
      <c r="L961" s="25">
        <f>IFERROR($K961/$H961,"")</f>
        <v/>
      </c>
      <c r="M961" s="39">
        <f>IFERROR(INDEX('10_CLIENTI'!$B$5:$B$204,MATCH($D961,'10_CLIENTI'!$A$5:$A$204,0)),"")</f>
        <v/>
      </c>
      <c r="N961" s="39">
        <f>IFERROR(INDEX('11_PRODUSE'!$B$5:$B$104,MATCH($E961,'11_PRODUSE'!$A$5:$A$104,0)),"")</f>
        <v/>
      </c>
      <c r="O961" s="13" t="n"/>
      <c r="P961" s="13" t="n"/>
    </row>
    <row r="962">
      <c r="A962" s="35" t="n"/>
      <c r="B962" s="39">
        <f>IF($A962="","",YEAR($A962)&amp;"-"&amp;RIGHT("0"&amp;MONTH($A962),2))</f>
        <v/>
      </c>
      <c r="C962" s="13" t="n"/>
      <c r="D962" s="13" t="n"/>
      <c r="E962" s="13" t="n"/>
      <c r="F962" s="13" t="n"/>
      <c r="G962" s="40" t="n"/>
      <c r="H962" s="38" t="n"/>
      <c r="I962" s="38" t="n"/>
      <c r="J962" s="38" t="n"/>
      <c r="K962" s="24">
        <f>IF($H962="","",$H962-N($J962))</f>
        <v/>
      </c>
      <c r="L962" s="25">
        <f>IFERROR($K962/$H962,"")</f>
        <v/>
      </c>
      <c r="M962" s="39">
        <f>IFERROR(INDEX('10_CLIENTI'!$B$5:$B$204,MATCH($D962,'10_CLIENTI'!$A$5:$A$204,0)),"")</f>
        <v/>
      </c>
      <c r="N962" s="39">
        <f>IFERROR(INDEX('11_PRODUSE'!$B$5:$B$104,MATCH($E962,'11_PRODUSE'!$A$5:$A$104,0)),"")</f>
        <v/>
      </c>
      <c r="O962" s="13" t="n"/>
      <c r="P962" s="13" t="n"/>
    </row>
    <row r="963">
      <c r="A963" s="35" t="n"/>
      <c r="B963" s="39">
        <f>IF($A963="","",YEAR($A963)&amp;"-"&amp;RIGHT("0"&amp;MONTH($A963),2))</f>
        <v/>
      </c>
      <c r="C963" s="13" t="n"/>
      <c r="D963" s="13" t="n"/>
      <c r="E963" s="13" t="n"/>
      <c r="F963" s="13" t="n"/>
      <c r="G963" s="40" t="n"/>
      <c r="H963" s="38" t="n"/>
      <c r="I963" s="38" t="n"/>
      <c r="J963" s="38" t="n"/>
      <c r="K963" s="24">
        <f>IF($H963="","",$H963-N($J963))</f>
        <v/>
      </c>
      <c r="L963" s="25">
        <f>IFERROR($K963/$H963,"")</f>
        <v/>
      </c>
      <c r="M963" s="39">
        <f>IFERROR(INDEX('10_CLIENTI'!$B$5:$B$204,MATCH($D963,'10_CLIENTI'!$A$5:$A$204,0)),"")</f>
        <v/>
      </c>
      <c r="N963" s="39">
        <f>IFERROR(INDEX('11_PRODUSE'!$B$5:$B$104,MATCH($E963,'11_PRODUSE'!$A$5:$A$104,0)),"")</f>
        <v/>
      </c>
      <c r="O963" s="13" t="n"/>
      <c r="P963" s="13" t="n"/>
    </row>
    <row r="964">
      <c r="A964" s="35" t="n"/>
      <c r="B964" s="39">
        <f>IF($A964="","",YEAR($A964)&amp;"-"&amp;RIGHT("0"&amp;MONTH($A964),2))</f>
        <v/>
      </c>
      <c r="C964" s="13" t="n"/>
      <c r="D964" s="13" t="n"/>
      <c r="E964" s="13" t="n"/>
      <c r="F964" s="13" t="n"/>
      <c r="G964" s="40" t="n"/>
      <c r="H964" s="38" t="n"/>
      <c r="I964" s="38" t="n"/>
      <c r="J964" s="38" t="n"/>
      <c r="K964" s="24">
        <f>IF($H964="","",$H964-N($J964))</f>
        <v/>
      </c>
      <c r="L964" s="25">
        <f>IFERROR($K964/$H964,"")</f>
        <v/>
      </c>
      <c r="M964" s="39">
        <f>IFERROR(INDEX('10_CLIENTI'!$B$5:$B$204,MATCH($D964,'10_CLIENTI'!$A$5:$A$204,0)),"")</f>
        <v/>
      </c>
      <c r="N964" s="39">
        <f>IFERROR(INDEX('11_PRODUSE'!$B$5:$B$104,MATCH($E964,'11_PRODUSE'!$A$5:$A$104,0)),"")</f>
        <v/>
      </c>
      <c r="O964" s="13" t="n"/>
      <c r="P964" s="13" t="n"/>
    </row>
    <row r="965">
      <c r="A965" s="35" t="n"/>
      <c r="B965" s="39">
        <f>IF($A965="","",YEAR($A965)&amp;"-"&amp;RIGHT("0"&amp;MONTH($A965),2))</f>
        <v/>
      </c>
      <c r="C965" s="13" t="n"/>
      <c r="D965" s="13" t="n"/>
      <c r="E965" s="13" t="n"/>
      <c r="F965" s="13" t="n"/>
      <c r="G965" s="40" t="n"/>
      <c r="H965" s="38" t="n"/>
      <c r="I965" s="38" t="n"/>
      <c r="J965" s="38" t="n"/>
      <c r="K965" s="24">
        <f>IF($H965="","",$H965-N($J965))</f>
        <v/>
      </c>
      <c r="L965" s="25">
        <f>IFERROR($K965/$H965,"")</f>
        <v/>
      </c>
      <c r="M965" s="39">
        <f>IFERROR(INDEX('10_CLIENTI'!$B$5:$B$204,MATCH($D965,'10_CLIENTI'!$A$5:$A$204,0)),"")</f>
        <v/>
      </c>
      <c r="N965" s="39">
        <f>IFERROR(INDEX('11_PRODUSE'!$B$5:$B$104,MATCH($E965,'11_PRODUSE'!$A$5:$A$104,0)),"")</f>
        <v/>
      </c>
      <c r="O965" s="13" t="n"/>
      <c r="P965" s="13" t="n"/>
    </row>
    <row r="966">
      <c r="A966" s="35" t="n"/>
      <c r="B966" s="39">
        <f>IF($A966="","",YEAR($A966)&amp;"-"&amp;RIGHT("0"&amp;MONTH($A966),2))</f>
        <v/>
      </c>
      <c r="C966" s="13" t="n"/>
      <c r="D966" s="13" t="n"/>
      <c r="E966" s="13" t="n"/>
      <c r="F966" s="13" t="n"/>
      <c r="G966" s="40" t="n"/>
      <c r="H966" s="38" t="n"/>
      <c r="I966" s="38" t="n"/>
      <c r="J966" s="38" t="n"/>
      <c r="K966" s="24">
        <f>IF($H966="","",$H966-N($J966))</f>
        <v/>
      </c>
      <c r="L966" s="25">
        <f>IFERROR($K966/$H966,"")</f>
        <v/>
      </c>
      <c r="M966" s="39">
        <f>IFERROR(INDEX('10_CLIENTI'!$B$5:$B$204,MATCH($D966,'10_CLIENTI'!$A$5:$A$204,0)),"")</f>
        <v/>
      </c>
      <c r="N966" s="39">
        <f>IFERROR(INDEX('11_PRODUSE'!$B$5:$B$104,MATCH($E966,'11_PRODUSE'!$A$5:$A$104,0)),"")</f>
        <v/>
      </c>
      <c r="O966" s="13" t="n"/>
      <c r="P966" s="13" t="n"/>
    </row>
    <row r="967">
      <c r="A967" s="35" t="n"/>
      <c r="B967" s="39">
        <f>IF($A967="","",YEAR($A967)&amp;"-"&amp;RIGHT("0"&amp;MONTH($A967),2))</f>
        <v/>
      </c>
      <c r="C967" s="13" t="n"/>
      <c r="D967" s="13" t="n"/>
      <c r="E967" s="13" t="n"/>
      <c r="F967" s="13" t="n"/>
      <c r="G967" s="40" t="n"/>
      <c r="H967" s="38" t="n"/>
      <c r="I967" s="38" t="n"/>
      <c r="J967" s="38" t="n"/>
      <c r="K967" s="24">
        <f>IF($H967="","",$H967-N($J967))</f>
        <v/>
      </c>
      <c r="L967" s="25">
        <f>IFERROR($K967/$H967,"")</f>
        <v/>
      </c>
      <c r="M967" s="39">
        <f>IFERROR(INDEX('10_CLIENTI'!$B$5:$B$204,MATCH($D967,'10_CLIENTI'!$A$5:$A$204,0)),"")</f>
        <v/>
      </c>
      <c r="N967" s="39">
        <f>IFERROR(INDEX('11_PRODUSE'!$B$5:$B$104,MATCH($E967,'11_PRODUSE'!$A$5:$A$104,0)),"")</f>
        <v/>
      </c>
      <c r="O967" s="13" t="n"/>
      <c r="P967" s="13" t="n"/>
    </row>
    <row r="968">
      <c r="A968" s="35" t="n"/>
      <c r="B968" s="39">
        <f>IF($A968="","",YEAR($A968)&amp;"-"&amp;RIGHT("0"&amp;MONTH($A968),2))</f>
        <v/>
      </c>
      <c r="C968" s="13" t="n"/>
      <c r="D968" s="13" t="n"/>
      <c r="E968" s="13" t="n"/>
      <c r="F968" s="13" t="n"/>
      <c r="G968" s="40" t="n"/>
      <c r="H968" s="38" t="n"/>
      <c r="I968" s="38" t="n"/>
      <c r="J968" s="38" t="n"/>
      <c r="K968" s="24">
        <f>IF($H968="","",$H968-N($J968))</f>
        <v/>
      </c>
      <c r="L968" s="25">
        <f>IFERROR($K968/$H968,"")</f>
        <v/>
      </c>
      <c r="M968" s="39">
        <f>IFERROR(INDEX('10_CLIENTI'!$B$5:$B$204,MATCH($D968,'10_CLIENTI'!$A$5:$A$204,0)),"")</f>
        <v/>
      </c>
      <c r="N968" s="39">
        <f>IFERROR(INDEX('11_PRODUSE'!$B$5:$B$104,MATCH($E968,'11_PRODUSE'!$A$5:$A$104,0)),"")</f>
        <v/>
      </c>
      <c r="O968" s="13" t="n"/>
      <c r="P968" s="13" t="n"/>
    </row>
    <row r="969">
      <c r="A969" s="35" t="n"/>
      <c r="B969" s="39">
        <f>IF($A969="","",YEAR($A969)&amp;"-"&amp;RIGHT("0"&amp;MONTH($A969),2))</f>
        <v/>
      </c>
      <c r="C969" s="13" t="n"/>
      <c r="D969" s="13" t="n"/>
      <c r="E969" s="13" t="n"/>
      <c r="F969" s="13" t="n"/>
      <c r="G969" s="40" t="n"/>
      <c r="H969" s="38" t="n"/>
      <c r="I969" s="38" t="n"/>
      <c r="J969" s="38" t="n"/>
      <c r="K969" s="24">
        <f>IF($H969="","",$H969-N($J969))</f>
        <v/>
      </c>
      <c r="L969" s="25">
        <f>IFERROR($K969/$H969,"")</f>
        <v/>
      </c>
      <c r="M969" s="39">
        <f>IFERROR(INDEX('10_CLIENTI'!$B$5:$B$204,MATCH($D969,'10_CLIENTI'!$A$5:$A$204,0)),"")</f>
        <v/>
      </c>
      <c r="N969" s="39">
        <f>IFERROR(INDEX('11_PRODUSE'!$B$5:$B$104,MATCH($E969,'11_PRODUSE'!$A$5:$A$104,0)),"")</f>
        <v/>
      </c>
      <c r="O969" s="13" t="n"/>
      <c r="P969" s="13" t="n"/>
    </row>
    <row r="970">
      <c r="A970" s="35" t="n"/>
      <c r="B970" s="39">
        <f>IF($A970="","",YEAR($A970)&amp;"-"&amp;RIGHT("0"&amp;MONTH($A970),2))</f>
        <v/>
      </c>
      <c r="C970" s="13" t="n"/>
      <c r="D970" s="13" t="n"/>
      <c r="E970" s="13" t="n"/>
      <c r="F970" s="13" t="n"/>
      <c r="G970" s="40" t="n"/>
      <c r="H970" s="38" t="n"/>
      <c r="I970" s="38" t="n"/>
      <c r="J970" s="38" t="n"/>
      <c r="K970" s="24">
        <f>IF($H970="","",$H970-N($J970))</f>
        <v/>
      </c>
      <c r="L970" s="25">
        <f>IFERROR($K970/$H970,"")</f>
        <v/>
      </c>
      <c r="M970" s="39">
        <f>IFERROR(INDEX('10_CLIENTI'!$B$5:$B$204,MATCH($D970,'10_CLIENTI'!$A$5:$A$204,0)),"")</f>
        <v/>
      </c>
      <c r="N970" s="39">
        <f>IFERROR(INDEX('11_PRODUSE'!$B$5:$B$104,MATCH($E970,'11_PRODUSE'!$A$5:$A$104,0)),"")</f>
        <v/>
      </c>
      <c r="O970" s="13" t="n"/>
      <c r="P970" s="13" t="n"/>
    </row>
    <row r="971">
      <c r="A971" s="35" t="n"/>
      <c r="B971" s="39">
        <f>IF($A971="","",YEAR($A971)&amp;"-"&amp;RIGHT("0"&amp;MONTH($A971),2))</f>
        <v/>
      </c>
      <c r="C971" s="13" t="n"/>
      <c r="D971" s="13" t="n"/>
      <c r="E971" s="13" t="n"/>
      <c r="F971" s="13" t="n"/>
      <c r="G971" s="40" t="n"/>
      <c r="H971" s="38" t="n"/>
      <c r="I971" s="38" t="n"/>
      <c r="J971" s="38" t="n"/>
      <c r="K971" s="24">
        <f>IF($H971="","",$H971-N($J971))</f>
        <v/>
      </c>
      <c r="L971" s="25">
        <f>IFERROR($K971/$H971,"")</f>
        <v/>
      </c>
      <c r="M971" s="39">
        <f>IFERROR(INDEX('10_CLIENTI'!$B$5:$B$204,MATCH($D971,'10_CLIENTI'!$A$5:$A$204,0)),"")</f>
        <v/>
      </c>
      <c r="N971" s="39">
        <f>IFERROR(INDEX('11_PRODUSE'!$B$5:$B$104,MATCH($E971,'11_PRODUSE'!$A$5:$A$104,0)),"")</f>
        <v/>
      </c>
      <c r="O971" s="13" t="n"/>
      <c r="P971" s="13" t="n"/>
    </row>
    <row r="972">
      <c r="A972" s="35" t="n"/>
      <c r="B972" s="39">
        <f>IF($A972="","",YEAR($A972)&amp;"-"&amp;RIGHT("0"&amp;MONTH($A972),2))</f>
        <v/>
      </c>
      <c r="C972" s="13" t="n"/>
      <c r="D972" s="13" t="n"/>
      <c r="E972" s="13" t="n"/>
      <c r="F972" s="13" t="n"/>
      <c r="G972" s="40" t="n"/>
      <c r="H972" s="38" t="n"/>
      <c r="I972" s="38" t="n"/>
      <c r="J972" s="38" t="n"/>
      <c r="K972" s="24">
        <f>IF($H972="","",$H972-N($J972))</f>
        <v/>
      </c>
      <c r="L972" s="25">
        <f>IFERROR($K972/$H972,"")</f>
        <v/>
      </c>
      <c r="M972" s="39">
        <f>IFERROR(INDEX('10_CLIENTI'!$B$5:$B$204,MATCH($D972,'10_CLIENTI'!$A$5:$A$204,0)),"")</f>
        <v/>
      </c>
      <c r="N972" s="39">
        <f>IFERROR(INDEX('11_PRODUSE'!$B$5:$B$104,MATCH($E972,'11_PRODUSE'!$A$5:$A$104,0)),"")</f>
        <v/>
      </c>
      <c r="O972" s="13" t="n"/>
      <c r="P972" s="13" t="n"/>
    </row>
    <row r="973">
      <c r="A973" s="35" t="n"/>
      <c r="B973" s="39">
        <f>IF($A973="","",YEAR($A973)&amp;"-"&amp;RIGHT("0"&amp;MONTH($A973),2))</f>
        <v/>
      </c>
      <c r="C973" s="13" t="n"/>
      <c r="D973" s="13" t="n"/>
      <c r="E973" s="13" t="n"/>
      <c r="F973" s="13" t="n"/>
      <c r="G973" s="40" t="n"/>
      <c r="H973" s="38" t="n"/>
      <c r="I973" s="38" t="n"/>
      <c r="J973" s="38" t="n"/>
      <c r="K973" s="24">
        <f>IF($H973="","",$H973-N($J973))</f>
        <v/>
      </c>
      <c r="L973" s="25">
        <f>IFERROR($K973/$H973,"")</f>
        <v/>
      </c>
      <c r="M973" s="39">
        <f>IFERROR(INDEX('10_CLIENTI'!$B$5:$B$204,MATCH($D973,'10_CLIENTI'!$A$5:$A$204,0)),"")</f>
        <v/>
      </c>
      <c r="N973" s="39">
        <f>IFERROR(INDEX('11_PRODUSE'!$B$5:$B$104,MATCH($E973,'11_PRODUSE'!$A$5:$A$104,0)),"")</f>
        <v/>
      </c>
      <c r="O973" s="13" t="n"/>
      <c r="P973" s="13" t="n"/>
    </row>
    <row r="974">
      <c r="A974" s="35" t="n"/>
      <c r="B974" s="39">
        <f>IF($A974="","",YEAR($A974)&amp;"-"&amp;RIGHT("0"&amp;MONTH($A974),2))</f>
        <v/>
      </c>
      <c r="C974" s="13" t="n"/>
      <c r="D974" s="13" t="n"/>
      <c r="E974" s="13" t="n"/>
      <c r="F974" s="13" t="n"/>
      <c r="G974" s="40" t="n"/>
      <c r="H974" s="38" t="n"/>
      <c r="I974" s="38" t="n"/>
      <c r="J974" s="38" t="n"/>
      <c r="K974" s="24">
        <f>IF($H974="","",$H974-N($J974))</f>
        <v/>
      </c>
      <c r="L974" s="25">
        <f>IFERROR($K974/$H974,"")</f>
        <v/>
      </c>
      <c r="M974" s="39">
        <f>IFERROR(INDEX('10_CLIENTI'!$B$5:$B$204,MATCH($D974,'10_CLIENTI'!$A$5:$A$204,0)),"")</f>
        <v/>
      </c>
      <c r="N974" s="39">
        <f>IFERROR(INDEX('11_PRODUSE'!$B$5:$B$104,MATCH($E974,'11_PRODUSE'!$A$5:$A$104,0)),"")</f>
        <v/>
      </c>
      <c r="O974" s="13" t="n"/>
      <c r="P974" s="13" t="n"/>
    </row>
    <row r="975">
      <c r="A975" s="35" t="n"/>
      <c r="B975" s="39">
        <f>IF($A975="","",YEAR($A975)&amp;"-"&amp;RIGHT("0"&amp;MONTH($A975),2))</f>
        <v/>
      </c>
      <c r="C975" s="13" t="n"/>
      <c r="D975" s="13" t="n"/>
      <c r="E975" s="13" t="n"/>
      <c r="F975" s="13" t="n"/>
      <c r="G975" s="40" t="n"/>
      <c r="H975" s="38" t="n"/>
      <c r="I975" s="38" t="n"/>
      <c r="J975" s="38" t="n"/>
      <c r="K975" s="24">
        <f>IF($H975="","",$H975-N($J975))</f>
        <v/>
      </c>
      <c r="L975" s="25">
        <f>IFERROR($K975/$H975,"")</f>
        <v/>
      </c>
      <c r="M975" s="39">
        <f>IFERROR(INDEX('10_CLIENTI'!$B$5:$B$204,MATCH($D975,'10_CLIENTI'!$A$5:$A$204,0)),"")</f>
        <v/>
      </c>
      <c r="N975" s="39">
        <f>IFERROR(INDEX('11_PRODUSE'!$B$5:$B$104,MATCH($E975,'11_PRODUSE'!$A$5:$A$104,0)),"")</f>
        <v/>
      </c>
      <c r="O975" s="13" t="n"/>
      <c r="P975" s="13" t="n"/>
    </row>
    <row r="976">
      <c r="A976" s="35" t="n"/>
      <c r="B976" s="39">
        <f>IF($A976="","",YEAR($A976)&amp;"-"&amp;RIGHT("0"&amp;MONTH($A976),2))</f>
        <v/>
      </c>
      <c r="C976" s="13" t="n"/>
      <c r="D976" s="13" t="n"/>
      <c r="E976" s="13" t="n"/>
      <c r="F976" s="13" t="n"/>
      <c r="G976" s="40" t="n"/>
      <c r="H976" s="38" t="n"/>
      <c r="I976" s="38" t="n"/>
      <c r="J976" s="38" t="n"/>
      <c r="K976" s="24">
        <f>IF($H976="","",$H976-N($J976))</f>
        <v/>
      </c>
      <c r="L976" s="25">
        <f>IFERROR($K976/$H976,"")</f>
        <v/>
      </c>
      <c r="M976" s="39">
        <f>IFERROR(INDEX('10_CLIENTI'!$B$5:$B$204,MATCH($D976,'10_CLIENTI'!$A$5:$A$204,0)),"")</f>
        <v/>
      </c>
      <c r="N976" s="39">
        <f>IFERROR(INDEX('11_PRODUSE'!$B$5:$B$104,MATCH($E976,'11_PRODUSE'!$A$5:$A$104,0)),"")</f>
        <v/>
      </c>
      <c r="O976" s="13" t="n"/>
      <c r="P976" s="13" t="n"/>
    </row>
    <row r="977">
      <c r="A977" s="35" t="n"/>
      <c r="B977" s="39">
        <f>IF($A977="","",YEAR($A977)&amp;"-"&amp;RIGHT("0"&amp;MONTH($A977),2))</f>
        <v/>
      </c>
      <c r="C977" s="13" t="n"/>
      <c r="D977" s="13" t="n"/>
      <c r="E977" s="13" t="n"/>
      <c r="F977" s="13" t="n"/>
      <c r="G977" s="40" t="n"/>
      <c r="H977" s="38" t="n"/>
      <c r="I977" s="38" t="n"/>
      <c r="J977" s="38" t="n"/>
      <c r="K977" s="24">
        <f>IF($H977="","",$H977-N($J977))</f>
        <v/>
      </c>
      <c r="L977" s="25">
        <f>IFERROR($K977/$H977,"")</f>
        <v/>
      </c>
      <c r="M977" s="39">
        <f>IFERROR(INDEX('10_CLIENTI'!$B$5:$B$204,MATCH($D977,'10_CLIENTI'!$A$5:$A$204,0)),"")</f>
        <v/>
      </c>
      <c r="N977" s="39">
        <f>IFERROR(INDEX('11_PRODUSE'!$B$5:$B$104,MATCH($E977,'11_PRODUSE'!$A$5:$A$104,0)),"")</f>
        <v/>
      </c>
      <c r="O977" s="13" t="n"/>
      <c r="P977" s="13" t="n"/>
    </row>
    <row r="978">
      <c r="A978" s="35" t="n"/>
      <c r="B978" s="39">
        <f>IF($A978="","",YEAR($A978)&amp;"-"&amp;RIGHT("0"&amp;MONTH($A978),2))</f>
        <v/>
      </c>
      <c r="C978" s="13" t="n"/>
      <c r="D978" s="13" t="n"/>
      <c r="E978" s="13" t="n"/>
      <c r="F978" s="13" t="n"/>
      <c r="G978" s="40" t="n"/>
      <c r="H978" s="38" t="n"/>
      <c r="I978" s="38" t="n"/>
      <c r="J978" s="38" t="n"/>
      <c r="K978" s="24">
        <f>IF($H978="","",$H978-N($J978))</f>
        <v/>
      </c>
      <c r="L978" s="25">
        <f>IFERROR($K978/$H978,"")</f>
        <v/>
      </c>
      <c r="M978" s="39">
        <f>IFERROR(INDEX('10_CLIENTI'!$B$5:$B$204,MATCH($D978,'10_CLIENTI'!$A$5:$A$204,0)),"")</f>
        <v/>
      </c>
      <c r="N978" s="39">
        <f>IFERROR(INDEX('11_PRODUSE'!$B$5:$B$104,MATCH($E978,'11_PRODUSE'!$A$5:$A$104,0)),"")</f>
        <v/>
      </c>
      <c r="O978" s="13" t="n"/>
      <c r="P978" s="13" t="n"/>
    </row>
    <row r="979">
      <c r="A979" s="35" t="n"/>
      <c r="B979" s="39">
        <f>IF($A979="","",YEAR($A979)&amp;"-"&amp;RIGHT("0"&amp;MONTH($A979),2))</f>
        <v/>
      </c>
      <c r="C979" s="13" t="n"/>
      <c r="D979" s="13" t="n"/>
      <c r="E979" s="13" t="n"/>
      <c r="F979" s="13" t="n"/>
      <c r="G979" s="40" t="n"/>
      <c r="H979" s="38" t="n"/>
      <c r="I979" s="38" t="n"/>
      <c r="J979" s="38" t="n"/>
      <c r="K979" s="24">
        <f>IF($H979="","",$H979-N($J979))</f>
        <v/>
      </c>
      <c r="L979" s="25">
        <f>IFERROR($K979/$H979,"")</f>
        <v/>
      </c>
      <c r="M979" s="39">
        <f>IFERROR(INDEX('10_CLIENTI'!$B$5:$B$204,MATCH($D979,'10_CLIENTI'!$A$5:$A$204,0)),"")</f>
        <v/>
      </c>
      <c r="N979" s="39">
        <f>IFERROR(INDEX('11_PRODUSE'!$B$5:$B$104,MATCH($E979,'11_PRODUSE'!$A$5:$A$104,0)),"")</f>
        <v/>
      </c>
      <c r="O979" s="13" t="n"/>
      <c r="P979" s="13" t="n"/>
    </row>
    <row r="980">
      <c r="A980" s="35" t="n"/>
      <c r="B980" s="39">
        <f>IF($A980="","",YEAR($A980)&amp;"-"&amp;RIGHT("0"&amp;MONTH($A980),2))</f>
        <v/>
      </c>
      <c r="C980" s="13" t="n"/>
      <c r="D980" s="13" t="n"/>
      <c r="E980" s="13" t="n"/>
      <c r="F980" s="13" t="n"/>
      <c r="G980" s="40" t="n"/>
      <c r="H980" s="38" t="n"/>
      <c r="I980" s="38" t="n"/>
      <c r="J980" s="38" t="n"/>
      <c r="K980" s="24">
        <f>IF($H980="","",$H980-N($J980))</f>
        <v/>
      </c>
      <c r="L980" s="25">
        <f>IFERROR($K980/$H980,"")</f>
        <v/>
      </c>
      <c r="M980" s="39">
        <f>IFERROR(INDEX('10_CLIENTI'!$B$5:$B$204,MATCH($D980,'10_CLIENTI'!$A$5:$A$204,0)),"")</f>
        <v/>
      </c>
      <c r="N980" s="39">
        <f>IFERROR(INDEX('11_PRODUSE'!$B$5:$B$104,MATCH($E980,'11_PRODUSE'!$A$5:$A$104,0)),"")</f>
        <v/>
      </c>
      <c r="O980" s="13" t="n"/>
      <c r="P980" s="13" t="n"/>
    </row>
    <row r="981">
      <c r="A981" s="35" t="n"/>
      <c r="B981" s="39">
        <f>IF($A981="","",YEAR($A981)&amp;"-"&amp;RIGHT("0"&amp;MONTH($A981),2))</f>
        <v/>
      </c>
      <c r="C981" s="13" t="n"/>
      <c r="D981" s="13" t="n"/>
      <c r="E981" s="13" t="n"/>
      <c r="F981" s="13" t="n"/>
      <c r="G981" s="40" t="n"/>
      <c r="H981" s="38" t="n"/>
      <c r="I981" s="38" t="n"/>
      <c r="J981" s="38" t="n"/>
      <c r="K981" s="24">
        <f>IF($H981="","",$H981-N($J981))</f>
        <v/>
      </c>
      <c r="L981" s="25">
        <f>IFERROR($K981/$H981,"")</f>
        <v/>
      </c>
      <c r="M981" s="39">
        <f>IFERROR(INDEX('10_CLIENTI'!$B$5:$B$204,MATCH($D981,'10_CLIENTI'!$A$5:$A$204,0)),"")</f>
        <v/>
      </c>
      <c r="N981" s="39">
        <f>IFERROR(INDEX('11_PRODUSE'!$B$5:$B$104,MATCH($E981,'11_PRODUSE'!$A$5:$A$104,0)),"")</f>
        <v/>
      </c>
      <c r="O981" s="13" t="n"/>
      <c r="P981" s="13" t="n"/>
    </row>
    <row r="982">
      <c r="A982" s="35" t="n"/>
      <c r="B982" s="39">
        <f>IF($A982="","",YEAR($A982)&amp;"-"&amp;RIGHT("0"&amp;MONTH($A982),2))</f>
        <v/>
      </c>
      <c r="C982" s="13" t="n"/>
      <c r="D982" s="13" t="n"/>
      <c r="E982" s="13" t="n"/>
      <c r="F982" s="13" t="n"/>
      <c r="G982" s="40" t="n"/>
      <c r="H982" s="38" t="n"/>
      <c r="I982" s="38" t="n"/>
      <c r="J982" s="38" t="n"/>
      <c r="K982" s="24">
        <f>IF($H982="","",$H982-N($J982))</f>
        <v/>
      </c>
      <c r="L982" s="25">
        <f>IFERROR($K982/$H982,"")</f>
        <v/>
      </c>
      <c r="M982" s="39">
        <f>IFERROR(INDEX('10_CLIENTI'!$B$5:$B$204,MATCH($D982,'10_CLIENTI'!$A$5:$A$204,0)),"")</f>
        <v/>
      </c>
      <c r="N982" s="39">
        <f>IFERROR(INDEX('11_PRODUSE'!$B$5:$B$104,MATCH($E982,'11_PRODUSE'!$A$5:$A$104,0)),"")</f>
        <v/>
      </c>
      <c r="O982" s="13" t="n"/>
      <c r="P982" s="13" t="n"/>
    </row>
    <row r="983">
      <c r="A983" s="35" t="n"/>
      <c r="B983" s="39">
        <f>IF($A983="","",YEAR($A983)&amp;"-"&amp;RIGHT("0"&amp;MONTH($A983),2))</f>
        <v/>
      </c>
      <c r="C983" s="13" t="n"/>
      <c r="D983" s="13" t="n"/>
      <c r="E983" s="13" t="n"/>
      <c r="F983" s="13" t="n"/>
      <c r="G983" s="40" t="n"/>
      <c r="H983" s="38" t="n"/>
      <c r="I983" s="38" t="n"/>
      <c r="J983" s="38" t="n"/>
      <c r="K983" s="24">
        <f>IF($H983="","",$H983-N($J983))</f>
        <v/>
      </c>
      <c r="L983" s="25">
        <f>IFERROR($K983/$H983,"")</f>
        <v/>
      </c>
      <c r="M983" s="39">
        <f>IFERROR(INDEX('10_CLIENTI'!$B$5:$B$204,MATCH($D983,'10_CLIENTI'!$A$5:$A$204,0)),"")</f>
        <v/>
      </c>
      <c r="N983" s="39">
        <f>IFERROR(INDEX('11_PRODUSE'!$B$5:$B$104,MATCH($E983,'11_PRODUSE'!$A$5:$A$104,0)),"")</f>
        <v/>
      </c>
      <c r="O983" s="13" t="n"/>
      <c r="P983" s="13" t="n"/>
    </row>
    <row r="984">
      <c r="A984" s="35" t="n"/>
      <c r="B984" s="39">
        <f>IF($A984="","",YEAR($A984)&amp;"-"&amp;RIGHT("0"&amp;MONTH($A984),2))</f>
        <v/>
      </c>
      <c r="C984" s="13" t="n"/>
      <c r="D984" s="13" t="n"/>
      <c r="E984" s="13" t="n"/>
      <c r="F984" s="13" t="n"/>
      <c r="G984" s="40" t="n"/>
      <c r="H984" s="38" t="n"/>
      <c r="I984" s="38" t="n"/>
      <c r="J984" s="38" t="n"/>
      <c r="K984" s="24">
        <f>IF($H984="","",$H984-N($J984))</f>
        <v/>
      </c>
      <c r="L984" s="25">
        <f>IFERROR($K984/$H984,"")</f>
        <v/>
      </c>
      <c r="M984" s="39">
        <f>IFERROR(INDEX('10_CLIENTI'!$B$5:$B$204,MATCH($D984,'10_CLIENTI'!$A$5:$A$204,0)),"")</f>
        <v/>
      </c>
      <c r="N984" s="39">
        <f>IFERROR(INDEX('11_PRODUSE'!$B$5:$B$104,MATCH($E984,'11_PRODUSE'!$A$5:$A$104,0)),"")</f>
        <v/>
      </c>
      <c r="O984" s="13" t="n"/>
      <c r="P984" s="13" t="n"/>
    </row>
    <row r="985">
      <c r="A985" s="35" t="n"/>
      <c r="B985" s="39">
        <f>IF($A985="","",YEAR($A985)&amp;"-"&amp;RIGHT("0"&amp;MONTH($A985),2))</f>
        <v/>
      </c>
      <c r="C985" s="13" t="n"/>
      <c r="D985" s="13" t="n"/>
      <c r="E985" s="13" t="n"/>
      <c r="F985" s="13" t="n"/>
      <c r="G985" s="40" t="n"/>
      <c r="H985" s="38" t="n"/>
      <c r="I985" s="38" t="n"/>
      <c r="J985" s="38" t="n"/>
      <c r="K985" s="24">
        <f>IF($H985="","",$H985-N($J985))</f>
        <v/>
      </c>
      <c r="L985" s="25">
        <f>IFERROR($K985/$H985,"")</f>
        <v/>
      </c>
      <c r="M985" s="39">
        <f>IFERROR(INDEX('10_CLIENTI'!$B$5:$B$204,MATCH($D985,'10_CLIENTI'!$A$5:$A$204,0)),"")</f>
        <v/>
      </c>
      <c r="N985" s="39">
        <f>IFERROR(INDEX('11_PRODUSE'!$B$5:$B$104,MATCH($E985,'11_PRODUSE'!$A$5:$A$104,0)),"")</f>
        <v/>
      </c>
      <c r="O985" s="13" t="n"/>
      <c r="P985" s="13" t="n"/>
    </row>
    <row r="986">
      <c r="A986" s="35" t="n"/>
      <c r="B986" s="39">
        <f>IF($A986="","",YEAR($A986)&amp;"-"&amp;RIGHT("0"&amp;MONTH($A986),2))</f>
        <v/>
      </c>
      <c r="C986" s="13" t="n"/>
      <c r="D986" s="13" t="n"/>
      <c r="E986" s="13" t="n"/>
      <c r="F986" s="13" t="n"/>
      <c r="G986" s="40" t="n"/>
      <c r="H986" s="38" t="n"/>
      <c r="I986" s="38" t="n"/>
      <c r="J986" s="38" t="n"/>
      <c r="K986" s="24">
        <f>IF($H986="","",$H986-N($J986))</f>
        <v/>
      </c>
      <c r="L986" s="25">
        <f>IFERROR($K986/$H986,"")</f>
        <v/>
      </c>
      <c r="M986" s="39">
        <f>IFERROR(INDEX('10_CLIENTI'!$B$5:$B$204,MATCH($D986,'10_CLIENTI'!$A$5:$A$204,0)),"")</f>
        <v/>
      </c>
      <c r="N986" s="39">
        <f>IFERROR(INDEX('11_PRODUSE'!$B$5:$B$104,MATCH($E986,'11_PRODUSE'!$A$5:$A$104,0)),"")</f>
        <v/>
      </c>
      <c r="O986" s="13" t="n"/>
      <c r="P986" s="13" t="n"/>
    </row>
    <row r="987">
      <c r="A987" s="35" t="n"/>
      <c r="B987" s="39">
        <f>IF($A987="","",YEAR($A987)&amp;"-"&amp;RIGHT("0"&amp;MONTH($A987),2))</f>
        <v/>
      </c>
      <c r="C987" s="13" t="n"/>
      <c r="D987" s="13" t="n"/>
      <c r="E987" s="13" t="n"/>
      <c r="F987" s="13" t="n"/>
      <c r="G987" s="40" t="n"/>
      <c r="H987" s="38" t="n"/>
      <c r="I987" s="38" t="n"/>
      <c r="J987" s="38" t="n"/>
      <c r="K987" s="24">
        <f>IF($H987="","",$H987-N($J987))</f>
        <v/>
      </c>
      <c r="L987" s="25">
        <f>IFERROR($K987/$H987,"")</f>
        <v/>
      </c>
      <c r="M987" s="39">
        <f>IFERROR(INDEX('10_CLIENTI'!$B$5:$B$204,MATCH($D987,'10_CLIENTI'!$A$5:$A$204,0)),"")</f>
        <v/>
      </c>
      <c r="N987" s="39">
        <f>IFERROR(INDEX('11_PRODUSE'!$B$5:$B$104,MATCH($E987,'11_PRODUSE'!$A$5:$A$104,0)),"")</f>
        <v/>
      </c>
      <c r="O987" s="13" t="n"/>
      <c r="P987" s="13" t="n"/>
    </row>
    <row r="988">
      <c r="A988" s="35" t="n"/>
      <c r="B988" s="39">
        <f>IF($A988="","",YEAR($A988)&amp;"-"&amp;RIGHT("0"&amp;MONTH($A988),2))</f>
        <v/>
      </c>
      <c r="C988" s="13" t="n"/>
      <c r="D988" s="13" t="n"/>
      <c r="E988" s="13" t="n"/>
      <c r="F988" s="13" t="n"/>
      <c r="G988" s="40" t="n"/>
      <c r="H988" s="38" t="n"/>
      <c r="I988" s="38" t="n"/>
      <c r="J988" s="38" t="n"/>
      <c r="K988" s="24">
        <f>IF($H988="","",$H988-N($J988))</f>
        <v/>
      </c>
      <c r="L988" s="25">
        <f>IFERROR($K988/$H988,"")</f>
        <v/>
      </c>
      <c r="M988" s="39">
        <f>IFERROR(INDEX('10_CLIENTI'!$B$5:$B$204,MATCH($D988,'10_CLIENTI'!$A$5:$A$204,0)),"")</f>
        <v/>
      </c>
      <c r="N988" s="39">
        <f>IFERROR(INDEX('11_PRODUSE'!$B$5:$B$104,MATCH($E988,'11_PRODUSE'!$A$5:$A$104,0)),"")</f>
        <v/>
      </c>
      <c r="O988" s="13" t="n"/>
      <c r="P988" s="13" t="n"/>
    </row>
    <row r="989">
      <c r="A989" s="35" t="n"/>
      <c r="B989" s="39">
        <f>IF($A989="","",YEAR($A989)&amp;"-"&amp;RIGHT("0"&amp;MONTH($A989),2))</f>
        <v/>
      </c>
      <c r="C989" s="13" t="n"/>
      <c r="D989" s="13" t="n"/>
      <c r="E989" s="13" t="n"/>
      <c r="F989" s="13" t="n"/>
      <c r="G989" s="40" t="n"/>
      <c r="H989" s="38" t="n"/>
      <c r="I989" s="38" t="n"/>
      <c r="J989" s="38" t="n"/>
      <c r="K989" s="24">
        <f>IF($H989="","",$H989-N($J989))</f>
        <v/>
      </c>
      <c r="L989" s="25">
        <f>IFERROR($K989/$H989,"")</f>
        <v/>
      </c>
      <c r="M989" s="39">
        <f>IFERROR(INDEX('10_CLIENTI'!$B$5:$B$204,MATCH($D989,'10_CLIENTI'!$A$5:$A$204,0)),"")</f>
        <v/>
      </c>
      <c r="N989" s="39">
        <f>IFERROR(INDEX('11_PRODUSE'!$B$5:$B$104,MATCH($E989,'11_PRODUSE'!$A$5:$A$104,0)),"")</f>
        <v/>
      </c>
      <c r="O989" s="13" t="n"/>
      <c r="P989" s="13" t="n"/>
    </row>
    <row r="990">
      <c r="A990" s="35" t="n"/>
      <c r="B990" s="39">
        <f>IF($A990="","",YEAR($A990)&amp;"-"&amp;RIGHT("0"&amp;MONTH($A990),2))</f>
        <v/>
      </c>
      <c r="C990" s="13" t="n"/>
      <c r="D990" s="13" t="n"/>
      <c r="E990" s="13" t="n"/>
      <c r="F990" s="13" t="n"/>
      <c r="G990" s="40" t="n"/>
      <c r="H990" s="38" t="n"/>
      <c r="I990" s="38" t="n"/>
      <c r="J990" s="38" t="n"/>
      <c r="K990" s="24">
        <f>IF($H990="","",$H990-N($J990))</f>
        <v/>
      </c>
      <c r="L990" s="25">
        <f>IFERROR($K990/$H990,"")</f>
        <v/>
      </c>
      <c r="M990" s="39">
        <f>IFERROR(INDEX('10_CLIENTI'!$B$5:$B$204,MATCH($D990,'10_CLIENTI'!$A$5:$A$204,0)),"")</f>
        <v/>
      </c>
      <c r="N990" s="39">
        <f>IFERROR(INDEX('11_PRODUSE'!$B$5:$B$104,MATCH($E990,'11_PRODUSE'!$A$5:$A$104,0)),"")</f>
        <v/>
      </c>
      <c r="O990" s="13" t="n"/>
      <c r="P990" s="13" t="n"/>
    </row>
    <row r="991">
      <c r="A991" s="35" t="n"/>
      <c r="B991" s="39">
        <f>IF($A991="","",YEAR($A991)&amp;"-"&amp;RIGHT("0"&amp;MONTH($A991),2))</f>
        <v/>
      </c>
      <c r="C991" s="13" t="n"/>
      <c r="D991" s="13" t="n"/>
      <c r="E991" s="13" t="n"/>
      <c r="F991" s="13" t="n"/>
      <c r="G991" s="40" t="n"/>
      <c r="H991" s="38" t="n"/>
      <c r="I991" s="38" t="n"/>
      <c r="J991" s="38" t="n"/>
      <c r="K991" s="24">
        <f>IF($H991="","",$H991-N($J991))</f>
        <v/>
      </c>
      <c r="L991" s="25">
        <f>IFERROR($K991/$H991,"")</f>
        <v/>
      </c>
      <c r="M991" s="39">
        <f>IFERROR(INDEX('10_CLIENTI'!$B$5:$B$204,MATCH($D991,'10_CLIENTI'!$A$5:$A$204,0)),"")</f>
        <v/>
      </c>
      <c r="N991" s="39">
        <f>IFERROR(INDEX('11_PRODUSE'!$B$5:$B$104,MATCH($E991,'11_PRODUSE'!$A$5:$A$104,0)),"")</f>
        <v/>
      </c>
      <c r="O991" s="13" t="n"/>
      <c r="P991" s="13" t="n"/>
    </row>
    <row r="992">
      <c r="A992" s="35" t="n"/>
      <c r="B992" s="39">
        <f>IF($A992="","",YEAR($A992)&amp;"-"&amp;RIGHT("0"&amp;MONTH($A992),2))</f>
        <v/>
      </c>
      <c r="C992" s="13" t="n"/>
      <c r="D992" s="13" t="n"/>
      <c r="E992" s="13" t="n"/>
      <c r="F992" s="13" t="n"/>
      <c r="G992" s="40" t="n"/>
      <c r="H992" s="38" t="n"/>
      <c r="I992" s="38" t="n"/>
      <c r="J992" s="38" t="n"/>
      <c r="K992" s="24">
        <f>IF($H992="","",$H992-N($J992))</f>
        <v/>
      </c>
      <c r="L992" s="25">
        <f>IFERROR($K992/$H992,"")</f>
        <v/>
      </c>
      <c r="M992" s="39">
        <f>IFERROR(INDEX('10_CLIENTI'!$B$5:$B$204,MATCH($D992,'10_CLIENTI'!$A$5:$A$204,0)),"")</f>
        <v/>
      </c>
      <c r="N992" s="39">
        <f>IFERROR(INDEX('11_PRODUSE'!$B$5:$B$104,MATCH($E992,'11_PRODUSE'!$A$5:$A$104,0)),"")</f>
        <v/>
      </c>
      <c r="O992" s="13" t="n"/>
      <c r="P992" s="13" t="n"/>
    </row>
    <row r="993">
      <c r="A993" s="35" t="n"/>
      <c r="B993" s="39">
        <f>IF($A993="","",YEAR($A993)&amp;"-"&amp;RIGHT("0"&amp;MONTH($A993),2))</f>
        <v/>
      </c>
      <c r="C993" s="13" t="n"/>
      <c r="D993" s="13" t="n"/>
      <c r="E993" s="13" t="n"/>
      <c r="F993" s="13" t="n"/>
      <c r="G993" s="40" t="n"/>
      <c r="H993" s="38" t="n"/>
      <c r="I993" s="38" t="n"/>
      <c r="J993" s="38" t="n"/>
      <c r="K993" s="24">
        <f>IF($H993="","",$H993-N($J993))</f>
        <v/>
      </c>
      <c r="L993" s="25">
        <f>IFERROR($K993/$H993,"")</f>
        <v/>
      </c>
      <c r="M993" s="39">
        <f>IFERROR(INDEX('10_CLIENTI'!$B$5:$B$204,MATCH($D993,'10_CLIENTI'!$A$5:$A$204,0)),"")</f>
        <v/>
      </c>
      <c r="N993" s="39">
        <f>IFERROR(INDEX('11_PRODUSE'!$B$5:$B$104,MATCH($E993,'11_PRODUSE'!$A$5:$A$104,0)),"")</f>
        <v/>
      </c>
      <c r="O993" s="13" t="n"/>
      <c r="P993" s="13" t="n"/>
    </row>
    <row r="994">
      <c r="A994" s="35" t="n"/>
      <c r="B994" s="39">
        <f>IF($A994="","",YEAR($A994)&amp;"-"&amp;RIGHT("0"&amp;MONTH($A994),2))</f>
        <v/>
      </c>
      <c r="C994" s="13" t="n"/>
      <c r="D994" s="13" t="n"/>
      <c r="E994" s="13" t="n"/>
      <c r="F994" s="13" t="n"/>
      <c r="G994" s="40" t="n"/>
      <c r="H994" s="38" t="n"/>
      <c r="I994" s="38" t="n"/>
      <c r="J994" s="38" t="n"/>
      <c r="K994" s="24">
        <f>IF($H994="","",$H994-N($J994))</f>
        <v/>
      </c>
      <c r="L994" s="25">
        <f>IFERROR($K994/$H994,"")</f>
        <v/>
      </c>
      <c r="M994" s="39">
        <f>IFERROR(INDEX('10_CLIENTI'!$B$5:$B$204,MATCH($D994,'10_CLIENTI'!$A$5:$A$204,0)),"")</f>
        <v/>
      </c>
      <c r="N994" s="39">
        <f>IFERROR(INDEX('11_PRODUSE'!$B$5:$B$104,MATCH($E994,'11_PRODUSE'!$A$5:$A$104,0)),"")</f>
        <v/>
      </c>
      <c r="O994" s="13" t="n"/>
      <c r="P994" s="13" t="n"/>
    </row>
    <row r="995">
      <c r="A995" s="35" t="n"/>
      <c r="B995" s="39">
        <f>IF($A995="","",YEAR($A995)&amp;"-"&amp;RIGHT("0"&amp;MONTH($A995),2))</f>
        <v/>
      </c>
      <c r="C995" s="13" t="n"/>
      <c r="D995" s="13" t="n"/>
      <c r="E995" s="13" t="n"/>
      <c r="F995" s="13" t="n"/>
      <c r="G995" s="40" t="n"/>
      <c r="H995" s="38" t="n"/>
      <c r="I995" s="38" t="n"/>
      <c r="J995" s="38" t="n"/>
      <c r="K995" s="24">
        <f>IF($H995="","",$H995-N($J995))</f>
        <v/>
      </c>
      <c r="L995" s="25">
        <f>IFERROR($K995/$H995,"")</f>
        <v/>
      </c>
      <c r="M995" s="39">
        <f>IFERROR(INDEX('10_CLIENTI'!$B$5:$B$204,MATCH($D995,'10_CLIENTI'!$A$5:$A$204,0)),"")</f>
        <v/>
      </c>
      <c r="N995" s="39">
        <f>IFERROR(INDEX('11_PRODUSE'!$B$5:$B$104,MATCH($E995,'11_PRODUSE'!$A$5:$A$104,0)),"")</f>
        <v/>
      </c>
      <c r="O995" s="13" t="n"/>
      <c r="P995" s="13" t="n"/>
    </row>
    <row r="996">
      <c r="A996" s="35" t="n"/>
      <c r="B996" s="39">
        <f>IF($A996="","",YEAR($A996)&amp;"-"&amp;RIGHT("0"&amp;MONTH($A996),2))</f>
        <v/>
      </c>
      <c r="C996" s="13" t="n"/>
      <c r="D996" s="13" t="n"/>
      <c r="E996" s="13" t="n"/>
      <c r="F996" s="13" t="n"/>
      <c r="G996" s="40" t="n"/>
      <c r="H996" s="38" t="n"/>
      <c r="I996" s="38" t="n"/>
      <c r="J996" s="38" t="n"/>
      <c r="K996" s="24">
        <f>IF($H996="","",$H996-N($J996))</f>
        <v/>
      </c>
      <c r="L996" s="25">
        <f>IFERROR($K996/$H996,"")</f>
        <v/>
      </c>
      <c r="M996" s="39">
        <f>IFERROR(INDEX('10_CLIENTI'!$B$5:$B$204,MATCH($D996,'10_CLIENTI'!$A$5:$A$204,0)),"")</f>
        <v/>
      </c>
      <c r="N996" s="39">
        <f>IFERROR(INDEX('11_PRODUSE'!$B$5:$B$104,MATCH($E996,'11_PRODUSE'!$A$5:$A$104,0)),"")</f>
        <v/>
      </c>
      <c r="O996" s="13" t="n"/>
      <c r="P996" s="13" t="n"/>
    </row>
    <row r="997">
      <c r="A997" s="35" t="n"/>
      <c r="B997" s="39">
        <f>IF($A997="","",YEAR($A997)&amp;"-"&amp;RIGHT("0"&amp;MONTH($A997),2))</f>
        <v/>
      </c>
      <c r="C997" s="13" t="n"/>
      <c r="D997" s="13" t="n"/>
      <c r="E997" s="13" t="n"/>
      <c r="F997" s="13" t="n"/>
      <c r="G997" s="40" t="n"/>
      <c r="H997" s="38" t="n"/>
      <c r="I997" s="38" t="n"/>
      <c r="J997" s="38" t="n"/>
      <c r="K997" s="24">
        <f>IF($H997="","",$H997-N($J997))</f>
        <v/>
      </c>
      <c r="L997" s="25">
        <f>IFERROR($K997/$H997,"")</f>
        <v/>
      </c>
      <c r="M997" s="39">
        <f>IFERROR(INDEX('10_CLIENTI'!$B$5:$B$204,MATCH($D997,'10_CLIENTI'!$A$5:$A$204,0)),"")</f>
        <v/>
      </c>
      <c r="N997" s="39">
        <f>IFERROR(INDEX('11_PRODUSE'!$B$5:$B$104,MATCH($E997,'11_PRODUSE'!$A$5:$A$104,0)),"")</f>
        <v/>
      </c>
      <c r="O997" s="13" t="n"/>
      <c r="P997" s="13" t="n"/>
    </row>
    <row r="998">
      <c r="A998" s="35" t="n"/>
      <c r="B998" s="39">
        <f>IF($A998="","",YEAR($A998)&amp;"-"&amp;RIGHT("0"&amp;MONTH($A998),2))</f>
        <v/>
      </c>
      <c r="C998" s="13" t="n"/>
      <c r="D998" s="13" t="n"/>
      <c r="E998" s="13" t="n"/>
      <c r="F998" s="13" t="n"/>
      <c r="G998" s="40" t="n"/>
      <c r="H998" s="38" t="n"/>
      <c r="I998" s="38" t="n"/>
      <c r="J998" s="38" t="n"/>
      <c r="K998" s="24">
        <f>IF($H998="","",$H998-N($J998))</f>
        <v/>
      </c>
      <c r="L998" s="25">
        <f>IFERROR($K998/$H998,"")</f>
        <v/>
      </c>
      <c r="M998" s="39">
        <f>IFERROR(INDEX('10_CLIENTI'!$B$5:$B$204,MATCH($D998,'10_CLIENTI'!$A$5:$A$204,0)),"")</f>
        <v/>
      </c>
      <c r="N998" s="39">
        <f>IFERROR(INDEX('11_PRODUSE'!$B$5:$B$104,MATCH($E998,'11_PRODUSE'!$A$5:$A$104,0)),"")</f>
        <v/>
      </c>
      <c r="O998" s="13" t="n"/>
      <c r="P998" s="13" t="n"/>
    </row>
    <row r="999">
      <c r="A999" s="35" t="n"/>
      <c r="B999" s="39">
        <f>IF($A999="","",YEAR($A999)&amp;"-"&amp;RIGHT("0"&amp;MONTH($A999),2))</f>
        <v/>
      </c>
      <c r="C999" s="13" t="n"/>
      <c r="D999" s="13" t="n"/>
      <c r="E999" s="13" t="n"/>
      <c r="F999" s="13" t="n"/>
      <c r="G999" s="40" t="n"/>
      <c r="H999" s="38" t="n"/>
      <c r="I999" s="38" t="n"/>
      <c r="J999" s="38" t="n"/>
      <c r="K999" s="24">
        <f>IF($H999="","",$H999-N($J999))</f>
        <v/>
      </c>
      <c r="L999" s="25">
        <f>IFERROR($K999/$H999,"")</f>
        <v/>
      </c>
      <c r="M999" s="39">
        <f>IFERROR(INDEX('10_CLIENTI'!$B$5:$B$204,MATCH($D999,'10_CLIENTI'!$A$5:$A$204,0)),"")</f>
        <v/>
      </c>
      <c r="N999" s="39">
        <f>IFERROR(INDEX('11_PRODUSE'!$B$5:$B$104,MATCH($E999,'11_PRODUSE'!$A$5:$A$104,0)),"")</f>
        <v/>
      </c>
      <c r="O999" s="13" t="n"/>
      <c r="P999" s="13" t="n"/>
    </row>
    <row r="1000">
      <c r="A1000" s="35" t="n"/>
      <c r="B1000" s="39">
        <f>IF($A1000="","",YEAR($A1000)&amp;"-"&amp;RIGHT("0"&amp;MONTH($A1000),2))</f>
        <v/>
      </c>
      <c r="C1000" s="13" t="n"/>
      <c r="D1000" s="13" t="n"/>
      <c r="E1000" s="13" t="n"/>
      <c r="F1000" s="13" t="n"/>
      <c r="G1000" s="40" t="n"/>
      <c r="H1000" s="38" t="n"/>
      <c r="I1000" s="38" t="n"/>
      <c r="J1000" s="38" t="n"/>
      <c r="K1000" s="24">
        <f>IF($H1000="","",$H1000-N($J1000))</f>
        <v/>
      </c>
      <c r="L1000" s="25">
        <f>IFERROR($K1000/$H1000,"")</f>
        <v/>
      </c>
      <c r="M1000" s="39">
        <f>IFERROR(INDEX('10_CLIENTI'!$B$5:$B$204,MATCH($D1000,'10_CLIENTI'!$A$5:$A$204,0)),"")</f>
        <v/>
      </c>
      <c r="N1000" s="39">
        <f>IFERROR(INDEX('11_PRODUSE'!$B$5:$B$104,MATCH($E1000,'11_PRODUSE'!$A$5:$A$104,0)),"")</f>
        <v/>
      </c>
      <c r="O1000" s="13" t="n"/>
      <c r="P1000" s="13" t="n"/>
    </row>
    <row r="1001">
      <c r="A1001" s="35" t="n"/>
      <c r="B1001" s="39">
        <f>IF($A1001="","",YEAR($A1001)&amp;"-"&amp;RIGHT("0"&amp;MONTH($A1001),2))</f>
        <v/>
      </c>
      <c r="C1001" s="13" t="n"/>
      <c r="D1001" s="13" t="n"/>
      <c r="E1001" s="13" t="n"/>
      <c r="F1001" s="13" t="n"/>
      <c r="G1001" s="40" t="n"/>
      <c r="H1001" s="38" t="n"/>
      <c r="I1001" s="38" t="n"/>
      <c r="J1001" s="38" t="n"/>
      <c r="K1001" s="24">
        <f>IF($H1001="","",$H1001-N($J1001))</f>
        <v/>
      </c>
      <c r="L1001" s="25">
        <f>IFERROR($K1001/$H1001,"")</f>
        <v/>
      </c>
      <c r="M1001" s="39">
        <f>IFERROR(INDEX('10_CLIENTI'!$B$5:$B$204,MATCH($D1001,'10_CLIENTI'!$A$5:$A$204,0)),"")</f>
        <v/>
      </c>
      <c r="N1001" s="39">
        <f>IFERROR(INDEX('11_PRODUSE'!$B$5:$B$104,MATCH($E1001,'11_PRODUSE'!$A$5:$A$104,0)),"")</f>
        <v/>
      </c>
      <c r="O1001" s="13" t="n"/>
      <c r="P1001" s="13" t="n"/>
    </row>
    <row r="1002">
      <c r="A1002" s="35" t="n"/>
      <c r="B1002" s="39">
        <f>IF($A1002="","",YEAR($A1002)&amp;"-"&amp;RIGHT("0"&amp;MONTH($A1002),2))</f>
        <v/>
      </c>
      <c r="C1002" s="13" t="n"/>
      <c r="D1002" s="13" t="n"/>
      <c r="E1002" s="13" t="n"/>
      <c r="F1002" s="13" t="n"/>
      <c r="G1002" s="40" t="n"/>
      <c r="H1002" s="38" t="n"/>
      <c r="I1002" s="38" t="n"/>
      <c r="J1002" s="38" t="n"/>
      <c r="K1002" s="24">
        <f>IF($H1002="","",$H1002-N($J1002))</f>
        <v/>
      </c>
      <c r="L1002" s="25">
        <f>IFERROR($K1002/$H1002,"")</f>
        <v/>
      </c>
      <c r="M1002" s="39">
        <f>IFERROR(INDEX('10_CLIENTI'!$B$5:$B$204,MATCH($D1002,'10_CLIENTI'!$A$5:$A$204,0)),"")</f>
        <v/>
      </c>
      <c r="N1002" s="39">
        <f>IFERROR(INDEX('11_PRODUSE'!$B$5:$B$104,MATCH($E1002,'11_PRODUSE'!$A$5:$A$104,0)),"")</f>
        <v/>
      </c>
      <c r="O1002" s="13" t="n"/>
      <c r="P1002" s="13" t="n"/>
    </row>
    <row r="1003">
      <c r="A1003" s="35" t="n"/>
      <c r="B1003" s="39">
        <f>IF($A1003="","",YEAR($A1003)&amp;"-"&amp;RIGHT("0"&amp;MONTH($A1003),2))</f>
        <v/>
      </c>
      <c r="C1003" s="13" t="n"/>
      <c r="D1003" s="13" t="n"/>
      <c r="E1003" s="13" t="n"/>
      <c r="F1003" s="13" t="n"/>
      <c r="G1003" s="40" t="n"/>
      <c r="H1003" s="38" t="n"/>
      <c r="I1003" s="38" t="n"/>
      <c r="J1003" s="38" t="n"/>
      <c r="K1003" s="24">
        <f>IF($H1003="","",$H1003-N($J1003))</f>
        <v/>
      </c>
      <c r="L1003" s="25">
        <f>IFERROR($K1003/$H1003,"")</f>
        <v/>
      </c>
      <c r="M1003" s="39">
        <f>IFERROR(INDEX('10_CLIENTI'!$B$5:$B$204,MATCH($D1003,'10_CLIENTI'!$A$5:$A$204,0)),"")</f>
        <v/>
      </c>
      <c r="N1003" s="39">
        <f>IFERROR(INDEX('11_PRODUSE'!$B$5:$B$104,MATCH($E1003,'11_PRODUSE'!$A$5:$A$104,0)),"")</f>
        <v/>
      </c>
      <c r="O1003" s="13" t="n"/>
      <c r="P1003" s="13" t="n"/>
    </row>
    <row r="1004">
      <c r="A1004" s="35" t="n"/>
      <c r="B1004" s="39">
        <f>IF($A1004="","",YEAR($A1004)&amp;"-"&amp;RIGHT("0"&amp;MONTH($A1004),2))</f>
        <v/>
      </c>
      <c r="C1004" s="13" t="n"/>
      <c r="D1004" s="13" t="n"/>
      <c r="E1004" s="13" t="n"/>
      <c r="F1004" s="13" t="n"/>
      <c r="G1004" s="40" t="n"/>
      <c r="H1004" s="38" t="n"/>
      <c r="I1004" s="38" t="n"/>
      <c r="J1004" s="38" t="n"/>
      <c r="K1004" s="24">
        <f>IF($H1004="","",$H1004-N($J1004))</f>
        <v/>
      </c>
      <c r="L1004" s="25">
        <f>IFERROR($K1004/$H1004,"")</f>
        <v/>
      </c>
      <c r="M1004" s="39">
        <f>IFERROR(INDEX('10_CLIENTI'!$B$5:$B$204,MATCH($D1004,'10_CLIENTI'!$A$5:$A$204,0)),"")</f>
        <v/>
      </c>
      <c r="N1004" s="39">
        <f>IFERROR(INDEX('11_PRODUSE'!$B$5:$B$104,MATCH($E1004,'11_PRODUSE'!$A$5:$A$104,0)),"")</f>
        <v/>
      </c>
      <c r="O1004" s="13" t="n"/>
      <c r="P1004" s="13" t="n"/>
    </row>
  </sheetData>
  <autoFilter ref="A4:P1004"/>
  <dataValidations count="2">
    <dataValidation sqref="C5:C1004" showDropDown="0" showInputMessage="0" showErrorMessage="0" allowBlank="1" errorTitle="Valoare neacceptată" error="Valoare în afara listei permise. Alege din listă sau completează lista de valori." type="list">
      <formula1>='90_LISTE'!$Q$2:$Q$5</formula1>
    </dataValidation>
    <dataValidation sqref="O5:O1004" showDropDown="0" showInputMessage="0" showErrorMessage="0" allowBlank="1" errorTitle="Valoare neacceptată" error="Valoare în afara listei permise. Alege din listă sau completează lista de valori." type="list">
      <formula1>='90_LISTE'!$R$2:$R$5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3" customWidth="1" min="5" max="5"/>
    <col width="22" customWidth="1" min="6" max="6"/>
  </cols>
  <sheetData>
    <row r="1" ht="26" customHeight="1">
      <c r="A1" s="1" t="inlineStr">
        <is>
          <t>14 — ȚINTE / BUGET</t>
        </is>
      </c>
    </row>
    <row r="2" ht="16" customHeight="1">
      <c r="A2" s="2" t="inlineStr">
        <is>
          <t>Galben = se completează. Gri = calculat automat, nu suprascrie.</t>
        </is>
      </c>
    </row>
    <row r="3"/>
    <row r="4" ht="34" customHeight="1">
      <c r="A4" s="15" t="inlineStr">
        <is>
          <t>Perioadă (data)
Period_Date</t>
        </is>
      </c>
      <c r="B4" s="15" t="inlineStr">
        <is>
          <t>Nivel țintă
Scope</t>
        </is>
      </c>
      <c r="C4" s="15" t="inlineStr">
        <is>
          <t>ID nivel
Scope_ID</t>
        </is>
      </c>
      <c r="D4" s="15" t="inlineStr">
        <is>
          <t>Indicator
Metric</t>
        </is>
      </c>
      <c r="E4" s="15" t="inlineStr">
        <is>
          <t>Valoare țintă
Target_Value</t>
        </is>
      </c>
      <c r="F4" s="15" t="inlineStr">
        <is>
          <t>Observații
Notes</t>
        </is>
      </c>
    </row>
    <row r="5">
      <c r="A5" s="35" t="n">
        <v>46053</v>
      </c>
      <c r="B5" s="13" t="inlineStr">
        <is>
          <t>Companie</t>
        </is>
      </c>
      <c r="C5" s="13" t="inlineStr"/>
      <c r="D5" s="13" t="inlineStr">
        <is>
          <t>Venit</t>
        </is>
      </c>
      <c r="E5" s="38" t="n">
        <v>120000</v>
      </c>
      <c r="F5" s="13" t="inlineStr">
        <is>
          <t>Exemplu — șterge înainte de utilizare</t>
        </is>
      </c>
    </row>
    <row r="6">
      <c r="A6" s="35" t="n"/>
      <c r="B6" s="13" t="n"/>
      <c r="C6" s="13" t="n"/>
      <c r="D6" s="13" t="n"/>
      <c r="E6" s="38" t="n"/>
      <c r="F6" s="13" t="n"/>
    </row>
    <row r="7">
      <c r="A7" s="35" t="n"/>
      <c r="B7" s="13" t="n"/>
      <c r="C7" s="13" t="n"/>
      <c r="D7" s="13" t="n"/>
      <c r="E7" s="38" t="n"/>
      <c r="F7" s="13" t="n"/>
    </row>
    <row r="8">
      <c r="A8" s="35" t="n"/>
      <c r="B8" s="13" t="n"/>
      <c r="C8" s="13" t="n"/>
      <c r="D8" s="13" t="n"/>
      <c r="E8" s="38" t="n"/>
      <c r="F8" s="13" t="n"/>
    </row>
    <row r="9">
      <c r="A9" s="35" t="n"/>
      <c r="B9" s="13" t="n"/>
      <c r="C9" s="13" t="n"/>
      <c r="D9" s="13" t="n"/>
      <c r="E9" s="38" t="n"/>
      <c r="F9" s="13" t="n"/>
    </row>
    <row r="10">
      <c r="A10" s="35" t="n"/>
      <c r="B10" s="13" t="n"/>
      <c r="C10" s="13" t="n"/>
      <c r="D10" s="13" t="n"/>
      <c r="E10" s="38" t="n"/>
      <c r="F10" s="13" t="n"/>
    </row>
    <row r="11">
      <c r="A11" s="35" t="n"/>
      <c r="B11" s="13" t="n"/>
      <c r="C11" s="13" t="n"/>
      <c r="D11" s="13" t="n"/>
      <c r="E11" s="38" t="n"/>
      <c r="F11" s="13" t="n"/>
    </row>
    <row r="12">
      <c r="A12" s="35" t="n"/>
      <c r="B12" s="13" t="n"/>
      <c r="C12" s="13" t="n"/>
      <c r="D12" s="13" t="n"/>
      <c r="E12" s="38" t="n"/>
      <c r="F12" s="13" t="n"/>
    </row>
    <row r="13">
      <c r="A13" s="35" t="n"/>
      <c r="B13" s="13" t="n"/>
      <c r="C13" s="13" t="n"/>
      <c r="D13" s="13" t="n"/>
      <c r="E13" s="38" t="n"/>
      <c r="F13" s="13" t="n"/>
    </row>
    <row r="14">
      <c r="A14" s="35" t="n"/>
      <c r="B14" s="13" t="n"/>
      <c r="C14" s="13" t="n"/>
      <c r="D14" s="13" t="n"/>
      <c r="E14" s="38" t="n"/>
      <c r="F14" s="13" t="n"/>
    </row>
    <row r="15">
      <c r="A15" s="35" t="n"/>
      <c r="B15" s="13" t="n"/>
      <c r="C15" s="13" t="n"/>
      <c r="D15" s="13" t="n"/>
      <c r="E15" s="38" t="n"/>
      <c r="F15" s="13" t="n"/>
    </row>
    <row r="16">
      <c r="A16" s="35" t="n"/>
      <c r="B16" s="13" t="n"/>
      <c r="C16" s="13" t="n"/>
      <c r="D16" s="13" t="n"/>
      <c r="E16" s="38" t="n"/>
      <c r="F16" s="13" t="n"/>
    </row>
    <row r="17">
      <c r="A17" s="35" t="n"/>
      <c r="B17" s="13" t="n"/>
      <c r="C17" s="13" t="n"/>
      <c r="D17" s="13" t="n"/>
      <c r="E17" s="38" t="n"/>
      <c r="F17" s="13" t="n"/>
    </row>
    <row r="18">
      <c r="A18" s="35" t="n"/>
      <c r="B18" s="13" t="n"/>
      <c r="C18" s="13" t="n"/>
      <c r="D18" s="13" t="n"/>
      <c r="E18" s="38" t="n"/>
      <c r="F18" s="13" t="n"/>
    </row>
    <row r="19">
      <c r="A19" s="35" t="n"/>
      <c r="B19" s="13" t="n"/>
      <c r="C19" s="13" t="n"/>
      <c r="D19" s="13" t="n"/>
      <c r="E19" s="38" t="n"/>
      <c r="F19" s="13" t="n"/>
    </row>
    <row r="20">
      <c r="A20" s="35" t="n"/>
      <c r="B20" s="13" t="n"/>
      <c r="C20" s="13" t="n"/>
      <c r="D20" s="13" t="n"/>
      <c r="E20" s="38" t="n"/>
      <c r="F20" s="13" t="n"/>
    </row>
    <row r="21">
      <c r="A21" s="35" t="n"/>
      <c r="B21" s="13" t="n"/>
      <c r="C21" s="13" t="n"/>
      <c r="D21" s="13" t="n"/>
      <c r="E21" s="38" t="n"/>
      <c r="F21" s="13" t="n"/>
    </row>
    <row r="22">
      <c r="A22" s="35" t="n"/>
      <c r="B22" s="13" t="n"/>
      <c r="C22" s="13" t="n"/>
      <c r="D22" s="13" t="n"/>
      <c r="E22" s="38" t="n"/>
      <c r="F22" s="13" t="n"/>
    </row>
    <row r="23">
      <c r="A23" s="35" t="n"/>
      <c r="B23" s="13" t="n"/>
      <c r="C23" s="13" t="n"/>
      <c r="D23" s="13" t="n"/>
      <c r="E23" s="38" t="n"/>
      <c r="F23" s="13" t="n"/>
    </row>
    <row r="24">
      <c r="A24" s="35" t="n"/>
      <c r="B24" s="13" t="n"/>
      <c r="C24" s="13" t="n"/>
      <c r="D24" s="13" t="n"/>
      <c r="E24" s="38" t="n"/>
      <c r="F24" s="13" t="n"/>
    </row>
    <row r="25">
      <c r="A25" s="35" t="n"/>
      <c r="B25" s="13" t="n"/>
      <c r="C25" s="13" t="n"/>
      <c r="D25" s="13" t="n"/>
      <c r="E25" s="38" t="n"/>
      <c r="F25" s="13" t="n"/>
    </row>
    <row r="26">
      <c r="A26" s="35" t="n"/>
      <c r="B26" s="13" t="n"/>
      <c r="C26" s="13" t="n"/>
      <c r="D26" s="13" t="n"/>
      <c r="E26" s="38" t="n"/>
      <c r="F26" s="13" t="n"/>
    </row>
    <row r="27">
      <c r="A27" s="35" t="n"/>
      <c r="B27" s="13" t="n"/>
      <c r="C27" s="13" t="n"/>
      <c r="D27" s="13" t="n"/>
      <c r="E27" s="38" t="n"/>
      <c r="F27" s="13" t="n"/>
    </row>
    <row r="28">
      <c r="A28" s="35" t="n"/>
      <c r="B28" s="13" t="n"/>
      <c r="C28" s="13" t="n"/>
      <c r="D28" s="13" t="n"/>
      <c r="E28" s="38" t="n"/>
      <c r="F28" s="13" t="n"/>
    </row>
    <row r="29">
      <c r="A29" s="35" t="n"/>
      <c r="B29" s="13" t="n"/>
      <c r="C29" s="13" t="n"/>
      <c r="D29" s="13" t="n"/>
      <c r="E29" s="38" t="n"/>
      <c r="F29" s="13" t="n"/>
    </row>
    <row r="30">
      <c r="A30" s="35" t="n"/>
      <c r="B30" s="13" t="n"/>
      <c r="C30" s="13" t="n"/>
      <c r="D30" s="13" t="n"/>
      <c r="E30" s="38" t="n"/>
      <c r="F30" s="13" t="n"/>
    </row>
    <row r="31">
      <c r="A31" s="35" t="n"/>
      <c r="B31" s="13" t="n"/>
      <c r="C31" s="13" t="n"/>
      <c r="D31" s="13" t="n"/>
      <c r="E31" s="38" t="n"/>
      <c r="F31" s="13" t="n"/>
    </row>
    <row r="32">
      <c r="A32" s="35" t="n"/>
      <c r="B32" s="13" t="n"/>
      <c r="C32" s="13" t="n"/>
      <c r="D32" s="13" t="n"/>
      <c r="E32" s="38" t="n"/>
      <c r="F32" s="13" t="n"/>
    </row>
    <row r="33">
      <c r="A33" s="35" t="n"/>
      <c r="B33" s="13" t="n"/>
      <c r="C33" s="13" t="n"/>
      <c r="D33" s="13" t="n"/>
      <c r="E33" s="38" t="n"/>
      <c r="F33" s="13" t="n"/>
    </row>
    <row r="34">
      <c r="A34" s="35" t="n"/>
      <c r="B34" s="13" t="n"/>
      <c r="C34" s="13" t="n"/>
      <c r="D34" s="13" t="n"/>
      <c r="E34" s="38" t="n"/>
      <c r="F34" s="13" t="n"/>
    </row>
    <row r="35">
      <c r="A35" s="35" t="n"/>
      <c r="B35" s="13" t="n"/>
      <c r="C35" s="13" t="n"/>
      <c r="D35" s="13" t="n"/>
      <c r="E35" s="38" t="n"/>
      <c r="F35" s="13" t="n"/>
    </row>
    <row r="36">
      <c r="A36" s="35" t="n"/>
      <c r="B36" s="13" t="n"/>
      <c r="C36" s="13" t="n"/>
      <c r="D36" s="13" t="n"/>
      <c r="E36" s="38" t="n"/>
      <c r="F36" s="13" t="n"/>
    </row>
    <row r="37">
      <c r="A37" s="35" t="n"/>
      <c r="B37" s="13" t="n"/>
      <c r="C37" s="13" t="n"/>
      <c r="D37" s="13" t="n"/>
      <c r="E37" s="38" t="n"/>
      <c r="F37" s="13" t="n"/>
    </row>
    <row r="38">
      <c r="A38" s="35" t="n"/>
      <c r="B38" s="13" t="n"/>
      <c r="C38" s="13" t="n"/>
      <c r="D38" s="13" t="n"/>
      <c r="E38" s="38" t="n"/>
      <c r="F38" s="13" t="n"/>
    </row>
    <row r="39">
      <c r="A39" s="35" t="n"/>
      <c r="B39" s="13" t="n"/>
      <c r="C39" s="13" t="n"/>
      <c r="D39" s="13" t="n"/>
      <c r="E39" s="38" t="n"/>
      <c r="F39" s="13" t="n"/>
    </row>
    <row r="40">
      <c r="A40" s="35" t="n"/>
      <c r="B40" s="13" t="n"/>
      <c r="C40" s="13" t="n"/>
      <c r="D40" s="13" t="n"/>
      <c r="E40" s="38" t="n"/>
      <c r="F40" s="13" t="n"/>
    </row>
    <row r="41">
      <c r="A41" s="35" t="n"/>
      <c r="B41" s="13" t="n"/>
      <c r="C41" s="13" t="n"/>
      <c r="D41" s="13" t="n"/>
      <c r="E41" s="38" t="n"/>
      <c r="F41" s="13" t="n"/>
    </row>
    <row r="42">
      <c r="A42" s="35" t="n"/>
      <c r="B42" s="13" t="n"/>
      <c r="C42" s="13" t="n"/>
      <c r="D42" s="13" t="n"/>
      <c r="E42" s="38" t="n"/>
      <c r="F42" s="13" t="n"/>
    </row>
    <row r="43">
      <c r="A43" s="35" t="n"/>
      <c r="B43" s="13" t="n"/>
      <c r="C43" s="13" t="n"/>
      <c r="D43" s="13" t="n"/>
      <c r="E43" s="38" t="n"/>
      <c r="F43" s="13" t="n"/>
    </row>
    <row r="44">
      <c r="A44" s="35" t="n"/>
      <c r="B44" s="13" t="n"/>
      <c r="C44" s="13" t="n"/>
      <c r="D44" s="13" t="n"/>
      <c r="E44" s="38" t="n"/>
      <c r="F44" s="13" t="n"/>
    </row>
    <row r="45">
      <c r="A45" s="35" t="n"/>
      <c r="B45" s="13" t="n"/>
      <c r="C45" s="13" t="n"/>
      <c r="D45" s="13" t="n"/>
      <c r="E45" s="38" t="n"/>
      <c r="F45" s="13" t="n"/>
    </row>
    <row r="46">
      <c r="A46" s="35" t="n"/>
      <c r="B46" s="13" t="n"/>
      <c r="C46" s="13" t="n"/>
      <c r="D46" s="13" t="n"/>
      <c r="E46" s="38" t="n"/>
      <c r="F46" s="13" t="n"/>
    </row>
    <row r="47">
      <c r="A47" s="35" t="n"/>
      <c r="B47" s="13" t="n"/>
      <c r="C47" s="13" t="n"/>
      <c r="D47" s="13" t="n"/>
      <c r="E47" s="38" t="n"/>
      <c r="F47" s="13" t="n"/>
    </row>
    <row r="48">
      <c r="A48" s="35" t="n"/>
      <c r="B48" s="13" t="n"/>
      <c r="C48" s="13" t="n"/>
      <c r="D48" s="13" t="n"/>
      <c r="E48" s="38" t="n"/>
      <c r="F48" s="13" t="n"/>
    </row>
    <row r="49">
      <c r="A49" s="35" t="n"/>
      <c r="B49" s="13" t="n"/>
      <c r="C49" s="13" t="n"/>
      <c r="D49" s="13" t="n"/>
      <c r="E49" s="38" t="n"/>
      <c r="F49" s="13" t="n"/>
    </row>
    <row r="50">
      <c r="A50" s="35" t="n"/>
      <c r="B50" s="13" t="n"/>
      <c r="C50" s="13" t="n"/>
      <c r="D50" s="13" t="n"/>
      <c r="E50" s="38" t="n"/>
      <c r="F50" s="13" t="n"/>
    </row>
    <row r="51">
      <c r="A51" s="35" t="n"/>
      <c r="B51" s="13" t="n"/>
      <c r="C51" s="13" t="n"/>
      <c r="D51" s="13" t="n"/>
      <c r="E51" s="38" t="n"/>
      <c r="F51" s="13" t="n"/>
    </row>
    <row r="52">
      <c r="A52" s="35" t="n"/>
      <c r="B52" s="13" t="n"/>
      <c r="C52" s="13" t="n"/>
      <c r="D52" s="13" t="n"/>
      <c r="E52" s="38" t="n"/>
      <c r="F52" s="13" t="n"/>
    </row>
    <row r="53">
      <c r="A53" s="35" t="n"/>
      <c r="B53" s="13" t="n"/>
      <c r="C53" s="13" t="n"/>
      <c r="D53" s="13" t="n"/>
      <c r="E53" s="38" t="n"/>
      <c r="F53" s="13" t="n"/>
    </row>
    <row r="54">
      <c r="A54" s="35" t="n"/>
      <c r="B54" s="13" t="n"/>
      <c r="C54" s="13" t="n"/>
      <c r="D54" s="13" t="n"/>
      <c r="E54" s="38" t="n"/>
      <c r="F54" s="13" t="n"/>
    </row>
    <row r="55">
      <c r="A55" s="35" t="n"/>
      <c r="B55" s="13" t="n"/>
      <c r="C55" s="13" t="n"/>
      <c r="D55" s="13" t="n"/>
      <c r="E55" s="38" t="n"/>
      <c r="F55" s="13" t="n"/>
    </row>
    <row r="56">
      <c r="A56" s="35" t="n"/>
      <c r="B56" s="13" t="n"/>
      <c r="C56" s="13" t="n"/>
      <c r="D56" s="13" t="n"/>
      <c r="E56" s="38" t="n"/>
      <c r="F56" s="13" t="n"/>
    </row>
    <row r="57">
      <c r="A57" s="35" t="n"/>
      <c r="B57" s="13" t="n"/>
      <c r="C57" s="13" t="n"/>
      <c r="D57" s="13" t="n"/>
      <c r="E57" s="38" t="n"/>
      <c r="F57" s="13" t="n"/>
    </row>
    <row r="58">
      <c r="A58" s="35" t="n"/>
      <c r="B58" s="13" t="n"/>
      <c r="C58" s="13" t="n"/>
      <c r="D58" s="13" t="n"/>
      <c r="E58" s="38" t="n"/>
      <c r="F58" s="13" t="n"/>
    </row>
    <row r="59">
      <c r="A59" s="35" t="n"/>
      <c r="B59" s="13" t="n"/>
      <c r="C59" s="13" t="n"/>
      <c r="D59" s="13" t="n"/>
      <c r="E59" s="38" t="n"/>
      <c r="F59" s="13" t="n"/>
    </row>
    <row r="60">
      <c r="A60" s="35" t="n"/>
      <c r="B60" s="13" t="n"/>
      <c r="C60" s="13" t="n"/>
      <c r="D60" s="13" t="n"/>
      <c r="E60" s="38" t="n"/>
      <c r="F60" s="13" t="n"/>
    </row>
    <row r="61">
      <c r="A61" s="35" t="n"/>
      <c r="B61" s="13" t="n"/>
      <c r="C61" s="13" t="n"/>
      <c r="D61" s="13" t="n"/>
      <c r="E61" s="38" t="n"/>
      <c r="F61" s="13" t="n"/>
    </row>
    <row r="62">
      <c r="A62" s="35" t="n"/>
      <c r="B62" s="13" t="n"/>
      <c r="C62" s="13" t="n"/>
      <c r="D62" s="13" t="n"/>
      <c r="E62" s="38" t="n"/>
      <c r="F62" s="13" t="n"/>
    </row>
    <row r="63">
      <c r="A63" s="35" t="n"/>
      <c r="B63" s="13" t="n"/>
      <c r="C63" s="13" t="n"/>
      <c r="D63" s="13" t="n"/>
      <c r="E63" s="38" t="n"/>
      <c r="F63" s="13" t="n"/>
    </row>
    <row r="64">
      <c r="A64" s="35" t="n"/>
      <c r="B64" s="13" t="n"/>
      <c r="C64" s="13" t="n"/>
      <c r="D64" s="13" t="n"/>
      <c r="E64" s="38" t="n"/>
      <c r="F64" s="13" t="n"/>
    </row>
    <row r="65">
      <c r="A65" s="35" t="n"/>
      <c r="B65" s="13" t="n"/>
      <c r="C65" s="13" t="n"/>
      <c r="D65" s="13" t="n"/>
      <c r="E65" s="38" t="n"/>
      <c r="F65" s="13" t="n"/>
    </row>
    <row r="66">
      <c r="A66" s="35" t="n"/>
      <c r="B66" s="13" t="n"/>
      <c r="C66" s="13" t="n"/>
      <c r="D66" s="13" t="n"/>
      <c r="E66" s="38" t="n"/>
      <c r="F66" s="13" t="n"/>
    </row>
    <row r="67">
      <c r="A67" s="35" t="n"/>
      <c r="B67" s="13" t="n"/>
      <c r="C67" s="13" t="n"/>
      <c r="D67" s="13" t="n"/>
      <c r="E67" s="38" t="n"/>
      <c r="F67" s="13" t="n"/>
    </row>
    <row r="68">
      <c r="A68" s="35" t="n"/>
      <c r="B68" s="13" t="n"/>
      <c r="C68" s="13" t="n"/>
      <c r="D68" s="13" t="n"/>
      <c r="E68" s="38" t="n"/>
      <c r="F68" s="13" t="n"/>
    </row>
    <row r="69">
      <c r="A69" s="35" t="n"/>
      <c r="B69" s="13" t="n"/>
      <c r="C69" s="13" t="n"/>
      <c r="D69" s="13" t="n"/>
      <c r="E69" s="38" t="n"/>
      <c r="F69" s="13" t="n"/>
    </row>
    <row r="70">
      <c r="A70" s="35" t="n"/>
      <c r="B70" s="13" t="n"/>
      <c r="C70" s="13" t="n"/>
      <c r="D70" s="13" t="n"/>
      <c r="E70" s="38" t="n"/>
      <c r="F70" s="13" t="n"/>
    </row>
    <row r="71">
      <c r="A71" s="35" t="n"/>
      <c r="B71" s="13" t="n"/>
      <c r="C71" s="13" t="n"/>
      <c r="D71" s="13" t="n"/>
      <c r="E71" s="38" t="n"/>
      <c r="F71" s="13" t="n"/>
    </row>
    <row r="72">
      <c r="A72" s="35" t="n"/>
      <c r="B72" s="13" t="n"/>
      <c r="C72" s="13" t="n"/>
      <c r="D72" s="13" t="n"/>
      <c r="E72" s="38" t="n"/>
      <c r="F72" s="13" t="n"/>
    </row>
    <row r="73">
      <c r="A73" s="35" t="n"/>
      <c r="B73" s="13" t="n"/>
      <c r="C73" s="13" t="n"/>
      <c r="D73" s="13" t="n"/>
      <c r="E73" s="38" t="n"/>
      <c r="F73" s="13" t="n"/>
    </row>
    <row r="74">
      <c r="A74" s="35" t="n"/>
      <c r="B74" s="13" t="n"/>
      <c r="C74" s="13" t="n"/>
      <c r="D74" s="13" t="n"/>
      <c r="E74" s="38" t="n"/>
      <c r="F74" s="13" t="n"/>
    </row>
    <row r="75">
      <c r="A75" s="35" t="n"/>
      <c r="B75" s="13" t="n"/>
      <c r="C75" s="13" t="n"/>
      <c r="D75" s="13" t="n"/>
      <c r="E75" s="38" t="n"/>
      <c r="F75" s="13" t="n"/>
    </row>
    <row r="76">
      <c r="A76" s="35" t="n"/>
      <c r="B76" s="13" t="n"/>
      <c r="C76" s="13" t="n"/>
      <c r="D76" s="13" t="n"/>
      <c r="E76" s="38" t="n"/>
      <c r="F76" s="13" t="n"/>
    </row>
    <row r="77">
      <c r="A77" s="35" t="n"/>
      <c r="B77" s="13" t="n"/>
      <c r="C77" s="13" t="n"/>
      <c r="D77" s="13" t="n"/>
      <c r="E77" s="38" t="n"/>
      <c r="F77" s="13" t="n"/>
    </row>
    <row r="78">
      <c r="A78" s="35" t="n"/>
      <c r="B78" s="13" t="n"/>
      <c r="C78" s="13" t="n"/>
      <c r="D78" s="13" t="n"/>
      <c r="E78" s="38" t="n"/>
      <c r="F78" s="13" t="n"/>
    </row>
    <row r="79">
      <c r="A79" s="35" t="n"/>
      <c r="B79" s="13" t="n"/>
      <c r="C79" s="13" t="n"/>
      <c r="D79" s="13" t="n"/>
      <c r="E79" s="38" t="n"/>
      <c r="F79" s="13" t="n"/>
    </row>
    <row r="80">
      <c r="A80" s="35" t="n"/>
      <c r="B80" s="13" t="n"/>
      <c r="C80" s="13" t="n"/>
      <c r="D80" s="13" t="n"/>
      <c r="E80" s="38" t="n"/>
      <c r="F80" s="13" t="n"/>
    </row>
    <row r="81">
      <c r="A81" s="35" t="n"/>
      <c r="B81" s="13" t="n"/>
      <c r="C81" s="13" t="n"/>
      <c r="D81" s="13" t="n"/>
      <c r="E81" s="38" t="n"/>
      <c r="F81" s="13" t="n"/>
    </row>
    <row r="82">
      <c r="A82" s="35" t="n"/>
      <c r="B82" s="13" t="n"/>
      <c r="C82" s="13" t="n"/>
      <c r="D82" s="13" t="n"/>
      <c r="E82" s="38" t="n"/>
      <c r="F82" s="13" t="n"/>
    </row>
    <row r="83">
      <c r="A83" s="35" t="n"/>
      <c r="B83" s="13" t="n"/>
      <c r="C83" s="13" t="n"/>
      <c r="D83" s="13" t="n"/>
      <c r="E83" s="38" t="n"/>
      <c r="F83" s="13" t="n"/>
    </row>
    <row r="84">
      <c r="A84" s="35" t="n"/>
      <c r="B84" s="13" t="n"/>
      <c r="C84" s="13" t="n"/>
      <c r="D84" s="13" t="n"/>
      <c r="E84" s="38" t="n"/>
      <c r="F84" s="13" t="n"/>
    </row>
    <row r="85">
      <c r="A85" s="35" t="n"/>
      <c r="B85" s="13" t="n"/>
      <c r="C85" s="13" t="n"/>
      <c r="D85" s="13" t="n"/>
      <c r="E85" s="38" t="n"/>
      <c r="F85" s="13" t="n"/>
    </row>
    <row r="86">
      <c r="A86" s="35" t="n"/>
      <c r="B86" s="13" t="n"/>
      <c r="C86" s="13" t="n"/>
      <c r="D86" s="13" t="n"/>
      <c r="E86" s="38" t="n"/>
      <c r="F86" s="13" t="n"/>
    </row>
    <row r="87">
      <c r="A87" s="35" t="n"/>
      <c r="B87" s="13" t="n"/>
      <c r="C87" s="13" t="n"/>
      <c r="D87" s="13" t="n"/>
      <c r="E87" s="38" t="n"/>
      <c r="F87" s="13" t="n"/>
    </row>
    <row r="88">
      <c r="A88" s="35" t="n"/>
      <c r="B88" s="13" t="n"/>
      <c r="C88" s="13" t="n"/>
      <c r="D88" s="13" t="n"/>
      <c r="E88" s="38" t="n"/>
      <c r="F88" s="13" t="n"/>
    </row>
    <row r="89">
      <c r="A89" s="35" t="n"/>
      <c r="B89" s="13" t="n"/>
      <c r="C89" s="13" t="n"/>
      <c r="D89" s="13" t="n"/>
      <c r="E89" s="38" t="n"/>
      <c r="F89" s="13" t="n"/>
    </row>
    <row r="90">
      <c r="A90" s="35" t="n"/>
      <c r="B90" s="13" t="n"/>
      <c r="C90" s="13" t="n"/>
      <c r="D90" s="13" t="n"/>
      <c r="E90" s="38" t="n"/>
      <c r="F90" s="13" t="n"/>
    </row>
    <row r="91">
      <c r="A91" s="35" t="n"/>
      <c r="B91" s="13" t="n"/>
      <c r="C91" s="13" t="n"/>
      <c r="D91" s="13" t="n"/>
      <c r="E91" s="38" t="n"/>
      <c r="F91" s="13" t="n"/>
    </row>
    <row r="92">
      <c r="A92" s="35" t="n"/>
      <c r="B92" s="13" t="n"/>
      <c r="C92" s="13" t="n"/>
      <c r="D92" s="13" t="n"/>
      <c r="E92" s="38" t="n"/>
      <c r="F92" s="13" t="n"/>
    </row>
    <row r="93">
      <c r="A93" s="35" t="n"/>
      <c r="B93" s="13" t="n"/>
      <c r="C93" s="13" t="n"/>
      <c r="D93" s="13" t="n"/>
      <c r="E93" s="38" t="n"/>
      <c r="F93" s="13" t="n"/>
    </row>
    <row r="94">
      <c r="A94" s="35" t="n"/>
      <c r="B94" s="13" t="n"/>
      <c r="C94" s="13" t="n"/>
      <c r="D94" s="13" t="n"/>
      <c r="E94" s="38" t="n"/>
      <c r="F94" s="13" t="n"/>
    </row>
    <row r="95">
      <c r="A95" s="35" t="n"/>
      <c r="B95" s="13" t="n"/>
      <c r="C95" s="13" t="n"/>
      <c r="D95" s="13" t="n"/>
      <c r="E95" s="38" t="n"/>
      <c r="F95" s="13" t="n"/>
    </row>
    <row r="96">
      <c r="A96" s="35" t="n"/>
      <c r="B96" s="13" t="n"/>
      <c r="C96" s="13" t="n"/>
      <c r="D96" s="13" t="n"/>
      <c r="E96" s="38" t="n"/>
      <c r="F96" s="13" t="n"/>
    </row>
    <row r="97">
      <c r="A97" s="35" t="n"/>
      <c r="B97" s="13" t="n"/>
      <c r="C97" s="13" t="n"/>
      <c r="D97" s="13" t="n"/>
      <c r="E97" s="38" t="n"/>
      <c r="F97" s="13" t="n"/>
    </row>
    <row r="98">
      <c r="A98" s="35" t="n"/>
      <c r="B98" s="13" t="n"/>
      <c r="C98" s="13" t="n"/>
      <c r="D98" s="13" t="n"/>
      <c r="E98" s="38" t="n"/>
      <c r="F98" s="13" t="n"/>
    </row>
    <row r="99">
      <c r="A99" s="35" t="n"/>
      <c r="B99" s="13" t="n"/>
      <c r="C99" s="13" t="n"/>
      <c r="D99" s="13" t="n"/>
      <c r="E99" s="38" t="n"/>
      <c r="F99" s="13" t="n"/>
    </row>
    <row r="100">
      <c r="A100" s="35" t="n"/>
      <c r="B100" s="13" t="n"/>
      <c r="C100" s="13" t="n"/>
      <c r="D100" s="13" t="n"/>
      <c r="E100" s="38" t="n"/>
      <c r="F100" s="13" t="n"/>
    </row>
    <row r="101">
      <c r="A101" s="35" t="n"/>
      <c r="B101" s="13" t="n"/>
      <c r="C101" s="13" t="n"/>
      <c r="D101" s="13" t="n"/>
      <c r="E101" s="38" t="n"/>
      <c r="F101" s="13" t="n"/>
    </row>
    <row r="102">
      <c r="A102" s="35" t="n"/>
      <c r="B102" s="13" t="n"/>
      <c r="C102" s="13" t="n"/>
      <c r="D102" s="13" t="n"/>
      <c r="E102" s="38" t="n"/>
      <c r="F102" s="13" t="n"/>
    </row>
    <row r="103">
      <c r="A103" s="35" t="n"/>
      <c r="B103" s="13" t="n"/>
      <c r="C103" s="13" t="n"/>
      <c r="D103" s="13" t="n"/>
      <c r="E103" s="38" t="n"/>
      <c r="F103" s="13" t="n"/>
    </row>
    <row r="104">
      <c r="A104" s="35" t="n"/>
      <c r="B104" s="13" t="n"/>
      <c r="C104" s="13" t="n"/>
      <c r="D104" s="13" t="n"/>
      <c r="E104" s="38" t="n"/>
      <c r="F104" s="13" t="n"/>
    </row>
    <row r="105">
      <c r="A105" s="35" t="n"/>
      <c r="B105" s="13" t="n"/>
      <c r="C105" s="13" t="n"/>
      <c r="D105" s="13" t="n"/>
      <c r="E105" s="38" t="n"/>
      <c r="F105" s="13" t="n"/>
    </row>
    <row r="106">
      <c r="A106" s="35" t="n"/>
      <c r="B106" s="13" t="n"/>
      <c r="C106" s="13" t="n"/>
      <c r="D106" s="13" t="n"/>
      <c r="E106" s="38" t="n"/>
      <c r="F106" s="13" t="n"/>
    </row>
    <row r="107">
      <c r="A107" s="35" t="n"/>
      <c r="B107" s="13" t="n"/>
      <c r="C107" s="13" t="n"/>
      <c r="D107" s="13" t="n"/>
      <c r="E107" s="38" t="n"/>
      <c r="F107" s="13" t="n"/>
    </row>
    <row r="108">
      <c r="A108" s="35" t="n"/>
      <c r="B108" s="13" t="n"/>
      <c r="C108" s="13" t="n"/>
      <c r="D108" s="13" t="n"/>
      <c r="E108" s="38" t="n"/>
      <c r="F108" s="13" t="n"/>
    </row>
    <row r="109">
      <c r="A109" s="35" t="n"/>
      <c r="B109" s="13" t="n"/>
      <c r="C109" s="13" t="n"/>
      <c r="D109" s="13" t="n"/>
      <c r="E109" s="38" t="n"/>
      <c r="F109" s="13" t="n"/>
    </row>
    <row r="110">
      <c r="A110" s="35" t="n"/>
      <c r="B110" s="13" t="n"/>
      <c r="C110" s="13" t="n"/>
      <c r="D110" s="13" t="n"/>
      <c r="E110" s="38" t="n"/>
      <c r="F110" s="13" t="n"/>
    </row>
    <row r="111">
      <c r="A111" s="35" t="n"/>
      <c r="B111" s="13" t="n"/>
      <c r="C111" s="13" t="n"/>
      <c r="D111" s="13" t="n"/>
      <c r="E111" s="38" t="n"/>
      <c r="F111" s="13" t="n"/>
    </row>
    <row r="112">
      <c r="A112" s="35" t="n"/>
      <c r="B112" s="13" t="n"/>
      <c r="C112" s="13" t="n"/>
      <c r="D112" s="13" t="n"/>
      <c r="E112" s="38" t="n"/>
      <c r="F112" s="13" t="n"/>
    </row>
    <row r="113">
      <c r="A113" s="35" t="n"/>
      <c r="B113" s="13" t="n"/>
      <c r="C113" s="13" t="n"/>
      <c r="D113" s="13" t="n"/>
      <c r="E113" s="38" t="n"/>
      <c r="F113" s="13" t="n"/>
    </row>
    <row r="114">
      <c r="A114" s="35" t="n"/>
      <c r="B114" s="13" t="n"/>
      <c r="C114" s="13" t="n"/>
      <c r="D114" s="13" t="n"/>
      <c r="E114" s="38" t="n"/>
      <c r="F114" s="13" t="n"/>
    </row>
    <row r="115">
      <c r="A115" s="35" t="n"/>
      <c r="B115" s="13" t="n"/>
      <c r="C115" s="13" t="n"/>
      <c r="D115" s="13" t="n"/>
      <c r="E115" s="38" t="n"/>
      <c r="F115" s="13" t="n"/>
    </row>
    <row r="116">
      <c r="A116" s="35" t="n"/>
      <c r="B116" s="13" t="n"/>
      <c r="C116" s="13" t="n"/>
      <c r="D116" s="13" t="n"/>
      <c r="E116" s="38" t="n"/>
      <c r="F116" s="13" t="n"/>
    </row>
    <row r="117">
      <c r="A117" s="35" t="n"/>
      <c r="B117" s="13" t="n"/>
      <c r="C117" s="13" t="n"/>
      <c r="D117" s="13" t="n"/>
      <c r="E117" s="38" t="n"/>
      <c r="F117" s="13" t="n"/>
    </row>
    <row r="118">
      <c r="A118" s="35" t="n"/>
      <c r="B118" s="13" t="n"/>
      <c r="C118" s="13" t="n"/>
      <c r="D118" s="13" t="n"/>
      <c r="E118" s="38" t="n"/>
      <c r="F118" s="13" t="n"/>
    </row>
    <row r="119">
      <c r="A119" s="35" t="n"/>
      <c r="B119" s="13" t="n"/>
      <c r="C119" s="13" t="n"/>
      <c r="D119" s="13" t="n"/>
      <c r="E119" s="38" t="n"/>
      <c r="F119" s="13" t="n"/>
    </row>
    <row r="120">
      <c r="A120" s="35" t="n"/>
      <c r="B120" s="13" t="n"/>
      <c r="C120" s="13" t="n"/>
      <c r="D120" s="13" t="n"/>
      <c r="E120" s="38" t="n"/>
      <c r="F120" s="13" t="n"/>
    </row>
    <row r="121">
      <c r="A121" s="35" t="n"/>
      <c r="B121" s="13" t="n"/>
      <c r="C121" s="13" t="n"/>
      <c r="D121" s="13" t="n"/>
      <c r="E121" s="38" t="n"/>
      <c r="F121" s="13" t="n"/>
    </row>
    <row r="122">
      <c r="A122" s="35" t="n"/>
      <c r="B122" s="13" t="n"/>
      <c r="C122" s="13" t="n"/>
      <c r="D122" s="13" t="n"/>
      <c r="E122" s="38" t="n"/>
      <c r="F122" s="13" t="n"/>
    </row>
    <row r="123">
      <c r="A123" s="35" t="n"/>
      <c r="B123" s="13" t="n"/>
      <c r="C123" s="13" t="n"/>
      <c r="D123" s="13" t="n"/>
      <c r="E123" s="38" t="n"/>
      <c r="F123" s="13" t="n"/>
    </row>
    <row r="124">
      <c r="A124" s="35" t="n"/>
      <c r="B124" s="13" t="n"/>
      <c r="C124" s="13" t="n"/>
      <c r="D124" s="13" t="n"/>
      <c r="E124" s="38" t="n"/>
      <c r="F124" s="13" t="n"/>
    </row>
    <row r="125">
      <c r="A125" s="35" t="n"/>
      <c r="B125" s="13" t="n"/>
      <c r="C125" s="13" t="n"/>
      <c r="D125" s="13" t="n"/>
      <c r="E125" s="38" t="n"/>
      <c r="F125" s="13" t="n"/>
    </row>
    <row r="126">
      <c r="A126" s="35" t="n"/>
      <c r="B126" s="13" t="n"/>
      <c r="C126" s="13" t="n"/>
      <c r="D126" s="13" t="n"/>
      <c r="E126" s="38" t="n"/>
      <c r="F126" s="13" t="n"/>
    </row>
    <row r="127">
      <c r="A127" s="35" t="n"/>
      <c r="B127" s="13" t="n"/>
      <c r="C127" s="13" t="n"/>
      <c r="D127" s="13" t="n"/>
      <c r="E127" s="38" t="n"/>
      <c r="F127" s="13" t="n"/>
    </row>
    <row r="128">
      <c r="A128" s="35" t="n"/>
      <c r="B128" s="13" t="n"/>
      <c r="C128" s="13" t="n"/>
      <c r="D128" s="13" t="n"/>
      <c r="E128" s="38" t="n"/>
      <c r="F128" s="13" t="n"/>
    </row>
    <row r="129">
      <c r="A129" s="35" t="n"/>
      <c r="B129" s="13" t="n"/>
      <c r="C129" s="13" t="n"/>
      <c r="D129" s="13" t="n"/>
      <c r="E129" s="38" t="n"/>
      <c r="F129" s="13" t="n"/>
    </row>
    <row r="130">
      <c r="A130" s="35" t="n"/>
      <c r="B130" s="13" t="n"/>
      <c r="C130" s="13" t="n"/>
      <c r="D130" s="13" t="n"/>
      <c r="E130" s="38" t="n"/>
      <c r="F130" s="13" t="n"/>
    </row>
    <row r="131">
      <c r="A131" s="35" t="n"/>
      <c r="B131" s="13" t="n"/>
      <c r="C131" s="13" t="n"/>
      <c r="D131" s="13" t="n"/>
      <c r="E131" s="38" t="n"/>
      <c r="F131" s="13" t="n"/>
    </row>
    <row r="132">
      <c r="A132" s="35" t="n"/>
      <c r="B132" s="13" t="n"/>
      <c r="C132" s="13" t="n"/>
      <c r="D132" s="13" t="n"/>
      <c r="E132" s="38" t="n"/>
      <c r="F132" s="13" t="n"/>
    </row>
    <row r="133">
      <c r="A133" s="35" t="n"/>
      <c r="B133" s="13" t="n"/>
      <c r="C133" s="13" t="n"/>
      <c r="D133" s="13" t="n"/>
      <c r="E133" s="38" t="n"/>
      <c r="F133" s="13" t="n"/>
    </row>
    <row r="134">
      <c r="A134" s="35" t="n"/>
      <c r="B134" s="13" t="n"/>
      <c r="C134" s="13" t="n"/>
      <c r="D134" s="13" t="n"/>
      <c r="E134" s="38" t="n"/>
      <c r="F134" s="13" t="n"/>
    </row>
    <row r="135">
      <c r="A135" s="35" t="n"/>
      <c r="B135" s="13" t="n"/>
      <c r="C135" s="13" t="n"/>
      <c r="D135" s="13" t="n"/>
      <c r="E135" s="38" t="n"/>
      <c r="F135" s="13" t="n"/>
    </row>
    <row r="136">
      <c r="A136" s="35" t="n"/>
      <c r="B136" s="13" t="n"/>
      <c r="C136" s="13" t="n"/>
      <c r="D136" s="13" t="n"/>
      <c r="E136" s="38" t="n"/>
      <c r="F136" s="13" t="n"/>
    </row>
    <row r="137">
      <c r="A137" s="35" t="n"/>
      <c r="B137" s="13" t="n"/>
      <c r="C137" s="13" t="n"/>
      <c r="D137" s="13" t="n"/>
      <c r="E137" s="38" t="n"/>
      <c r="F137" s="13" t="n"/>
    </row>
    <row r="138">
      <c r="A138" s="35" t="n"/>
      <c r="B138" s="13" t="n"/>
      <c r="C138" s="13" t="n"/>
      <c r="D138" s="13" t="n"/>
      <c r="E138" s="38" t="n"/>
      <c r="F138" s="13" t="n"/>
    </row>
    <row r="139">
      <c r="A139" s="35" t="n"/>
      <c r="B139" s="13" t="n"/>
      <c r="C139" s="13" t="n"/>
      <c r="D139" s="13" t="n"/>
      <c r="E139" s="38" t="n"/>
      <c r="F139" s="13" t="n"/>
    </row>
    <row r="140">
      <c r="A140" s="35" t="n"/>
      <c r="B140" s="13" t="n"/>
      <c r="C140" s="13" t="n"/>
      <c r="D140" s="13" t="n"/>
      <c r="E140" s="38" t="n"/>
      <c r="F140" s="13" t="n"/>
    </row>
    <row r="141">
      <c r="A141" s="35" t="n"/>
      <c r="B141" s="13" t="n"/>
      <c r="C141" s="13" t="n"/>
      <c r="D141" s="13" t="n"/>
      <c r="E141" s="38" t="n"/>
      <c r="F141" s="13" t="n"/>
    </row>
    <row r="142">
      <c r="A142" s="35" t="n"/>
      <c r="B142" s="13" t="n"/>
      <c r="C142" s="13" t="n"/>
      <c r="D142" s="13" t="n"/>
      <c r="E142" s="38" t="n"/>
      <c r="F142" s="13" t="n"/>
    </row>
    <row r="143">
      <c r="A143" s="35" t="n"/>
      <c r="B143" s="13" t="n"/>
      <c r="C143" s="13" t="n"/>
      <c r="D143" s="13" t="n"/>
      <c r="E143" s="38" t="n"/>
      <c r="F143" s="13" t="n"/>
    </row>
    <row r="144">
      <c r="A144" s="35" t="n"/>
      <c r="B144" s="13" t="n"/>
      <c r="C144" s="13" t="n"/>
      <c r="D144" s="13" t="n"/>
      <c r="E144" s="38" t="n"/>
      <c r="F144" s="13" t="n"/>
    </row>
    <row r="145">
      <c r="A145" s="35" t="n"/>
      <c r="B145" s="13" t="n"/>
      <c r="C145" s="13" t="n"/>
      <c r="D145" s="13" t="n"/>
      <c r="E145" s="38" t="n"/>
      <c r="F145" s="13" t="n"/>
    </row>
    <row r="146">
      <c r="A146" s="35" t="n"/>
      <c r="B146" s="13" t="n"/>
      <c r="C146" s="13" t="n"/>
      <c r="D146" s="13" t="n"/>
      <c r="E146" s="38" t="n"/>
      <c r="F146" s="13" t="n"/>
    </row>
    <row r="147">
      <c r="A147" s="35" t="n"/>
      <c r="B147" s="13" t="n"/>
      <c r="C147" s="13" t="n"/>
      <c r="D147" s="13" t="n"/>
      <c r="E147" s="38" t="n"/>
      <c r="F147" s="13" t="n"/>
    </row>
    <row r="148">
      <c r="A148" s="35" t="n"/>
      <c r="B148" s="13" t="n"/>
      <c r="C148" s="13" t="n"/>
      <c r="D148" s="13" t="n"/>
      <c r="E148" s="38" t="n"/>
      <c r="F148" s="13" t="n"/>
    </row>
    <row r="149">
      <c r="A149" s="35" t="n"/>
      <c r="B149" s="13" t="n"/>
      <c r="C149" s="13" t="n"/>
      <c r="D149" s="13" t="n"/>
      <c r="E149" s="38" t="n"/>
      <c r="F149" s="13" t="n"/>
    </row>
    <row r="150">
      <c r="A150" s="35" t="n"/>
      <c r="B150" s="13" t="n"/>
      <c r="C150" s="13" t="n"/>
      <c r="D150" s="13" t="n"/>
      <c r="E150" s="38" t="n"/>
      <c r="F150" s="13" t="n"/>
    </row>
    <row r="151">
      <c r="A151" s="35" t="n"/>
      <c r="B151" s="13" t="n"/>
      <c r="C151" s="13" t="n"/>
      <c r="D151" s="13" t="n"/>
      <c r="E151" s="38" t="n"/>
      <c r="F151" s="13" t="n"/>
    </row>
    <row r="152">
      <c r="A152" s="35" t="n"/>
      <c r="B152" s="13" t="n"/>
      <c r="C152" s="13" t="n"/>
      <c r="D152" s="13" t="n"/>
      <c r="E152" s="38" t="n"/>
      <c r="F152" s="13" t="n"/>
    </row>
    <row r="153">
      <c r="A153" s="35" t="n"/>
      <c r="B153" s="13" t="n"/>
      <c r="C153" s="13" t="n"/>
      <c r="D153" s="13" t="n"/>
      <c r="E153" s="38" t="n"/>
      <c r="F153" s="13" t="n"/>
    </row>
    <row r="154">
      <c r="A154" s="35" t="n"/>
      <c r="B154" s="13" t="n"/>
      <c r="C154" s="13" t="n"/>
      <c r="D154" s="13" t="n"/>
      <c r="E154" s="38" t="n"/>
      <c r="F154" s="13" t="n"/>
    </row>
    <row r="155">
      <c r="A155" s="35" t="n"/>
      <c r="B155" s="13" t="n"/>
      <c r="C155" s="13" t="n"/>
      <c r="D155" s="13" t="n"/>
      <c r="E155" s="38" t="n"/>
      <c r="F155" s="13" t="n"/>
    </row>
    <row r="156">
      <c r="A156" s="35" t="n"/>
      <c r="B156" s="13" t="n"/>
      <c r="C156" s="13" t="n"/>
      <c r="D156" s="13" t="n"/>
      <c r="E156" s="38" t="n"/>
      <c r="F156" s="13" t="n"/>
    </row>
    <row r="157">
      <c r="A157" s="35" t="n"/>
      <c r="B157" s="13" t="n"/>
      <c r="C157" s="13" t="n"/>
      <c r="D157" s="13" t="n"/>
      <c r="E157" s="38" t="n"/>
      <c r="F157" s="13" t="n"/>
    </row>
    <row r="158">
      <c r="A158" s="35" t="n"/>
      <c r="B158" s="13" t="n"/>
      <c r="C158" s="13" t="n"/>
      <c r="D158" s="13" t="n"/>
      <c r="E158" s="38" t="n"/>
      <c r="F158" s="13" t="n"/>
    </row>
    <row r="159">
      <c r="A159" s="35" t="n"/>
      <c r="B159" s="13" t="n"/>
      <c r="C159" s="13" t="n"/>
      <c r="D159" s="13" t="n"/>
      <c r="E159" s="38" t="n"/>
      <c r="F159" s="13" t="n"/>
    </row>
    <row r="160">
      <c r="A160" s="35" t="n"/>
      <c r="B160" s="13" t="n"/>
      <c r="C160" s="13" t="n"/>
      <c r="D160" s="13" t="n"/>
      <c r="E160" s="38" t="n"/>
      <c r="F160" s="13" t="n"/>
    </row>
    <row r="161">
      <c r="A161" s="35" t="n"/>
      <c r="B161" s="13" t="n"/>
      <c r="C161" s="13" t="n"/>
      <c r="D161" s="13" t="n"/>
      <c r="E161" s="38" t="n"/>
      <c r="F161" s="13" t="n"/>
    </row>
    <row r="162">
      <c r="A162" s="35" t="n"/>
      <c r="B162" s="13" t="n"/>
      <c r="C162" s="13" t="n"/>
      <c r="D162" s="13" t="n"/>
      <c r="E162" s="38" t="n"/>
      <c r="F162" s="13" t="n"/>
    </row>
    <row r="163">
      <c r="A163" s="35" t="n"/>
      <c r="B163" s="13" t="n"/>
      <c r="C163" s="13" t="n"/>
      <c r="D163" s="13" t="n"/>
      <c r="E163" s="38" t="n"/>
      <c r="F163" s="13" t="n"/>
    </row>
    <row r="164">
      <c r="A164" s="35" t="n"/>
      <c r="B164" s="13" t="n"/>
      <c r="C164" s="13" t="n"/>
      <c r="D164" s="13" t="n"/>
      <c r="E164" s="38" t="n"/>
      <c r="F164" s="13" t="n"/>
    </row>
    <row r="165">
      <c r="A165" s="35" t="n"/>
      <c r="B165" s="13" t="n"/>
      <c r="C165" s="13" t="n"/>
      <c r="D165" s="13" t="n"/>
      <c r="E165" s="38" t="n"/>
      <c r="F165" s="13" t="n"/>
    </row>
    <row r="166">
      <c r="A166" s="35" t="n"/>
      <c r="B166" s="13" t="n"/>
      <c r="C166" s="13" t="n"/>
      <c r="D166" s="13" t="n"/>
      <c r="E166" s="38" t="n"/>
      <c r="F166" s="13" t="n"/>
    </row>
    <row r="167">
      <c r="A167" s="35" t="n"/>
      <c r="B167" s="13" t="n"/>
      <c r="C167" s="13" t="n"/>
      <c r="D167" s="13" t="n"/>
      <c r="E167" s="38" t="n"/>
      <c r="F167" s="13" t="n"/>
    </row>
    <row r="168">
      <c r="A168" s="35" t="n"/>
      <c r="B168" s="13" t="n"/>
      <c r="C168" s="13" t="n"/>
      <c r="D168" s="13" t="n"/>
      <c r="E168" s="38" t="n"/>
      <c r="F168" s="13" t="n"/>
    </row>
    <row r="169">
      <c r="A169" s="35" t="n"/>
      <c r="B169" s="13" t="n"/>
      <c r="C169" s="13" t="n"/>
      <c r="D169" s="13" t="n"/>
      <c r="E169" s="38" t="n"/>
      <c r="F169" s="13" t="n"/>
    </row>
    <row r="170">
      <c r="A170" s="35" t="n"/>
      <c r="B170" s="13" t="n"/>
      <c r="C170" s="13" t="n"/>
      <c r="D170" s="13" t="n"/>
      <c r="E170" s="38" t="n"/>
      <c r="F170" s="13" t="n"/>
    </row>
    <row r="171">
      <c r="A171" s="35" t="n"/>
      <c r="B171" s="13" t="n"/>
      <c r="C171" s="13" t="n"/>
      <c r="D171" s="13" t="n"/>
      <c r="E171" s="38" t="n"/>
      <c r="F171" s="13" t="n"/>
    </row>
    <row r="172">
      <c r="A172" s="35" t="n"/>
      <c r="B172" s="13" t="n"/>
      <c r="C172" s="13" t="n"/>
      <c r="D172" s="13" t="n"/>
      <c r="E172" s="38" t="n"/>
      <c r="F172" s="13" t="n"/>
    </row>
    <row r="173">
      <c r="A173" s="35" t="n"/>
      <c r="B173" s="13" t="n"/>
      <c r="C173" s="13" t="n"/>
      <c r="D173" s="13" t="n"/>
      <c r="E173" s="38" t="n"/>
      <c r="F173" s="13" t="n"/>
    </row>
    <row r="174">
      <c r="A174" s="35" t="n"/>
      <c r="B174" s="13" t="n"/>
      <c r="C174" s="13" t="n"/>
      <c r="D174" s="13" t="n"/>
      <c r="E174" s="38" t="n"/>
      <c r="F174" s="13" t="n"/>
    </row>
    <row r="175">
      <c r="A175" s="35" t="n"/>
      <c r="B175" s="13" t="n"/>
      <c r="C175" s="13" t="n"/>
      <c r="D175" s="13" t="n"/>
      <c r="E175" s="38" t="n"/>
      <c r="F175" s="13" t="n"/>
    </row>
    <row r="176">
      <c r="A176" s="35" t="n"/>
      <c r="B176" s="13" t="n"/>
      <c r="C176" s="13" t="n"/>
      <c r="D176" s="13" t="n"/>
      <c r="E176" s="38" t="n"/>
      <c r="F176" s="13" t="n"/>
    </row>
    <row r="177">
      <c r="A177" s="35" t="n"/>
      <c r="B177" s="13" t="n"/>
      <c r="C177" s="13" t="n"/>
      <c r="D177" s="13" t="n"/>
      <c r="E177" s="38" t="n"/>
      <c r="F177" s="13" t="n"/>
    </row>
    <row r="178">
      <c r="A178" s="35" t="n"/>
      <c r="B178" s="13" t="n"/>
      <c r="C178" s="13" t="n"/>
      <c r="D178" s="13" t="n"/>
      <c r="E178" s="38" t="n"/>
      <c r="F178" s="13" t="n"/>
    </row>
    <row r="179">
      <c r="A179" s="35" t="n"/>
      <c r="B179" s="13" t="n"/>
      <c r="C179" s="13" t="n"/>
      <c r="D179" s="13" t="n"/>
      <c r="E179" s="38" t="n"/>
      <c r="F179" s="13" t="n"/>
    </row>
    <row r="180">
      <c r="A180" s="35" t="n"/>
      <c r="B180" s="13" t="n"/>
      <c r="C180" s="13" t="n"/>
      <c r="D180" s="13" t="n"/>
      <c r="E180" s="38" t="n"/>
      <c r="F180" s="13" t="n"/>
    </row>
    <row r="181">
      <c r="A181" s="35" t="n"/>
      <c r="B181" s="13" t="n"/>
      <c r="C181" s="13" t="n"/>
      <c r="D181" s="13" t="n"/>
      <c r="E181" s="38" t="n"/>
      <c r="F181" s="13" t="n"/>
    </row>
    <row r="182">
      <c r="A182" s="35" t="n"/>
      <c r="B182" s="13" t="n"/>
      <c r="C182" s="13" t="n"/>
      <c r="D182" s="13" t="n"/>
      <c r="E182" s="38" t="n"/>
      <c r="F182" s="13" t="n"/>
    </row>
    <row r="183">
      <c r="A183" s="35" t="n"/>
      <c r="B183" s="13" t="n"/>
      <c r="C183" s="13" t="n"/>
      <c r="D183" s="13" t="n"/>
      <c r="E183" s="38" t="n"/>
      <c r="F183" s="13" t="n"/>
    </row>
    <row r="184">
      <c r="A184" s="35" t="n"/>
      <c r="B184" s="13" t="n"/>
      <c r="C184" s="13" t="n"/>
      <c r="D184" s="13" t="n"/>
      <c r="E184" s="38" t="n"/>
      <c r="F184" s="13" t="n"/>
    </row>
    <row r="185">
      <c r="A185" s="35" t="n"/>
      <c r="B185" s="13" t="n"/>
      <c r="C185" s="13" t="n"/>
      <c r="D185" s="13" t="n"/>
      <c r="E185" s="38" t="n"/>
      <c r="F185" s="13" t="n"/>
    </row>
    <row r="186">
      <c r="A186" s="35" t="n"/>
      <c r="B186" s="13" t="n"/>
      <c r="C186" s="13" t="n"/>
      <c r="D186" s="13" t="n"/>
      <c r="E186" s="38" t="n"/>
      <c r="F186" s="13" t="n"/>
    </row>
    <row r="187">
      <c r="A187" s="35" t="n"/>
      <c r="B187" s="13" t="n"/>
      <c r="C187" s="13" t="n"/>
      <c r="D187" s="13" t="n"/>
      <c r="E187" s="38" t="n"/>
      <c r="F187" s="13" t="n"/>
    </row>
    <row r="188">
      <c r="A188" s="35" t="n"/>
      <c r="B188" s="13" t="n"/>
      <c r="C188" s="13" t="n"/>
      <c r="D188" s="13" t="n"/>
      <c r="E188" s="38" t="n"/>
      <c r="F188" s="13" t="n"/>
    </row>
    <row r="189">
      <c r="A189" s="35" t="n"/>
      <c r="B189" s="13" t="n"/>
      <c r="C189" s="13" t="n"/>
      <c r="D189" s="13" t="n"/>
      <c r="E189" s="38" t="n"/>
      <c r="F189" s="13" t="n"/>
    </row>
    <row r="190">
      <c r="A190" s="35" t="n"/>
      <c r="B190" s="13" t="n"/>
      <c r="C190" s="13" t="n"/>
      <c r="D190" s="13" t="n"/>
      <c r="E190" s="38" t="n"/>
      <c r="F190" s="13" t="n"/>
    </row>
    <row r="191">
      <c r="A191" s="35" t="n"/>
      <c r="B191" s="13" t="n"/>
      <c r="C191" s="13" t="n"/>
      <c r="D191" s="13" t="n"/>
      <c r="E191" s="38" t="n"/>
      <c r="F191" s="13" t="n"/>
    </row>
    <row r="192">
      <c r="A192" s="35" t="n"/>
      <c r="B192" s="13" t="n"/>
      <c r="C192" s="13" t="n"/>
      <c r="D192" s="13" t="n"/>
      <c r="E192" s="38" t="n"/>
      <c r="F192" s="13" t="n"/>
    </row>
    <row r="193">
      <c r="A193" s="35" t="n"/>
      <c r="B193" s="13" t="n"/>
      <c r="C193" s="13" t="n"/>
      <c r="D193" s="13" t="n"/>
      <c r="E193" s="38" t="n"/>
      <c r="F193" s="13" t="n"/>
    </row>
    <row r="194">
      <c r="A194" s="35" t="n"/>
      <c r="B194" s="13" t="n"/>
      <c r="C194" s="13" t="n"/>
      <c r="D194" s="13" t="n"/>
      <c r="E194" s="38" t="n"/>
      <c r="F194" s="13" t="n"/>
    </row>
    <row r="195">
      <c r="A195" s="35" t="n"/>
      <c r="B195" s="13" t="n"/>
      <c r="C195" s="13" t="n"/>
      <c r="D195" s="13" t="n"/>
      <c r="E195" s="38" t="n"/>
      <c r="F195" s="13" t="n"/>
    </row>
    <row r="196">
      <c r="A196" s="35" t="n"/>
      <c r="B196" s="13" t="n"/>
      <c r="C196" s="13" t="n"/>
      <c r="D196" s="13" t="n"/>
      <c r="E196" s="38" t="n"/>
      <c r="F196" s="13" t="n"/>
    </row>
    <row r="197">
      <c r="A197" s="35" t="n"/>
      <c r="B197" s="13" t="n"/>
      <c r="C197" s="13" t="n"/>
      <c r="D197" s="13" t="n"/>
      <c r="E197" s="38" t="n"/>
      <c r="F197" s="13" t="n"/>
    </row>
    <row r="198">
      <c r="A198" s="35" t="n"/>
      <c r="B198" s="13" t="n"/>
      <c r="C198" s="13" t="n"/>
      <c r="D198" s="13" t="n"/>
      <c r="E198" s="38" t="n"/>
      <c r="F198" s="13" t="n"/>
    </row>
    <row r="199">
      <c r="A199" s="35" t="n"/>
      <c r="B199" s="13" t="n"/>
      <c r="C199" s="13" t="n"/>
      <c r="D199" s="13" t="n"/>
      <c r="E199" s="38" t="n"/>
      <c r="F199" s="13" t="n"/>
    </row>
    <row r="200">
      <c r="A200" s="35" t="n"/>
      <c r="B200" s="13" t="n"/>
      <c r="C200" s="13" t="n"/>
      <c r="D200" s="13" t="n"/>
      <c r="E200" s="38" t="n"/>
      <c r="F200" s="13" t="n"/>
    </row>
    <row r="201">
      <c r="A201" s="35" t="n"/>
      <c r="B201" s="13" t="n"/>
      <c r="C201" s="13" t="n"/>
      <c r="D201" s="13" t="n"/>
      <c r="E201" s="38" t="n"/>
      <c r="F201" s="13" t="n"/>
    </row>
    <row r="202">
      <c r="A202" s="35" t="n"/>
      <c r="B202" s="13" t="n"/>
      <c r="C202" s="13" t="n"/>
      <c r="D202" s="13" t="n"/>
      <c r="E202" s="38" t="n"/>
      <c r="F202" s="13" t="n"/>
    </row>
    <row r="203">
      <c r="A203" s="35" t="n"/>
      <c r="B203" s="13" t="n"/>
      <c r="C203" s="13" t="n"/>
      <c r="D203" s="13" t="n"/>
      <c r="E203" s="38" t="n"/>
      <c r="F203" s="13" t="n"/>
    </row>
    <row r="204">
      <c r="A204" s="35" t="n"/>
      <c r="B204" s="13" t="n"/>
      <c r="C204" s="13" t="n"/>
      <c r="D204" s="13" t="n"/>
      <c r="E204" s="38" t="n"/>
      <c r="F204" s="13" t="n"/>
    </row>
    <row r="205">
      <c r="A205" s="35" t="n"/>
      <c r="B205" s="13" t="n"/>
      <c r="C205" s="13" t="n"/>
      <c r="D205" s="13" t="n"/>
      <c r="E205" s="38" t="n"/>
      <c r="F205" s="13" t="n"/>
    </row>
    <row r="206">
      <c r="A206" s="35" t="n"/>
      <c r="B206" s="13" t="n"/>
      <c r="C206" s="13" t="n"/>
      <c r="D206" s="13" t="n"/>
      <c r="E206" s="38" t="n"/>
      <c r="F206" s="13" t="n"/>
    </row>
    <row r="207">
      <c r="A207" s="35" t="n"/>
      <c r="B207" s="13" t="n"/>
      <c r="C207" s="13" t="n"/>
      <c r="D207" s="13" t="n"/>
      <c r="E207" s="38" t="n"/>
      <c r="F207" s="13" t="n"/>
    </row>
    <row r="208">
      <c r="A208" s="35" t="n"/>
      <c r="B208" s="13" t="n"/>
      <c r="C208" s="13" t="n"/>
      <c r="D208" s="13" t="n"/>
      <c r="E208" s="38" t="n"/>
      <c r="F208" s="13" t="n"/>
    </row>
    <row r="209">
      <c r="A209" s="35" t="n"/>
      <c r="B209" s="13" t="n"/>
      <c r="C209" s="13" t="n"/>
      <c r="D209" s="13" t="n"/>
      <c r="E209" s="38" t="n"/>
      <c r="F209" s="13" t="n"/>
    </row>
    <row r="210">
      <c r="A210" s="35" t="n"/>
      <c r="B210" s="13" t="n"/>
      <c r="C210" s="13" t="n"/>
      <c r="D210" s="13" t="n"/>
      <c r="E210" s="38" t="n"/>
      <c r="F210" s="13" t="n"/>
    </row>
    <row r="211">
      <c r="A211" s="35" t="n"/>
      <c r="B211" s="13" t="n"/>
      <c r="C211" s="13" t="n"/>
      <c r="D211" s="13" t="n"/>
      <c r="E211" s="38" t="n"/>
      <c r="F211" s="13" t="n"/>
    </row>
    <row r="212">
      <c r="A212" s="35" t="n"/>
      <c r="B212" s="13" t="n"/>
      <c r="C212" s="13" t="n"/>
      <c r="D212" s="13" t="n"/>
      <c r="E212" s="38" t="n"/>
      <c r="F212" s="13" t="n"/>
    </row>
    <row r="213">
      <c r="A213" s="35" t="n"/>
      <c r="B213" s="13" t="n"/>
      <c r="C213" s="13" t="n"/>
      <c r="D213" s="13" t="n"/>
      <c r="E213" s="38" t="n"/>
      <c r="F213" s="13" t="n"/>
    </row>
    <row r="214">
      <c r="A214" s="35" t="n"/>
      <c r="B214" s="13" t="n"/>
      <c r="C214" s="13" t="n"/>
      <c r="D214" s="13" t="n"/>
      <c r="E214" s="38" t="n"/>
      <c r="F214" s="13" t="n"/>
    </row>
    <row r="215">
      <c r="A215" s="35" t="n"/>
      <c r="B215" s="13" t="n"/>
      <c r="C215" s="13" t="n"/>
      <c r="D215" s="13" t="n"/>
      <c r="E215" s="38" t="n"/>
      <c r="F215" s="13" t="n"/>
    </row>
    <row r="216">
      <c r="A216" s="35" t="n"/>
      <c r="B216" s="13" t="n"/>
      <c r="C216" s="13" t="n"/>
      <c r="D216" s="13" t="n"/>
      <c r="E216" s="38" t="n"/>
      <c r="F216" s="13" t="n"/>
    </row>
    <row r="217">
      <c r="A217" s="35" t="n"/>
      <c r="B217" s="13" t="n"/>
      <c r="C217" s="13" t="n"/>
      <c r="D217" s="13" t="n"/>
      <c r="E217" s="38" t="n"/>
      <c r="F217" s="13" t="n"/>
    </row>
    <row r="218">
      <c r="A218" s="35" t="n"/>
      <c r="B218" s="13" t="n"/>
      <c r="C218" s="13" t="n"/>
      <c r="D218" s="13" t="n"/>
      <c r="E218" s="38" t="n"/>
      <c r="F218" s="13" t="n"/>
    </row>
    <row r="219">
      <c r="A219" s="35" t="n"/>
      <c r="B219" s="13" t="n"/>
      <c r="C219" s="13" t="n"/>
      <c r="D219" s="13" t="n"/>
      <c r="E219" s="38" t="n"/>
      <c r="F219" s="13" t="n"/>
    </row>
    <row r="220">
      <c r="A220" s="35" t="n"/>
      <c r="B220" s="13" t="n"/>
      <c r="C220" s="13" t="n"/>
      <c r="D220" s="13" t="n"/>
      <c r="E220" s="38" t="n"/>
      <c r="F220" s="13" t="n"/>
    </row>
    <row r="221">
      <c r="A221" s="35" t="n"/>
      <c r="B221" s="13" t="n"/>
      <c r="C221" s="13" t="n"/>
      <c r="D221" s="13" t="n"/>
      <c r="E221" s="38" t="n"/>
      <c r="F221" s="13" t="n"/>
    </row>
    <row r="222">
      <c r="A222" s="35" t="n"/>
      <c r="B222" s="13" t="n"/>
      <c r="C222" s="13" t="n"/>
      <c r="D222" s="13" t="n"/>
      <c r="E222" s="38" t="n"/>
      <c r="F222" s="13" t="n"/>
    </row>
    <row r="223">
      <c r="A223" s="35" t="n"/>
      <c r="B223" s="13" t="n"/>
      <c r="C223" s="13" t="n"/>
      <c r="D223" s="13" t="n"/>
      <c r="E223" s="38" t="n"/>
      <c r="F223" s="13" t="n"/>
    </row>
    <row r="224">
      <c r="A224" s="35" t="n"/>
      <c r="B224" s="13" t="n"/>
      <c r="C224" s="13" t="n"/>
      <c r="D224" s="13" t="n"/>
      <c r="E224" s="38" t="n"/>
      <c r="F224" s="13" t="n"/>
    </row>
    <row r="225">
      <c r="A225" s="35" t="n"/>
      <c r="B225" s="13" t="n"/>
      <c r="C225" s="13" t="n"/>
      <c r="D225" s="13" t="n"/>
      <c r="E225" s="38" t="n"/>
      <c r="F225" s="13" t="n"/>
    </row>
    <row r="226">
      <c r="A226" s="35" t="n"/>
      <c r="B226" s="13" t="n"/>
      <c r="C226" s="13" t="n"/>
      <c r="D226" s="13" t="n"/>
      <c r="E226" s="38" t="n"/>
      <c r="F226" s="13" t="n"/>
    </row>
    <row r="227">
      <c r="A227" s="35" t="n"/>
      <c r="B227" s="13" t="n"/>
      <c r="C227" s="13" t="n"/>
      <c r="D227" s="13" t="n"/>
      <c r="E227" s="38" t="n"/>
      <c r="F227" s="13" t="n"/>
    </row>
    <row r="228">
      <c r="A228" s="35" t="n"/>
      <c r="B228" s="13" t="n"/>
      <c r="C228" s="13" t="n"/>
      <c r="D228" s="13" t="n"/>
      <c r="E228" s="38" t="n"/>
      <c r="F228" s="13" t="n"/>
    </row>
    <row r="229">
      <c r="A229" s="35" t="n"/>
      <c r="B229" s="13" t="n"/>
      <c r="C229" s="13" t="n"/>
      <c r="D229" s="13" t="n"/>
      <c r="E229" s="38" t="n"/>
      <c r="F229" s="13" t="n"/>
    </row>
    <row r="230">
      <c r="A230" s="35" t="n"/>
      <c r="B230" s="13" t="n"/>
      <c r="C230" s="13" t="n"/>
      <c r="D230" s="13" t="n"/>
      <c r="E230" s="38" t="n"/>
      <c r="F230" s="13" t="n"/>
    </row>
    <row r="231">
      <c r="A231" s="35" t="n"/>
      <c r="B231" s="13" t="n"/>
      <c r="C231" s="13" t="n"/>
      <c r="D231" s="13" t="n"/>
      <c r="E231" s="38" t="n"/>
      <c r="F231" s="13" t="n"/>
    </row>
    <row r="232">
      <c r="A232" s="35" t="n"/>
      <c r="B232" s="13" t="n"/>
      <c r="C232" s="13" t="n"/>
      <c r="D232" s="13" t="n"/>
      <c r="E232" s="38" t="n"/>
      <c r="F232" s="13" t="n"/>
    </row>
    <row r="233">
      <c r="A233" s="35" t="n"/>
      <c r="B233" s="13" t="n"/>
      <c r="C233" s="13" t="n"/>
      <c r="D233" s="13" t="n"/>
      <c r="E233" s="38" t="n"/>
      <c r="F233" s="13" t="n"/>
    </row>
    <row r="234">
      <c r="A234" s="35" t="n"/>
      <c r="B234" s="13" t="n"/>
      <c r="C234" s="13" t="n"/>
      <c r="D234" s="13" t="n"/>
      <c r="E234" s="38" t="n"/>
      <c r="F234" s="13" t="n"/>
    </row>
    <row r="235">
      <c r="A235" s="35" t="n"/>
      <c r="B235" s="13" t="n"/>
      <c r="C235" s="13" t="n"/>
      <c r="D235" s="13" t="n"/>
      <c r="E235" s="38" t="n"/>
      <c r="F235" s="13" t="n"/>
    </row>
    <row r="236">
      <c r="A236" s="35" t="n"/>
      <c r="B236" s="13" t="n"/>
      <c r="C236" s="13" t="n"/>
      <c r="D236" s="13" t="n"/>
      <c r="E236" s="38" t="n"/>
      <c r="F236" s="13" t="n"/>
    </row>
    <row r="237">
      <c r="A237" s="35" t="n"/>
      <c r="B237" s="13" t="n"/>
      <c r="C237" s="13" t="n"/>
      <c r="D237" s="13" t="n"/>
      <c r="E237" s="38" t="n"/>
      <c r="F237" s="13" t="n"/>
    </row>
    <row r="238">
      <c r="A238" s="35" t="n"/>
      <c r="B238" s="13" t="n"/>
      <c r="C238" s="13" t="n"/>
      <c r="D238" s="13" t="n"/>
      <c r="E238" s="38" t="n"/>
      <c r="F238" s="13" t="n"/>
    </row>
    <row r="239">
      <c r="A239" s="35" t="n"/>
      <c r="B239" s="13" t="n"/>
      <c r="C239" s="13" t="n"/>
      <c r="D239" s="13" t="n"/>
      <c r="E239" s="38" t="n"/>
      <c r="F239" s="13" t="n"/>
    </row>
    <row r="240">
      <c r="A240" s="35" t="n"/>
      <c r="B240" s="13" t="n"/>
      <c r="C240" s="13" t="n"/>
      <c r="D240" s="13" t="n"/>
      <c r="E240" s="38" t="n"/>
      <c r="F240" s="13" t="n"/>
    </row>
    <row r="241">
      <c r="A241" s="35" t="n"/>
      <c r="B241" s="13" t="n"/>
      <c r="C241" s="13" t="n"/>
      <c r="D241" s="13" t="n"/>
      <c r="E241" s="38" t="n"/>
      <c r="F241" s="13" t="n"/>
    </row>
    <row r="242">
      <c r="A242" s="35" t="n"/>
      <c r="B242" s="13" t="n"/>
      <c r="C242" s="13" t="n"/>
      <c r="D242" s="13" t="n"/>
      <c r="E242" s="38" t="n"/>
      <c r="F242" s="13" t="n"/>
    </row>
    <row r="243">
      <c r="A243" s="35" t="n"/>
      <c r="B243" s="13" t="n"/>
      <c r="C243" s="13" t="n"/>
      <c r="D243" s="13" t="n"/>
      <c r="E243" s="38" t="n"/>
      <c r="F243" s="13" t="n"/>
    </row>
    <row r="244">
      <c r="A244" s="35" t="n"/>
      <c r="B244" s="13" t="n"/>
      <c r="C244" s="13" t="n"/>
      <c r="D244" s="13" t="n"/>
      <c r="E244" s="38" t="n"/>
      <c r="F244" s="13" t="n"/>
    </row>
    <row r="245">
      <c r="A245" s="35" t="n"/>
      <c r="B245" s="13" t="n"/>
      <c r="C245" s="13" t="n"/>
      <c r="D245" s="13" t="n"/>
      <c r="E245" s="38" t="n"/>
      <c r="F245" s="13" t="n"/>
    </row>
    <row r="246">
      <c r="A246" s="35" t="n"/>
      <c r="B246" s="13" t="n"/>
      <c r="C246" s="13" t="n"/>
      <c r="D246" s="13" t="n"/>
      <c r="E246" s="38" t="n"/>
      <c r="F246" s="13" t="n"/>
    </row>
    <row r="247">
      <c r="A247" s="35" t="n"/>
      <c r="B247" s="13" t="n"/>
      <c r="C247" s="13" t="n"/>
      <c r="D247" s="13" t="n"/>
      <c r="E247" s="38" t="n"/>
      <c r="F247" s="13" t="n"/>
    </row>
    <row r="248">
      <c r="A248" s="35" t="n"/>
      <c r="B248" s="13" t="n"/>
      <c r="C248" s="13" t="n"/>
      <c r="D248" s="13" t="n"/>
      <c r="E248" s="38" t="n"/>
      <c r="F248" s="13" t="n"/>
    </row>
    <row r="249">
      <c r="A249" s="35" t="n"/>
      <c r="B249" s="13" t="n"/>
      <c r="C249" s="13" t="n"/>
      <c r="D249" s="13" t="n"/>
      <c r="E249" s="38" t="n"/>
      <c r="F249" s="13" t="n"/>
    </row>
    <row r="250">
      <c r="A250" s="35" t="n"/>
      <c r="B250" s="13" t="n"/>
      <c r="C250" s="13" t="n"/>
      <c r="D250" s="13" t="n"/>
      <c r="E250" s="38" t="n"/>
      <c r="F250" s="13" t="n"/>
    </row>
    <row r="251">
      <c r="A251" s="35" t="n"/>
      <c r="B251" s="13" t="n"/>
      <c r="C251" s="13" t="n"/>
      <c r="D251" s="13" t="n"/>
      <c r="E251" s="38" t="n"/>
      <c r="F251" s="13" t="n"/>
    </row>
    <row r="252">
      <c r="A252" s="35" t="n"/>
      <c r="B252" s="13" t="n"/>
      <c r="C252" s="13" t="n"/>
      <c r="D252" s="13" t="n"/>
      <c r="E252" s="38" t="n"/>
      <c r="F252" s="13" t="n"/>
    </row>
    <row r="253">
      <c r="A253" s="35" t="n"/>
      <c r="B253" s="13" t="n"/>
      <c r="C253" s="13" t="n"/>
      <c r="D253" s="13" t="n"/>
      <c r="E253" s="38" t="n"/>
      <c r="F253" s="13" t="n"/>
    </row>
    <row r="254">
      <c r="A254" s="35" t="n"/>
      <c r="B254" s="13" t="n"/>
      <c r="C254" s="13" t="n"/>
      <c r="D254" s="13" t="n"/>
      <c r="E254" s="38" t="n"/>
      <c r="F254" s="13" t="n"/>
    </row>
    <row r="255">
      <c r="A255" s="35" t="n"/>
      <c r="B255" s="13" t="n"/>
      <c r="C255" s="13" t="n"/>
      <c r="D255" s="13" t="n"/>
      <c r="E255" s="38" t="n"/>
      <c r="F255" s="13" t="n"/>
    </row>
    <row r="256">
      <c r="A256" s="35" t="n"/>
      <c r="B256" s="13" t="n"/>
      <c r="C256" s="13" t="n"/>
      <c r="D256" s="13" t="n"/>
      <c r="E256" s="38" t="n"/>
      <c r="F256" s="13" t="n"/>
    </row>
    <row r="257">
      <c r="A257" s="35" t="n"/>
      <c r="B257" s="13" t="n"/>
      <c r="C257" s="13" t="n"/>
      <c r="D257" s="13" t="n"/>
      <c r="E257" s="38" t="n"/>
      <c r="F257" s="13" t="n"/>
    </row>
    <row r="258">
      <c r="A258" s="35" t="n"/>
      <c r="B258" s="13" t="n"/>
      <c r="C258" s="13" t="n"/>
      <c r="D258" s="13" t="n"/>
      <c r="E258" s="38" t="n"/>
      <c r="F258" s="13" t="n"/>
    </row>
    <row r="259">
      <c r="A259" s="35" t="n"/>
      <c r="B259" s="13" t="n"/>
      <c r="C259" s="13" t="n"/>
      <c r="D259" s="13" t="n"/>
      <c r="E259" s="38" t="n"/>
      <c r="F259" s="13" t="n"/>
    </row>
    <row r="260">
      <c r="A260" s="35" t="n"/>
      <c r="B260" s="13" t="n"/>
      <c r="C260" s="13" t="n"/>
      <c r="D260" s="13" t="n"/>
      <c r="E260" s="38" t="n"/>
      <c r="F260" s="13" t="n"/>
    </row>
    <row r="261">
      <c r="A261" s="35" t="n"/>
      <c r="B261" s="13" t="n"/>
      <c r="C261" s="13" t="n"/>
      <c r="D261" s="13" t="n"/>
      <c r="E261" s="38" t="n"/>
      <c r="F261" s="13" t="n"/>
    </row>
    <row r="262">
      <c r="A262" s="35" t="n"/>
      <c r="B262" s="13" t="n"/>
      <c r="C262" s="13" t="n"/>
      <c r="D262" s="13" t="n"/>
      <c r="E262" s="38" t="n"/>
      <c r="F262" s="13" t="n"/>
    </row>
    <row r="263">
      <c r="A263" s="35" t="n"/>
      <c r="B263" s="13" t="n"/>
      <c r="C263" s="13" t="n"/>
      <c r="D263" s="13" t="n"/>
      <c r="E263" s="38" t="n"/>
      <c r="F263" s="13" t="n"/>
    </row>
    <row r="264">
      <c r="A264" s="35" t="n"/>
      <c r="B264" s="13" t="n"/>
      <c r="C264" s="13" t="n"/>
      <c r="D264" s="13" t="n"/>
      <c r="E264" s="38" t="n"/>
      <c r="F264" s="13" t="n"/>
    </row>
    <row r="265">
      <c r="A265" s="35" t="n"/>
      <c r="B265" s="13" t="n"/>
      <c r="C265" s="13" t="n"/>
      <c r="D265" s="13" t="n"/>
      <c r="E265" s="38" t="n"/>
      <c r="F265" s="13" t="n"/>
    </row>
    <row r="266">
      <c r="A266" s="35" t="n"/>
      <c r="B266" s="13" t="n"/>
      <c r="C266" s="13" t="n"/>
      <c r="D266" s="13" t="n"/>
      <c r="E266" s="38" t="n"/>
      <c r="F266" s="13" t="n"/>
    </row>
    <row r="267">
      <c r="A267" s="35" t="n"/>
      <c r="B267" s="13" t="n"/>
      <c r="C267" s="13" t="n"/>
      <c r="D267" s="13" t="n"/>
      <c r="E267" s="38" t="n"/>
      <c r="F267" s="13" t="n"/>
    </row>
    <row r="268">
      <c r="A268" s="35" t="n"/>
      <c r="B268" s="13" t="n"/>
      <c r="C268" s="13" t="n"/>
      <c r="D268" s="13" t="n"/>
      <c r="E268" s="38" t="n"/>
      <c r="F268" s="13" t="n"/>
    </row>
    <row r="269">
      <c r="A269" s="35" t="n"/>
      <c r="B269" s="13" t="n"/>
      <c r="C269" s="13" t="n"/>
      <c r="D269" s="13" t="n"/>
      <c r="E269" s="38" t="n"/>
      <c r="F269" s="13" t="n"/>
    </row>
    <row r="270">
      <c r="A270" s="35" t="n"/>
      <c r="B270" s="13" t="n"/>
      <c r="C270" s="13" t="n"/>
      <c r="D270" s="13" t="n"/>
      <c r="E270" s="38" t="n"/>
      <c r="F270" s="13" t="n"/>
    </row>
    <row r="271">
      <c r="A271" s="35" t="n"/>
      <c r="B271" s="13" t="n"/>
      <c r="C271" s="13" t="n"/>
      <c r="D271" s="13" t="n"/>
      <c r="E271" s="38" t="n"/>
      <c r="F271" s="13" t="n"/>
    </row>
    <row r="272">
      <c r="A272" s="35" t="n"/>
      <c r="B272" s="13" t="n"/>
      <c r="C272" s="13" t="n"/>
      <c r="D272" s="13" t="n"/>
      <c r="E272" s="38" t="n"/>
      <c r="F272" s="13" t="n"/>
    </row>
    <row r="273">
      <c r="A273" s="35" t="n"/>
      <c r="B273" s="13" t="n"/>
      <c r="C273" s="13" t="n"/>
      <c r="D273" s="13" t="n"/>
      <c r="E273" s="38" t="n"/>
      <c r="F273" s="13" t="n"/>
    </row>
    <row r="274">
      <c r="A274" s="35" t="n"/>
      <c r="B274" s="13" t="n"/>
      <c r="C274" s="13" t="n"/>
      <c r="D274" s="13" t="n"/>
      <c r="E274" s="38" t="n"/>
      <c r="F274" s="13" t="n"/>
    </row>
    <row r="275">
      <c r="A275" s="35" t="n"/>
      <c r="B275" s="13" t="n"/>
      <c r="C275" s="13" t="n"/>
      <c r="D275" s="13" t="n"/>
      <c r="E275" s="38" t="n"/>
      <c r="F275" s="13" t="n"/>
    </row>
    <row r="276">
      <c r="A276" s="35" t="n"/>
      <c r="B276" s="13" t="n"/>
      <c r="C276" s="13" t="n"/>
      <c r="D276" s="13" t="n"/>
      <c r="E276" s="38" t="n"/>
      <c r="F276" s="13" t="n"/>
    </row>
    <row r="277">
      <c r="A277" s="35" t="n"/>
      <c r="B277" s="13" t="n"/>
      <c r="C277" s="13" t="n"/>
      <c r="D277" s="13" t="n"/>
      <c r="E277" s="38" t="n"/>
      <c r="F277" s="13" t="n"/>
    </row>
    <row r="278">
      <c r="A278" s="35" t="n"/>
      <c r="B278" s="13" t="n"/>
      <c r="C278" s="13" t="n"/>
      <c r="D278" s="13" t="n"/>
      <c r="E278" s="38" t="n"/>
      <c r="F278" s="13" t="n"/>
    </row>
    <row r="279">
      <c r="A279" s="35" t="n"/>
      <c r="B279" s="13" t="n"/>
      <c r="C279" s="13" t="n"/>
      <c r="D279" s="13" t="n"/>
      <c r="E279" s="38" t="n"/>
      <c r="F279" s="13" t="n"/>
    </row>
    <row r="280">
      <c r="A280" s="35" t="n"/>
      <c r="B280" s="13" t="n"/>
      <c r="C280" s="13" t="n"/>
      <c r="D280" s="13" t="n"/>
      <c r="E280" s="38" t="n"/>
      <c r="F280" s="13" t="n"/>
    </row>
    <row r="281">
      <c r="A281" s="35" t="n"/>
      <c r="B281" s="13" t="n"/>
      <c r="C281" s="13" t="n"/>
      <c r="D281" s="13" t="n"/>
      <c r="E281" s="38" t="n"/>
      <c r="F281" s="13" t="n"/>
    </row>
    <row r="282">
      <c r="A282" s="35" t="n"/>
      <c r="B282" s="13" t="n"/>
      <c r="C282" s="13" t="n"/>
      <c r="D282" s="13" t="n"/>
      <c r="E282" s="38" t="n"/>
      <c r="F282" s="13" t="n"/>
    </row>
    <row r="283">
      <c r="A283" s="35" t="n"/>
      <c r="B283" s="13" t="n"/>
      <c r="C283" s="13" t="n"/>
      <c r="D283" s="13" t="n"/>
      <c r="E283" s="38" t="n"/>
      <c r="F283" s="13" t="n"/>
    </row>
    <row r="284">
      <c r="A284" s="35" t="n"/>
      <c r="B284" s="13" t="n"/>
      <c r="C284" s="13" t="n"/>
      <c r="D284" s="13" t="n"/>
      <c r="E284" s="38" t="n"/>
      <c r="F284" s="13" t="n"/>
    </row>
    <row r="285">
      <c r="A285" s="35" t="n"/>
      <c r="B285" s="13" t="n"/>
      <c r="C285" s="13" t="n"/>
      <c r="D285" s="13" t="n"/>
      <c r="E285" s="38" t="n"/>
      <c r="F285" s="13" t="n"/>
    </row>
    <row r="286">
      <c r="A286" s="35" t="n"/>
      <c r="B286" s="13" t="n"/>
      <c r="C286" s="13" t="n"/>
      <c r="D286" s="13" t="n"/>
      <c r="E286" s="38" t="n"/>
      <c r="F286" s="13" t="n"/>
    </row>
    <row r="287">
      <c r="A287" s="35" t="n"/>
      <c r="B287" s="13" t="n"/>
      <c r="C287" s="13" t="n"/>
      <c r="D287" s="13" t="n"/>
      <c r="E287" s="38" t="n"/>
      <c r="F287" s="13" t="n"/>
    </row>
    <row r="288">
      <c r="A288" s="35" t="n"/>
      <c r="B288" s="13" t="n"/>
      <c r="C288" s="13" t="n"/>
      <c r="D288" s="13" t="n"/>
      <c r="E288" s="38" t="n"/>
      <c r="F288" s="13" t="n"/>
    </row>
    <row r="289">
      <c r="A289" s="35" t="n"/>
      <c r="B289" s="13" t="n"/>
      <c r="C289" s="13" t="n"/>
      <c r="D289" s="13" t="n"/>
      <c r="E289" s="38" t="n"/>
      <c r="F289" s="13" t="n"/>
    </row>
    <row r="290">
      <c r="A290" s="35" t="n"/>
      <c r="B290" s="13" t="n"/>
      <c r="C290" s="13" t="n"/>
      <c r="D290" s="13" t="n"/>
      <c r="E290" s="38" t="n"/>
      <c r="F290" s="13" t="n"/>
    </row>
    <row r="291">
      <c r="A291" s="35" t="n"/>
      <c r="B291" s="13" t="n"/>
      <c r="C291" s="13" t="n"/>
      <c r="D291" s="13" t="n"/>
      <c r="E291" s="38" t="n"/>
      <c r="F291" s="13" t="n"/>
    </row>
    <row r="292">
      <c r="A292" s="35" t="n"/>
      <c r="B292" s="13" t="n"/>
      <c r="C292" s="13" t="n"/>
      <c r="D292" s="13" t="n"/>
      <c r="E292" s="38" t="n"/>
      <c r="F292" s="13" t="n"/>
    </row>
    <row r="293">
      <c r="A293" s="35" t="n"/>
      <c r="B293" s="13" t="n"/>
      <c r="C293" s="13" t="n"/>
      <c r="D293" s="13" t="n"/>
      <c r="E293" s="38" t="n"/>
      <c r="F293" s="13" t="n"/>
    </row>
    <row r="294">
      <c r="A294" s="35" t="n"/>
      <c r="B294" s="13" t="n"/>
      <c r="C294" s="13" t="n"/>
      <c r="D294" s="13" t="n"/>
      <c r="E294" s="38" t="n"/>
      <c r="F294" s="13" t="n"/>
    </row>
    <row r="295">
      <c r="A295" s="35" t="n"/>
      <c r="B295" s="13" t="n"/>
      <c r="C295" s="13" t="n"/>
      <c r="D295" s="13" t="n"/>
      <c r="E295" s="38" t="n"/>
      <c r="F295" s="13" t="n"/>
    </row>
    <row r="296">
      <c r="A296" s="35" t="n"/>
      <c r="B296" s="13" t="n"/>
      <c r="C296" s="13" t="n"/>
      <c r="D296" s="13" t="n"/>
      <c r="E296" s="38" t="n"/>
      <c r="F296" s="13" t="n"/>
    </row>
    <row r="297">
      <c r="A297" s="35" t="n"/>
      <c r="B297" s="13" t="n"/>
      <c r="C297" s="13" t="n"/>
      <c r="D297" s="13" t="n"/>
      <c r="E297" s="38" t="n"/>
      <c r="F297" s="13" t="n"/>
    </row>
    <row r="298">
      <c r="A298" s="35" t="n"/>
      <c r="B298" s="13" t="n"/>
      <c r="C298" s="13" t="n"/>
      <c r="D298" s="13" t="n"/>
      <c r="E298" s="38" t="n"/>
      <c r="F298" s="13" t="n"/>
    </row>
    <row r="299">
      <c r="A299" s="35" t="n"/>
      <c r="B299" s="13" t="n"/>
      <c r="C299" s="13" t="n"/>
      <c r="D299" s="13" t="n"/>
      <c r="E299" s="38" t="n"/>
      <c r="F299" s="13" t="n"/>
    </row>
    <row r="300">
      <c r="A300" s="35" t="n"/>
      <c r="B300" s="13" t="n"/>
      <c r="C300" s="13" t="n"/>
      <c r="D300" s="13" t="n"/>
      <c r="E300" s="38" t="n"/>
      <c r="F300" s="13" t="n"/>
    </row>
    <row r="301">
      <c r="A301" s="35" t="n"/>
      <c r="B301" s="13" t="n"/>
      <c r="C301" s="13" t="n"/>
      <c r="D301" s="13" t="n"/>
      <c r="E301" s="38" t="n"/>
      <c r="F301" s="13" t="n"/>
    </row>
    <row r="302">
      <c r="A302" s="35" t="n"/>
      <c r="B302" s="13" t="n"/>
      <c r="C302" s="13" t="n"/>
      <c r="D302" s="13" t="n"/>
      <c r="E302" s="38" t="n"/>
      <c r="F302" s="13" t="n"/>
    </row>
    <row r="303">
      <c r="A303" s="35" t="n"/>
      <c r="B303" s="13" t="n"/>
      <c r="C303" s="13" t="n"/>
      <c r="D303" s="13" t="n"/>
      <c r="E303" s="38" t="n"/>
      <c r="F303" s="13" t="n"/>
    </row>
    <row r="304">
      <c r="A304" s="35" t="n"/>
      <c r="B304" s="13" t="n"/>
      <c r="C304" s="13" t="n"/>
      <c r="D304" s="13" t="n"/>
      <c r="E304" s="38" t="n"/>
      <c r="F304" s="13" t="n"/>
    </row>
  </sheetData>
  <autoFilter ref="A4:F304"/>
  <dataValidations count="2">
    <dataValidation sqref="B5:B304" showDropDown="0" showInputMessage="0" showErrorMessage="0" allowBlank="1" errorTitle="Valoare neacceptată" error="Valoare în afara listei permise. Alege din listă sau completează lista de valori." type="list">
      <formula1>='90_LISTE'!$L$2:$L$5</formula1>
    </dataValidation>
    <dataValidation sqref="D5:D304" showDropDown="0" showInputMessage="0" showErrorMessage="0" allowBlank="1" errorTitle="Valoare neacceptată" error="Valoare în afara listei permise. Alege din listă sau completează lista de valori." type="list">
      <formula1>='90_LISTE'!$K$2:$K$4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8" customWidth="1" min="5" max="5"/>
    <col width="13" customWidth="1" min="6" max="6"/>
    <col width="12" customWidth="1" min="7" max="7"/>
    <col width="34" customWidth="1" min="8" max="8"/>
    <col width="16" customWidth="1" min="9" max="9"/>
    <col width="14" customWidth="1" min="10" max="10"/>
    <col width="13" customWidth="1" min="11" max="11"/>
    <col width="18" customWidth="1" min="12" max="12"/>
    <col width="15" customWidth="1" min="13" max="13"/>
  </cols>
  <sheetData>
    <row r="1" ht="26" customHeight="1">
      <c r="A1" s="1" t="inlineStr">
        <is>
          <t>15 — NPS / FEEDBACK CLIENȚI</t>
        </is>
      </c>
    </row>
    <row r="2" ht="16" customHeight="1">
      <c r="A2" s="2" t="inlineStr">
        <is>
          <t>Galben = se completează. Gri = calculat automat, nu suprascrie.</t>
        </is>
      </c>
    </row>
    <row r="3"/>
    <row r="4" ht="34" customHeight="1">
      <c r="A4" s="15" t="inlineStr">
        <is>
          <t>ID răspuns
Response_ID</t>
        </is>
      </c>
      <c r="B4" s="15" t="inlineStr">
        <is>
          <t>Data răspunsului
Survey_Date</t>
        </is>
      </c>
      <c r="C4" s="15" t="inlineStr">
        <is>
          <t>ID client
Customer_ID</t>
        </is>
      </c>
      <c r="D4" s="15" t="inlineStr">
        <is>
          <t>Nume respondent
Respondent_Name</t>
        </is>
      </c>
      <c r="E4" s="15" t="inlineStr">
        <is>
          <t>Rol respondent
Respondent_Role</t>
        </is>
      </c>
      <c r="F4" s="15" t="inlineStr">
        <is>
          <t>Scor NPS (0-10)
Score</t>
        </is>
      </c>
      <c r="G4" s="15" t="inlineStr">
        <is>
          <t>Categorie
NPS_Category</t>
        </is>
      </c>
      <c r="H4" s="15" t="inlineStr">
        <is>
          <t>Motivul scorului
Reason</t>
        </is>
      </c>
      <c r="I4" s="15" t="inlineStr">
        <is>
          <t>Temă
Theme</t>
        </is>
      </c>
      <c r="J4" s="15" t="inlineStr">
        <is>
          <t>Canal colectare
Channel</t>
        </is>
      </c>
      <c r="K4" s="15" t="inlineStr">
        <is>
          <t>Val / campanie
Survey_Wave</t>
        </is>
      </c>
      <c r="L4" s="15" t="inlineStr">
        <is>
          <t>Responsabil follow-up
Follow_Up_Owner</t>
        </is>
      </c>
      <c r="M4" s="15" t="inlineStr">
        <is>
          <t>Status follow-up
Follow_Up_Status</t>
        </is>
      </c>
    </row>
    <row r="5">
      <c r="A5" s="13" t="inlineStr">
        <is>
          <t>R0001</t>
        </is>
      </c>
      <c r="B5" s="35" t="n">
        <v>46063</v>
      </c>
      <c r="C5" s="13" t="inlineStr">
        <is>
          <t>C001</t>
        </is>
      </c>
      <c r="D5" s="13" t="inlineStr">
        <is>
          <t>Mihai I.</t>
        </is>
      </c>
      <c r="E5" s="13" t="inlineStr">
        <is>
          <t>Decident</t>
        </is>
      </c>
      <c r="F5" s="38" t="n">
        <v>9</v>
      </c>
      <c r="G5" s="39">
        <f>IF($F5="","",IF($F5&gt;=9,"Promotor",IF($F5&gt;=7,"Pasiv","Detractor")))</f>
        <v/>
      </c>
      <c r="H5" s="13" t="inlineStr">
        <is>
          <t>Relație bună, livrări la timp</t>
        </is>
      </c>
      <c r="I5" s="13" t="inlineStr">
        <is>
          <t>Relație</t>
        </is>
      </c>
      <c r="J5" s="13" t="inlineStr">
        <is>
          <t>Email</t>
        </is>
      </c>
      <c r="K5" s="13" t="inlineStr">
        <is>
          <t>2026-T1</t>
        </is>
      </c>
      <c r="L5" s="13" t="inlineStr">
        <is>
          <t>S001</t>
        </is>
      </c>
      <c r="M5" s="13" t="inlineStr">
        <is>
          <t>Neînceput</t>
        </is>
      </c>
    </row>
    <row r="6">
      <c r="A6" s="13" t="inlineStr">
        <is>
          <t>R0002</t>
        </is>
      </c>
      <c r="B6" s="35" t="n">
        <v>46065</v>
      </c>
      <c r="C6" s="13" t="inlineStr">
        <is>
          <t>C002</t>
        </is>
      </c>
      <c r="D6" s="13" t="inlineStr">
        <is>
          <t>Ioana R.</t>
        </is>
      </c>
      <c r="E6" s="13" t="inlineStr">
        <is>
          <t>Utilizator</t>
        </is>
      </c>
      <c r="F6" s="38" t="n">
        <v>5</v>
      </c>
      <c r="G6" s="39">
        <f>IF($F6="","",IF($F6&gt;=9,"Promotor",IF($F6&gt;=7,"Pasiv","Detractor")))</f>
        <v/>
      </c>
      <c r="H6" s="13" t="inlineStr">
        <is>
          <t>Întârzieri repetate la livrare</t>
        </is>
      </c>
      <c r="I6" s="13" t="inlineStr">
        <is>
          <t>Livrare</t>
        </is>
      </c>
      <c r="J6" s="13" t="inlineStr">
        <is>
          <t>Email</t>
        </is>
      </c>
      <c r="K6" s="13" t="inlineStr">
        <is>
          <t>2026-T1</t>
        </is>
      </c>
      <c r="L6" s="13" t="inlineStr">
        <is>
          <t>S002</t>
        </is>
      </c>
      <c r="M6" s="13" t="inlineStr">
        <is>
          <t>În lucru</t>
        </is>
      </c>
    </row>
    <row r="7">
      <c r="A7" s="13" t="n"/>
      <c r="B7" s="35" t="n"/>
      <c r="C7" s="13" t="n"/>
      <c r="D7" s="13" t="n"/>
      <c r="E7" s="13" t="n"/>
      <c r="F7" s="38" t="n"/>
      <c r="G7" s="39">
        <f>IF($F7="","",IF($F7&gt;=9,"Promotor",IF($F7&gt;=7,"Pasiv","Detractor")))</f>
        <v/>
      </c>
      <c r="H7" s="13" t="n"/>
      <c r="I7" s="13" t="n"/>
      <c r="J7" s="13" t="n"/>
      <c r="K7" s="13" t="n"/>
      <c r="L7" s="13" t="n"/>
      <c r="M7" s="13" t="n"/>
    </row>
    <row r="8">
      <c r="A8" s="13" t="n"/>
      <c r="B8" s="35" t="n"/>
      <c r="C8" s="13" t="n"/>
      <c r="D8" s="13" t="n"/>
      <c r="E8" s="13" t="n"/>
      <c r="F8" s="38" t="n"/>
      <c r="G8" s="39">
        <f>IF($F8="","",IF($F8&gt;=9,"Promotor",IF($F8&gt;=7,"Pasiv","Detractor")))</f>
        <v/>
      </c>
      <c r="H8" s="13" t="n"/>
      <c r="I8" s="13" t="n"/>
      <c r="J8" s="13" t="n"/>
      <c r="K8" s="13" t="n"/>
      <c r="L8" s="13" t="n"/>
      <c r="M8" s="13" t="n"/>
    </row>
    <row r="9">
      <c r="A9" s="13" t="n"/>
      <c r="B9" s="35" t="n"/>
      <c r="C9" s="13" t="n"/>
      <c r="D9" s="13" t="n"/>
      <c r="E9" s="13" t="n"/>
      <c r="F9" s="38" t="n"/>
      <c r="G9" s="39">
        <f>IF($F9="","",IF($F9&gt;=9,"Promotor",IF($F9&gt;=7,"Pasiv","Detractor")))</f>
        <v/>
      </c>
      <c r="H9" s="13" t="n"/>
      <c r="I9" s="13" t="n"/>
      <c r="J9" s="13" t="n"/>
      <c r="K9" s="13" t="n"/>
      <c r="L9" s="13" t="n"/>
      <c r="M9" s="13" t="n"/>
    </row>
    <row r="10">
      <c r="A10" s="13" t="n"/>
      <c r="B10" s="35" t="n"/>
      <c r="C10" s="13" t="n"/>
      <c r="D10" s="13" t="n"/>
      <c r="E10" s="13" t="n"/>
      <c r="F10" s="38" t="n"/>
      <c r="G10" s="39">
        <f>IF($F10="","",IF($F10&gt;=9,"Promotor",IF($F10&gt;=7,"Pasiv","Detractor")))</f>
        <v/>
      </c>
      <c r="H10" s="13" t="n"/>
      <c r="I10" s="13" t="n"/>
      <c r="J10" s="13" t="n"/>
      <c r="K10" s="13" t="n"/>
      <c r="L10" s="13" t="n"/>
      <c r="M10" s="13" t="n"/>
    </row>
    <row r="11">
      <c r="A11" s="13" t="n"/>
      <c r="B11" s="35" t="n"/>
      <c r="C11" s="13" t="n"/>
      <c r="D11" s="13" t="n"/>
      <c r="E11" s="13" t="n"/>
      <c r="F11" s="38" t="n"/>
      <c r="G11" s="39">
        <f>IF($F11="","",IF($F11&gt;=9,"Promotor",IF($F11&gt;=7,"Pasiv","Detractor")))</f>
        <v/>
      </c>
      <c r="H11" s="13" t="n"/>
      <c r="I11" s="13" t="n"/>
      <c r="J11" s="13" t="n"/>
      <c r="K11" s="13" t="n"/>
      <c r="L11" s="13" t="n"/>
      <c r="M11" s="13" t="n"/>
    </row>
    <row r="12">
      <c r="A12" s="13" t="n"/>
      <c r="B12" s="35" t="n"/>
      <c r="C12" s="13" t="n"/>
      <c r="D12" s="13" t="n"/>
      <c r="E12" s="13" t="n"/>
      <c r="F12" s="38" t="n"/>
      <c r="G12" s="39">
        <f>IF($F12="","",IF($F12&gt;=9,"Promotor",IF($F12&gt;=7,"Pasiv","Detractor")))</f>
        <v/>
      </c>
      <c r="H12" s="13" t="n"/>
      <c r="I12" s="13" t="n"/>
      <c r="J12" s="13" t="n"/>
      <c r="K12" s="13" t="n"/>
      <c r="L12" s="13" t="n"/>
      <c r="M12" s="13" t="n"/>
    </row>
    <row r="13">
      <c r="A13" s="13" t="n"/>
      <c r="B13" s="35" t="n"/>
      <c r="C13" s="13" t="n"/>
      <c r="D13" s="13" t="n"/>
      <c r="E13" s="13" t="n"/>
      <c r="F13" s="38" t="n"/>
      <c r="G13" s="39">
        <f>IF($F13="","",IF($F13&gt;=9,"Promotor",IF($F13&gt;=7,"Pasiv","Detractor")))</f>
        <v/>
      </c>
      <c r="H13" s="13" t="n"/>
      <c r="I13" s="13" t="n"/>
      <c r="J13" s="13" t="n"/>
      <c r="K13" s="13" t="n"/>
      <c r="L13" s="13" t="n"/>
      <c r="M13" s="13" t="n"/>
    </row>
    <row r="14">
      <c r="A14" s="13" t="n"/>
      <c r="B14" s="35" t="n"/>
      <c r="C14" s="13" t="n"/>
      <c r="D14" s="13" t="n"/>
      <c r="E14" s="13" t="n"/>
      <c r="F14" s="38" t="n"/>
      <c r="G14" s="39">
        <f>IF($F14="","",IF($F14&gt;=9,"Promotor",IF($F14&gt;=7,"Pasiv","Detractor")))</f>
        <v/>
      </c>
      <c r="H14" s="13" t="n"/>
      <c r="I14" s="13" t="n"/>
      <c r="J14" s="13" t="n"/>
      <c r="K14" s="13" t="n"/>
      <c r="L14" s="13" t="n"/>
      <c r="M14" s="13" t="n"/>
    </row>
    <row r="15">
      <c r="A15" s="13" t="n"/>
      <c r="B15" s="35" t="n"/>
      <c r="C15" s="13" t="n"/>
      <c r="D15" s="13" t="n"/>
      <c r="E15" s="13" t="n"/>
      <c r="F15" s="38" t="n"/>
      <c r="G15" s="39">
        <f>IF($F15="","",IF($F15&gt;=9,"Promotor",IF($F15&gt;=7,"Pasiv","Detractor")))</f>
        <v/>
      </c>
      <c r="H15" s="13" t="n"/>
      <c r="I15" s="13" t="n"/>
      <c r="J15" s="13" t="n"/>
      <c r="K15" s="13" t="n"/>
      <c r="L15" s="13" t="n"/>
      <c r="M15" s="13" t="n"/>
    </row>
    <row r="16">
      <c r="A16" s="13" t="n"/>
      <c r="B16" s="35" t="n"/>
      <c r="C16" s="13" t="n"/>
      <c r="D16" s="13" t="n"/>
      <c r="E16" s="13" t="n"/>
      <c r="F16" s="38" t="n"/>
      <c r="G16" s="39">
        <f>IF($F16="","",IF($F16&gt;=9,"Promotor",IF($F16&gt;=7,"Pasiv","Detractor")))</f>
        <v/>
      </c>
      <c r="H16" s="13" t="n"/>
      <c r="I16" s="13" t="n"/>
      <c r="J16" s="13" t="n"/>
      <c r="K16" s="13" t="n"/>
      <c r="L16" s="13" t="n"/>
      <c r="M16" s="13" t="n"/>
    </row>
    <row r="17">
      <c r="A17" s="13" t="n"/>
      <c r="B17" s="35" t="n"/>
      <c r="C17" s="13" t="n"/>
      <c r="D17" s="13" t="n"/>
      <c r="E17" s="13" t="n"/>
      <c r="F17" s="38" t="n"/>
      <c r="G17" s="39">
        <f>IF($F17="","",IF($F17&gt;=9,"Promotor",IF($F17&gt;=7,"Pasiv","Detractor")))</f>
        <v/>
      </c>
      <c r="H17" s="13" t="n"/>
      <c r="I17" s="13" t="n"/>
      <c r="J17" s="13" t="n"/>
      <c r="K17" s="13" t="n"/>
      <c r="L17" s="13" t="n"/>
      <c r="M17" s="13" t="n"/>
    </row>
    <row r="18">
      <c r="A18" s="13" t="n"/>
      <c r="B18" s="35" t="n"/>
      <c r="C18" s="13" t="n"/>
      <c r="D18" s="13" t="n"/>
      <c r="E18" s="13" t="n"/>
      <c r="F18" s="38" t="n"/>
      <c r="G18" s="39">
        <f>IF($F18="","",IF($F18&gt;=9,"Promotor",IF($F18&gt;=7,"Pasiv","Detractor")))</f>
        <v/>
      </c>
      <c r="H18" s="13" t="n"/>
      <c r="I18" s="13" t="n"/>
      <c r="J18" s="13" t="n"/>
      <c r="K18" s="13" t="n"/>
      <c r="L18" s="13" t="n"/>
      <c r="M18" s="13" t="n"/>
    </row>
    <row r="19">
      <c r="A19" s="13" t="n"/>
      <c r="B19" s="35" t="n"/>
      <c r="C19" s="13" t="n"/>
      <c r="D19" s="13" t="n"/>
      <c r="E19" s="13" t="n"/>
      <c r="F19" s="38" t="n"/>
      <c r="G19" s="39">
        <f>IF($F19="","",IF($F19&gt;=9,"Promotor",IF($F19&gt;=7,"Pasiv","Detractor")))</f>
        <v/>
      </c>
      <c r="H19" s="13" t="n"/>
      <c r="I19" s="13" t="n"/>
      <c r="J19" s="13" t="n"/>
      <c r="K19" s="13" t="n"/>
      <c r="L19" s="13" t="n"/>
      <c r="M19" s="13" t="n"/>
    </row>
    <row r="20">
      <c r="A20" s="13" t="n"/>
      <c r="B20" s="35" t="n"/>
      <c r="C20" s="13" t="n"/>
      <c r="D20" s="13" t="n"/>
      <c r="E20" s="13" t="n"/>
      <c r="F20" s="38" t="n"/>
      <c r="G20" s="39">
        <f>IF($F20="","",IF($F20&gt;=9,"Promotor",IF($F20&gt;=7,"Pasiv","Detractor")))</f>
        <v/>
      </c>
      <c r="H20" s="13" t="n"/>
      <c r="I20" s="13" t="n"/>
      <c r="J20" s="13" t="n"/>
      <c r="K20" s="13" t="n"/>
      <c r="L20" s="13" t="n"/>
      <c r="M20" s="13" t="n"/>
    </row>
    <row r="21">
      <c r="A21" s="13" t="n"/>
      <c r="B21" s="35" t="n"/>
      <c r="C21" s="13" t="n"/>
      <c r="D21" s="13" t="n"/>
      <c r="E21" s="13" t="n"/>
      <c r="F21" s="38" t="n"/>
      <c r="G21" s="39">
        <f>IF($F21="","",IF($F21&gt;=9,"Promotor",IF($F21&gt;=7,"Pasiv","Detractor")))</f>
        <v/>
      </c>
      <c r="H21" s="13" t="n"/>
      <c r="I21" s="13" t="n"/>
      <c r="J21" s="13" t="n"/>
      <c r="K21" s="13" t="n"/>
      <c r="L21" s="13" t="n"/>
      <c r="M21" s="13" t="n"/>
    </row>
    <row r="22">
      <c r="A22" s="13" t="n"/>
      <c r="B22" s="35" t="n"/>
      <c r="C22" s="13" t="n"/>
      <c r="D22" s="13" t="n"/>
      <c r="E22" s="13" t="n"/>
      <c r="F22" s="38" t="n"/>
      <c r="G22" s="39">
        <f>IF($F22="","",IF($F22&gt;=9,"Promotor",IF($F22&gt;=7,"Pasiv","Detractor")))</f>
        <v/>
      </c>
      <c r="H22" s="13" t="n"/>
      <c r="I22" s="13" t="n"/>
      <c r="J22" s="13" t="n"/>
      <c r="K22" s="13" t="n"/>
      <c r="L22" s="13" t="n"/>
      <c r="M22" s="13" t="n"/>
    </row>
    <row r="23">
      <c r="A23" s="13" t="n"/>
      <c r="B23" s="35" t="n"/>
      <c r="C23" s="13" t="n"/>
      <c r="D23" s="13" t="n"/>
      <c r="E23" s="13" t="n"/>
      <c r="F23" s="38" t="n"/>
      <c r="G23" s="39">
        <f>IF($F23="","",IF($F23&gt;=9,"Promotor",IF($F23&gt;=7,"Pasiv","Detractor")))</f>
        <v/>
      </c>
      <c r="H23" s="13" t="n"/>
      <c r="I23" s="13" t="n"/>
      <c r="J23" s="13" t="n"/>
      <c r="K23" s="13" t="n"/>
      <c r="L23" s="13" t="n"/>
      <c r="M23" s="13" t="n"/>
    </row>
    <row r="24">
      <c r="A24" s="13" t="n"/>
      <c r="B24" s="35" t="n"/>
      <c r="C24" s="13" t="n"/>
      <c r="D24" s="13" t="n"/>
      <c r="E24" s="13" t="n"/>
      <c r="F24" s="38" t="n"/>
      <c r="G24" s="39">
        <f>IF($F24="","",IF($F24&gt;=9,"Promotor",IF($F24&gt;=7,"Pasiv","Detractor")))</f>
        <v/>
      </c>
      <c r="H24" s="13" t="n"/>
      <c r="I24" s="13" t="n"/>
      <c r="J24" s="13" t="n"/>
      <c r="K24" s="13" t="n"/>
      <c r="L24" s="13" t="n"/>
      <c r="M24" s="13" t="n"/>
    </row>
    <row r="25">
      <c r="A25" s="13" t="n"/>
      <c r="B25" s="35" t="n"/>
      <c r="C25" s="13" t="n"/>
      <c r="D25" s="13" t="n"/>
      <c r="E25" s="13" t="n"/>
      <c r="F25" s="38" t="n"/>
      <c r="G25" s="39">
        <f>IF($F25="","",IF($F25&gt;=9,"Promotor",IF($F25&gt;=7,"Pasiv","Detractor")))</f>
        <v/>
      </c>
      <c r="H25" s="13" t="n"/>
      <c r="I25" s="13" t="n"/>
      <c r="J25" s="13" t="n"/>
      <c r="K25" s="13" t="n"/>
      <c r="L25" s="13" t="n"/>
      <c r="M25" s="13" t="n"/>
    </row>
    <row r="26">
      <c r="A26" s="13" t="n"/>
      <c r="B26" s="35" t="n"/>
      <c r="C26" s="13" t="n"/>
      <c r="D26" s="13" t="n"/>
      <c r="E26" s="13" t="n"/>
      <c r="F26" s="38" t="n"/>
      <c r="G26" s="39">
        <f>IF($F26="","",IF($F26&gt;=9,"Promotor",IF($F26&gt;=7,"Pasiv","Detractor")))</f>
        <v/>
      </c>
      <c r="H26" s="13" t="n"/>
      <c r="I26" s="13" t="n"/>
      <c r="J26" s="13" t="n"/>
      <c r="K26" s="13" t="n"/>
      <c r="L26" s="13" t="n"/>
      <c r="M26" s="13" t="n"/>
    </row>
    <row r="27">
      <c r="A27" s="13" t="n"/>
      <c r="B27" s="35" t="n"/>
      <c r="C27" s="13" t="n"/>
      <c r="D27" s="13" t="n"/>
      <c r="E27" s="13" t="n"/>
      <c r="F27" s="38" t="n"/>
      <c r="G27" s="39">
        <f>IF($F27="","",IF($F27&gt;=9,"Promotor",IF($F27&gt;=7,"Pasiv","Detractor")))</f>
        <v/>
      </c>
      <c r="H27" s="13" t="n"/>
      <c r="I27" s="13" t="n"/>
      <c r="J27" s="13" t="n"/>
      <c r="K27" s="13" t="n"/>
      <c r="L27" s="13" t="n"/>
      <c r="M27" s="13" t="n"/>
    </row>
    <row r="28">
      <c r="A28" s="13" t="n"/>
      <c r="B28" s="35" t="n"/>
      <c r="C28" s="13" t="n"/>
      <c r="D28" s="13" t="n"/>
      <c r="E28" s="13" t="n"/>
      <c r="F28" s="38" t="n"/>
      <c r="G28" s="39">
        <f>IF($F28="","",IF($F28&gt;=9,"Promotor",IF($F28&gt;=7,"Pasiv","Detractor")))</f>
        <v/>
      </c>
      <c r="H28" s="13" t="n"/>
      <c r="I28" s="13" t="n"/>
      <c r="J28" s="13" t="n"/>
      <c r="K28" s="13" t="n"/>
      <c r="L28" s="13" t="n"/>
      <c r="M28" s="13" t="n"/>
    </row>
    <row r="29">
      <c r="A29" s="13" t="n"/>
      <c r="B29" s="35" t="n"/>
      <c r="C29" s="13" t="n"/>
      <c r="D29" s="13" t="n"/>
      <c r="E29" s="13" t="n"/>
      <c r="F29" s="38" t="n"/>
      <c r="G29" s="39">
        <f>IF($F29="","",IF($F29&gt;=9,"Promotor",IF($F29&gt;=7,"Pasiv","Detractor")))</f>
        <v/>
      </c>
      <c r="H29" s="13" t="n"/>
      <c r="I29" s="13" t="n"/>
      <c r="J29" s="13" t="n"/>
      <c r="K29" s="13" t="n"/>
      <c r="L29" s="13" t="n"/>
      <c r="M29" s="13" t="n"/>
    </row>
    <row r="30">
      <c r="A30" s="13" t="n"/>
      <c r="B30" s="35" t="n"/>
      <c r="C30" s="13" t="n"/>
      <c r="D30" s="13" t="n"/>
      <c r="E30" s="13" t="n"/>
      <c r="F30" s="38" t="n"/>
      <c r="G30" s="39">
        <f>IF($F30="","",IF($F30&gt;=9,"Promotor",IF($F30&gt;=7,"Pasiv","Detractor")))</f>
        <v/>
      </c>
      <c r="H30" s="13" t="n"/>
      <c r="I30" s="13" t="n"/>
      <c r="J30" s="13" t="n"/>
      <c r="K30" s="13" t="n"/>
      <c r="L30" s="13" t="n"/>
      <c r="M30" s="13" t="n"/>
    </row>
    <row r="31">
      <c r="A31" s="13" t="n"/>
      <c r="B31" s="35" t="n"/>
      <c r="C31" s="13" t="n"/>
      <c r="D31" s="13" t="n"/>
      <c r="E31" s="13" t="n"/>
      <c r="F31" s="38" t="n"/>
      <c r="G31" s="39">
        <f>IF($F31="","",IF($F31&gt;=9,"Promotor",IF($F31&gt;=7,"Pasiv","Detractor")))</f>
        <v/>
      </c>
      <c r="H31" s="13" t="n"/>
      <c r="I31" s="13" t="n"/>
      <c r="J31" s="13" t="n"/>
      <c r="K31" s="13" t="n"/>
      <c r="L31" s="13" t="n"/>
      <c r="M31" s="13" t="n"/>
    </row>
    <row r="32">
      <c r="A32" s="13" t="n"/>
      <c r="B32" s="35" t="n"/>
      <c r="C32" s="13" t="n"/>
      <c r="D32" s="13" t="n"/>
      <c r="E32" s="13" t="n"/>
      <c r="F32" s="38" t="n"/>
      <c r="G32" s="39">
        <f>IF($F32="","",IF($F32&gt;=9,"Promotor",IF($F32&gt;=7,"Pasiv","Detractor")))</f>
        <v/>
      </c>
      <c r="H32" s="13" t="n"/>
      <c r="I32" s="13" t="n"/>
      <c r="J32" s="13" t="n"/>
      <c r="K32" s="13" t="n"/>
      <c r="L32" s="13" t="n"/>
      <c r="M32" s="13" t="n"/>
    </row>
    <row r="33">
      <c r="A33" s="13" t="n"/>
      <c r="B33" s="35" t="n"/>
      <c r="C33" s="13" t="n"/>
      <c r="D33" s="13" t="n"/>
      <c r="E33" s="13" t="n"/>
      <c r="F33" s="38" t="n"/>
      <c r="G33" s="39">
        <f>IF($F33="","",IF($F33&gt;=9,"Promotor",IF($F33&gt;=7,"Pasiv","Detractor")))</f>
        <v/>
      </c>
      <c r="H33" s="13" t="n"/>
      <c r="I33" s="13" t="n"/>
      <c r="J33" s="13" t="n"/>
      <c r="K33" s="13" t="n"/>
      <c r="L33" s="13" t="n"/>
      <c r="M33" s="13" t="n"/>
    </row>
    <row r="34">
      <c r="A34" s="13" t="n"/>
      <c r="B34" s="35" t="n"/>
      <c r="C34" s="13" t="n"/>
      <c r="D34" s="13" t="n"/>
      <c r="E34" s="13" t="n"/>
      <c r="F34" s="38" t="n"/>
      <c r="G34" s="39">
        <f>IF($F34="","",IF($F34&gt;=9,"Promotor",IF($F34&gt;=7,"Pasiv","Detractor")))</f>
        <v/>
      </c>
      <c r="H34" s="13" t="n"/>
      <c r="I34" s="13" t="n"/>
      <c r="J34" s="13" t="n"/>
      <c r="K34" s="13" t="n"/>
      <c r="L34" s="13" t="n"/>
      <c r="M34" s="13" t="n"/>
    </row>
    <row r="35">
      <c r="A35" s="13" t="n"/>
      <c r="B35" s="35" t="n"/>
      <c r="C35" s="13" t="n"/>
      <c r="D35" s="13" t="n"/>
      <c r="E35" s="13" t="n"/>
      <c r="F35" s="38" t="n"/>
      <c r="G35" s="39">
        <f>IF($F35="","",IF($F35&gt;=9,"Promotor",IF($F35&gt;=7,"Pasiv","Detractor")))</f>
        <v/>
      </c>
      <c r="H35" s="13" t="n"/>
      <c r="I35" s="13" t="n"/>
      <c r="J35" s="13" t="n"/>
      <c r="K35" s="13" t="n"/>
      <c r="L35" s="13" t="n"/>
      <c r="M35" s="13" t="n"/>
    </row>
    <row r="36">
      <c r="A36" s="13" t="n"/>
      <c r="B36" s="35" t="n"/>
      <c r="C36" s="13" t="n"/>
      <c r="D36" s="13" t="n"/>
      <c r="E36" s="13" t="n"/>
      <c r="F36" s="38" t="n"/>
      <c r="G36" s="39">
        <f>IF($F36="","",IF($F36&gt;=9,"Promotor",IF($F36&gt;=7,"Pasiv","Detractor")))</f>
        <v/>
      </c>
      <c r="H36" s="13" t="n"/>
      <c r="I36" s="13" t="n"/>
      <c r="J36" s="13" t="n"/>
      <c r="K36" s="13" t="n"/>
      <c r="L36" s="13" t="n"/>
      <c r="M36" s="13" t="n"/>
    </row>
    <row r="37">
      <c r="A37" s="13" t="n"/>
      <c r="B37" s="35" t="n"/>
      <c r="C37" s="13" t="n"/>
      <c r="D37" s="13" t="n"/>
      <c r="E37" s="13" t="n"/>
      <c r="F37" s="38" t="n"/>
      <c r="G37" s="39">
        <f>IF($F37="","",IF($F37&gt;=9,"Promotor",IF($F37&gt;=7,"Pasiv","Detractor")))</f>
        <v/>
      </c>
      <c r="H37" s="13" t="n"/>
      <c r="I37" s="13" t="n"/>
      <c r="J37" s="13" t="n"/>
      <c r="K37" s="13" t="n"/>
      <c r="L37" s="13" t="n"/>
      <c r="M37" s="13" t="n"/>
    </row>
    <row r="38">
      <c r="A38" s="13" t="n"/>
      <c r="B38" s="35" t="n"/>
      <c r="C38" s="13" t="n"/>
      <c r="D38" s="13" t="n"/>
      <c r="E38" s="13" t="n"/>
      <c r="F38" s="38" t="n"/>
      <c r="G38" s="39">
        <f>IF($F38="","",IF($F38&gt;=9,"Promotor",IF($F38&gt;=7,"Pasiv","Detractor")))</f>
        <v/>
      </c>
      <c r="H38" s="13" t="n"/>
      <c r="I38" s="13" t="n"/>
      <c r="J38" s="13" t="n"/>
      <c r="K38" s="13" t="n"/>
      <c r="L38" s="13" t="n"/>
      <c r="M38" s="13" t="n"/>
    </row>
    <row r="39">
      <c r="A39" s="13" t="n"/>
      <c r="B39" s="35" t="n"/>
      <c r="C39" s="13" t="n"/>
      <c r="D39" s="13" t="n"/>
      <c r="E39" s="13" t="n"/>
      <c r="F39" s="38" t="n"/>
      <c r="G39" s="39">
        <f>IF($F39="","",IF($F39&gt;=9,"Promotor",IF($F39&gt;=7,"Pasiv","Detractor")))</f>
        <v/>
      </c>
      <c r="H39" s="13" t="n"/>
      <c r="I39" s="13" t="n"/>
      <c r="J39" s="13" t="n"/>
      <c r="K39" s="13" t="n"/>
      <c r="L39" s="13" t="n"/>
      <c r="M39" s="13" t="n"/>
    </row>
    <row r="40">
      <c r="A40" s="13" t="n"/>
      <c r="B40" s="35" t="n"/>
      <c r="C40" s="13" t="n"/>
      <c r="D40" s="13" t="n"/>
      <c r="E40" s="13" t="n"/>
      <c r="F40" s="38" t="n"/>
      <c r="G40" s="39">
        <f>IF($F40="","",IF($F40&gt;=9,"Promotor",IF($F40&gt;=7,"Pasiv","Detractor")))</f>
        <v/>
      </c>
      <c r="H40" s="13" t="n"/>
      <c r="I40" s="13" t="n"/>
      <c r="J40" s="13" t="n"/>
      <c r="K40" s="13" t="n"/>
      <c r="L40" s="13" t="n"/>
      <c r="M40" s="13" t="n"/>
    </row>
    <row r="41">
      <c r="A41" s="13" t="n"/>
      <c r="B41" s="35" t="n"/>
      <c r="C41" s="13" t="n"/>
      <c r="D41" s="13" t="n"/>
      <c r="E41" s="13" t="n"/>
      <c r="F41" s="38" t="n"/>
      <c r="G41" s="39">
        <f>IF($F41="","",IF($F41&gt;=9,"Promotor",IF($F41&gt;=7,"Pasiv","Detractor")))</f>
        <v/>
      </c>
      <c r="H41" s="13" t="n"/>
      <c r="I41" s="13" t="n"/>
      <c r="J41" s="13" t="n"/>
      <c r="K41" s="13" t="n"/>
      <c r="L41" s="13" t="n"/>
      <c r="M41" s="13" t="n"/>
    </row>
    <row r="42">
      <c r="A42" s="13" t="n"/>
      <c r="B42" s="35" t="n"/>
      <c r="C42" s="13" t="n"/>
      <c r="D42" s="13" t="n"/>
      <c r="E42" s="13" t="n"/>
      <c r="F42" s="38" t="n"/>
      <c r="G42" s="39">
        <f>IF($F42="","",IF($F42&gt;=9,"Promotor",IF($F42&gt;=7,"Pasiv","Detractor")))</f>
        <v/>
      </c>
      <c r="H42" s="13" t="n"/>
      <c r="I42" s="13" t="n"/>
      <c r="J42" s="13" t="n"/>
      <c r="K42" s="13" t="n"/>
      <c r="L42" s="13" t="n"/>
      <c r="M42" s="13" t="n"/>
    </row>
    <row r="43">
      <c r="A43" s="13" t="n"/>
      <c r="B43" s="35" t="n"/>
      <c r="C43" s="13" t="n"/>
      <c r="D43" s="13" t="n"/>
      <c r="E43" s="13" t="n"/>
      <c r="F43" s="38" t="n"/>
      <c r="G43" s="39">
        <f>IF($F43="","",IF($F43&gt;=9,"Promotor",IF($F43&gt;=7,"Pasiv","Detractor")))</f>
        <v/>
      </c>
      <c r="H43" s="13" t="n"/>
      <c r="I43" s="13" t="n"/>
      <c r="J43" s="13" t="n"/>
      <c r="K43" s="13" t="n"/>
      <c r="L43" s="13" t="n"/>
      <c r="M43" s="13" t="n"/>
    </row>
    <row r="44">
      <c r="A44" s="13" t="n"/>
      <c r="B44" s="35" t="n"/>
      <c r="C44" s="13" t="n"/>
      <c r="D44" s="13" t="n"/>
      <c r="E44" s="13" t="n"/>
      <c r="F44" s="38" t="n"/>
      <c r="G44" s="39">
        <f>IF($F44="","",IF($F44&gt;=9,"Promotor",IF($F44&gt;=7,"Pasiv","Detractor")))</f>
        <v/>
      </c>
      <c r="H44" s="13" t="n"/>
      <c r="I44" s="13" t="n"/>
      <c r="J44" s="13" t="n"/>
      <c r="K44" s="13" t="n"/>
      <c r="L44" s="13" t="n"/>
      <c r="M44" s="13" t="n"/>
    </row>
    <row r="45">
      <c r="A45" s="13" t="n"/>
      <c r="B45" s="35" t="n"/>
      <c r="C45" s="13" t="n"/>
      <c r="D45" s="13" t="n"/>
      <c r="E45" s="13" t="n"/>
      <c r="F45" s="38" t="n"/>
      <c r="G45" s="39">
        <f>IF($F45="","",IF($F45&gt;=9,"Promotor",IF($F45&gt;=7,"Pasiv","Detractor")))</f>
        <v/>
      </c>
      <c r="H45" s="13" t="n"/>
      <c r="I45" s="13" t="n"/>
      <c r="J45" s="13" t="n"/>
      <c r="K45" s="13" t="n"/>
      <c r="L45" s="13" t="n"/>
      <c r="M45" s="13" t="n"/>
    </row>
    <row r="46">
      <c r="A46" s="13" t="n"/>
      <c r="B46" s="35" t="n"/>
      <c r="C46" s="13" t="n"/>
      <c r="D46" s="13" t="n"/>
      <c r="E46" s="13" t="n"/>
      <c r="F46" s="38" t="n"/>
      <c r="G46" s="39">
        <f>IF($F46="","",IF($F46&gt;=9,"Promotor",IF($F46&gt;=7,"Pasiv","Detractor")))</f>
        <v/>
      </c>
      <c r="H46" s="13" t="n"/>
      <c r="I46" s="13" t="n"/>
      <c r="J46" s="13" t="n"/>
      <c r="K46" s="13" t="n"/>
      <c r="L46" s="13" t="n"/>
      <c r="M46" s="13" t="n"/>
    </row>
    <row r="47">
      <c r="A47" s="13" t="n"/>
      <c r="B47" s="35" t="n"/>
      <c r="C47" s="13" t="n"/>
      <c r="D47" s="13" t="n"/>
      <c r="E47" s="13" t="n"/>
      <c r="F47" s="38" t="n"/>
      <c r="G47" s="39">
        <f>IF($F47="","",IF($F47&gt;=9,"Promotor",IF($F47&gt;=7,"Pasiv","Detractor")))</f>
        <v/>
      </c>
      <c r="H47" s="13" t="n"/>
      <c r="I47" s="13" t="n"/>
      <c r="J47" s="13" t="n"/>
      <c r="K47" s="13" t="n"/>
      <c r="L47" s="13" t="n"/>
      <c r="M47" s="13" t="n"/>
    </row>
    <row r="48">
      <c r="A48" s="13" t="n"/>
      <c r="B48" s="35" t="n"/>
      <c r="C48" s="13" t="n"/>
      <c r="D48" s="13" t="n"/>
      <c r="E48" s="13" t="n"/>
      <c r="F48" s="38" t="n"/>
      <c r="G48" s="39">
        <f>IF($F48="","",IF($F48&gt;=9,"Promotor",IF($F48&gt;=7,"Pasiv","Detractor")))</f>
        <v/>
      </c>
      <c r="H48" s="13" t="n"/>
      <c r="I48" s="13" t="n"/>
      <c r="J48" s="13" t="n"/>
      <c r="K48" s="13" t="n"/>
      <c r="L48" s="13" t="n"/>
      <c r="M48" s="13" t="n"/>
    </row>
    <row r="49">
      <c r="A49" s="13" t="n"/>
      <c r="B49" s="35" t="n"/>
      <c r="C49" s="13" t="n"/>
      <c r="D49" s="13" t="n"/>
      <c r="E49" s="13" t="n"/>
      <c r="F49" s="38" t="n"/>
      <c r="G49" s="39">
        <f>IF($F49="","",IF($F49&gt;=9,"Promotor",IF($F49&gt;=7,"Pasiv","Detractor")))</f>
        <v/>
      </c>
      <c r="H49" s="13" t="n"/>
      <c r="I49" s="13" t="n"/>
      <c r="J49" s="13" t="n"/>
      <c r="K49" s="13" t="n"/>
      <c r="L49" s="13" t="n"/>
      <c r="M49" s="13" t="n"/>
    </row>
    <row r="50">
      <c r="A50" s="13" t="n"/>
      <c r="B50" s="35" t="n"/>
      <c r="C50" s="13" t="n"/>
      <c r="D50" s="13" t="n"/>
      <c r="E50" s="13" t="n"/>
      <c r="F50" s="38" t="n"/>
      <c r="G50" s="39">
        <f>IF($F50="","",IF($F50&gt;=9,"Promotor",IF($F50&gt;=7,"Pasiv","Detractor")))</f>
        <v/>
      </c>
      <c r="H50" s="13" t="n"/>
      <c r="I50" s="13" t="n"/>
      <c r="J50" s="13" t="n"/>
      <c r="K50" s="13" t="n"/>
      <c r="L50" s="13" t="n"/>
      <c r="M50" s="13" t="n"/>
    </row>
    <row r="51">
      <c r="A51" s="13" t="n"/>
      <c r="B51" s="35" t="n"/>
      <c r="C51" s="13" t="n"/>
      <c r="D51" s="13" t="n"/>
      <c r="E51" s="13" t="n"/>
      <c r="F51" s="38" t="n"/>
      <c r="G51" s="39">
        <f>IF($F51="","",IF($F51&gt;=9,"Promotor",IF($F51&gt;=7,"Pasiv","Detractor")))</f>
        <v/>
      </c>
      <c r="H51" s="13" t="n"/>
      <c r="I51" s="13" t="n"/>
      <c r="J51" s="13" t="n"/>
      <c r="K51" s="13" t="n"/>
      <c r="L51" s="13" t="n"/>
      <c r="M51" s="13" t="n"/>
    </row>
    <row r="52">
      <c r="A52" s="13" t="n"/>
      <c r="B52" s="35" t="n"/>
      <c r="C52" s="13" t="n"/>
      <c r="D52" s="13" t="n"/>
      <c r="E52" s="13" t="n"/>
      <c r="F52" s="38" t="n"/>
      <c r="G52" s="39">
        <f>IF($F52="","",IF($F52&gt;=9,"Promotor",IF($F52&gt;=7,"Pasiv","Detractor")))</f>
        <v/>
      </c>
      <c r="H52" s="13" t="n"/>
      <c r="I52" s="13" t="n"/>
      <c r="J52" s="13" t="n"/>
      <c r="K52" s="13" t="n"/>
      <c r="L52" s="13" t="n"/>
      <c r="M52" s="13" t="n"/>
    </row>
    <row r="53">
      <c r="A53" s="13" t="n"/>
      <c r="B53" s="35" t="n"/>
      <c r="C53" s="13" t="n"/>
      <c r="D53" s="13" t="n"/>
      <c r="E53" s="13" t="n"/>
      <c r="F53" s="38" t="n"/>
      <c r="G53" s="39">
        <f>IF($F53="","",IF($F53&gt;=9,"Promotor",IF($F53&gt;=7,"Pasiv","Detractor")))</f>
        <v/>
      </c>
      <c r="H53" s="13" t="n"/>
      <c r="I53" s="13" t="n"/>
      <c r="J53" s="13" t="n"/>
      <c r="K53" s="13" t="n"/>
      <c r="L53" s="13" t="n"/>
      <c r="M53" s="13" t="n"/>
    </row>
    <row r="54">
      <c r="A54" s="13" t="n"/>
      <c r="B54" s="35" t="n"/>
      <c r="C54" s="13" t="n"/>
      <c r="D54" s="13" t="n"/>
      <c r="E54" s="13" t="n"/>
      <c r="F54" s="38" t="n"/>
      <c r="G54" s="39">
        <f>IF($F54="","",IF($F54&gt;=9,"Promotor",IF($F54&gt;=7,"Pasiv","Detractor")))</f>
        <v/>
      </c>
      <c r="H54" s="13" t="n"/>
      <c r="I54" s="13" t="n"/>
      <c r="J54" s="13" t="n"/>
      <c r="K54" s="13" t="n"/>
      <c r="L54" s="13" t="n"/>
      <c r="M54" s="13" t="n"/>
    </row>
    <row r="55">
      <c r="A55" s="13" t="n"/>
      <c r="B55" s="35" t="n"/>
      <c r="C55" s="13" t="n"/>
      <c r="D55" s="13" t="n"/>
      <c r="E55" s="13" t="n"/>
      <c r="F55" s="38" t="n"/>
      <c r="G55" s="39">
        <f>IF($F55="","",IF($F55&gt;=9,"Promotor",IF($F55&gt;=7,"Pasiv","Detractor")))</f>
        <v/>
      </c>
      <c r="H55" s="13" t="n"/>
      <c r="I55" s="13" t="n"/>
      <c r="J55" s="13" t="n"/>
      <c r="K55" s="13" t="n"/>
      <c r="L55" s="13" t="n"/>
      <c r="M55" s="13" t="n"/>
    </row>
    <row r="56">
      <c r="A56" s="13" t="n"/>
      <c r="B56" s="35" t="n"/>
      <c r="C56" s="13" t="n"/>
      <c r="D56" s="13" t="n"/>
      <c r="E56" s="13" t="n"/>
      <c r="F56" s="38" t="n"/>
      <c r="G56" s="39">
        <f>IF($F56="","",IF($F56&gt;=9,"Promotor",IF($F56&gt;=7,"Pasiv","Detractor")))</f>
        <v/>
      </c>
      <c r="H56" s="13" t="n"/>
      <c r="I56" s="13" t="n"/>
      <c r="J56" s="13" t="n"/>
      <c r="K56" s="13" t="n"/>
      <c r="L56" s="13" t="n"/>
      <c r="M56" s="13" t="n"/>
    </row>
    <row r="57">
      <c r="A57" s="13" t="n"/>
      <c r="B57" s="35" t="n"/>
      <c r="C57" s="13" t="n"/>
      <c r="D57" s="13" t="n"/>
      <c r="E57" s="13" t="n"/>
      <c r="F57" s="38" t="n"/>
      <c r="G57" s="39">
        <f>IF($F57="","",IF($F57&gt;=9,"Promotor",IF($F57&gt;=7,"Pasiv","Detractor")))</f>
        <v/>
      </c>
      <c r="H57" s="13" t="n"/>
      <c r="I57" s="13" t="n"/>
      <c r="J57" s="13" t="n"/>
      <c r="K57" s="13" t="n"/>
      <c r="L57" s="13" t="n"/>
      <c r="M57" s="13" t="n"/>
    </row>
    <row r="58">
      <c r="A58" s="13" t="n"/>
      <c r="B58" s="35" t="n"/>
      <c r="C58" s="13" t="n"/>
      <c r="D58" s="13" t="n"/>
      <c r="E58" s="13" t="n"/>
      <c r="F58" s="38" t="n"/>
      <c r="G58" s="39">
        <f>IF($F58="","",IF($F58&gt;=9,"Promotor",IF($F58&gt;=7,"Pasiv","Detractor")))</f>
        <v/>
      </c>
      <c r="H58" s="13" t="n"/>
      <c r="I58" s="13" t="n"/>
      <c r="J58" s="13" t="n"/>
      <c r="K58" s="13" t="n"/>
      <c r="L58" s="13" t="n"/>
      <c r="M58" s="13" t="n"/>
    </row>
    <row r="59">
      <c r="A59" s="13" t="n"/>
      <c r="B59" s="35" t="n"/>
      <c r="C59" s="13" t="n"/>
      <c r="D59" s="13" t="n"/>
      <c r="E59" s="13" t="n"/>
      <c r="F59" s="38" t="n"/>
      <c r="G59" s="39">
        <f>IF($F59="","",IF($F59&gt;=9,"Promotor",IF($F59&gt;=7,"Pasiv","Detractor")))</f>
        <v/>
      </c>
      <c r="H59" s="13" t="n"/>
      <c r="I59" s="13" t="n"/>
      <c r="J59" s="13" t="n"/>
      <c r="K59" s="13" t="n"/>
      <c r="L59" s="13" t="n"/>
      <c r="M59" s="13" t="n"/>
    </row>
    <row r="60">
      <c r="A60" s="13" t="n"/>
      <c r="B60" s="35" t="n"/>
      <c r="C60" s="13" t="n"/>
      <c r="D60" s="13" t="n"/>
      <c r="E60" s="13" t="n"/>
      <c r="F60" s="38" t="n"/>
      <c r="G60" s="39">
        <f>IF($F60="","",IF($F60&gt;=9,"Promotor",IF($F60&gt;=7,"Pasiv","Detractor")))</f>
        <v/>
      </c>
      <c r="H60" s="13" t="n"/>
      <c r="I60" s="13" t="n"/>
      <c r="J60" s="13" t="n"/>
      <c r="K60" s="13" t="n"/>
      <c r="L60" s="13" t="n"/>
      <c r="M60" s="13" t="n"/>
    </row>
    <row r="61">
      <c r="A61" s="13" t="n"/>
      <c r="B61" s="35" t="n"/>
      <c r="C61" s="13" t="n"/>
      <c r="D61" s="13" t="n"/>
      <c r="E61" s="13" t="n"/>
      <c r="F61" s="38" t="n"/>
      <c r="G61" s="39">
        <f>IF($F61="","",IF($F61&gt;=9,"Promotor",IF($F61&gt;=7,"Pasiv","Detractor")))</f>
        <v/>
      </c>
      <c r="H61" s="13" t="n"/>
      <c r="I61" s="13" t="n"/>
      <c r="J61" s="13" t="n"/>
      <c r="K61" s="13" t="n"/>
      <c r="L61" s="13" t="n"/>
      <c r="M61" s="13" t="n"/>
    </row>
    <row r="62">
      <c r="A62" s="13" t="n"/>
      <c r="B62" s="35" t="n"/>
      <c r="C62" s="13" t="n"/>
      <c r="D62" s="13" t="n"/>
      <c r="E62" s="13" t="n"/>
      <c r="F62" s="38" t="n"/>
      <c r="G62" s="39">
        <f>IF($F62="","",IF($F62&gt;=9,"Promotor",IF($F62&gt;=7,"Pasiv","Detractor")))</f>
        <v/>
      </c>
      <c r="H62" s="13" t="n"/>
      <c r="I62" s="13" t="n"/>
      <c r="J62" s="13" t="n"/>
      <c r="K62" s="13" t="n"/>
      <c r="L62" s="13" t="n"/>
      <c r="M62" s="13" t="n"/>
    </row>
    <row r="63">
      <c r="A63" s="13" t="n"/>
      <c r="B63" s="35" t="n"/>
      <c r="C63" s="13" t="n"/>
      <c r="D63" s="13" t="n"/>
      <c r="E63" s="13" t="n"/>
      <c r="F63" s="38" t="n"/>
      <c r="G63" s="39">
        <f>IF($F63="","",IF($F63&gt;=9,"Promotor",IF($F63&gt;=7,"Pasiv","Detractor")))</f>
        <v/>
      </c>
      <c r="H63" s="13" t="n"/>
      <c r="I63" s="13" t="n"/>
      <c r="J63" s="13" t="n"/>
      <c r="K63" s="13" t="n"/>
      <c r="L63" s="13" t="n"/>
      <c r="M63" s="13" t="n"/>
    </row>
    <row r="64">
      <c r="A64" s="13" t="n"/>
      <c r="B64" s="35" t="n"/>
      <c r="C64" s="13" t="n"/>
      <c r="D64" s="13" t="n"/>
      <c r="E64" s="13" t="n"/>
      <c r="F64" s="38" t="n"/>
      <c r="G64" s="39">
        <f>IF($F64="","",IF($F64&gt;=9,"Promotor",IF($F64&gt;=7,"Pasiv","Detractor")))</f>
        <v/>
      </c>
      <c r="H64" s="13" t="n"/>
      <c r="I64" s="13" t="n"/>
      <c r="J64" s="13" t="n"/>
      <c r="K64" s="13" t="n"/>
      <c r="L64" s="13" t="n"/>
      <c r="M64" s="13" t="n"/>
    </row>
    <row r="65">
      <c r="A65" s="13" t="n"/>
      <c r="B65" s="35" t="n"/>
      <c r="C65" s="13" t="n"/>
      <c r="D65" s="13" t="n"/>
      <c r="E65" s="13" t="n"/>
      <c r="F65" s="38" t="n"/>
      <c r="G65" s="39">
        <f>IF($F65="","",IF($F65&gt;=9,"Promotor",IF($F65&gt;=7,"Pasiv","Detractor")))</f>
        <v/>
      </c>
      <c r="H65" s="13" t="n"/>
      <c r="I65" s="13" t="n"/>
      <c r="J65" s="13" t="n"/>
      <c r="K65" s="13" t="n"/>
      <c r="L65" s="13" t="n"/>
      <c r="M65" s="13" t="n"/>
    </row>
    <row r="66">
      <c r="A66" s="13" t="n"/>
      <c r="B66" s="35" t="n"/>
      <c r="C66" s="13" t="n"/>
      <c r="D66" s="13" t="n"/>
      <c r="E66" s="13" t="n"/>
      <c r="F66" s="38" t="n"/>
      <c r="G66" s="39">
        <f>IF($F66="","",IF($F66&gt;=9,"Promotor",IF($F66&gt;=7,"Pasiv","Detractor")))</f>
        <v/>
      </c>
      <c r="H66" s="13" t="n"/>
      <c r="I66" s="13" t="n"/>
      <c r="J66" s="13" t="n"/>
      <c r="K66" s="13" t="n"/>
      <c r="L66" s="13" t="n"/>
      <c r="M66" s="13" t="n"/>
    </row>
    <row r="67">
      <c r="A67" s="13" t="n"/>
      <c r="B67" s="35" t="n"/>
      <c r="C67" s="13" t="n"/>
      <c r="D67" s="13" t="n"/>
      <c r="E67" s="13" t="n"/>
      <c r="F67" s="38" t="n"/>
      <c r="G67" s="39">
        <f>IF($F67="","",IF($F67&gt;=9,"Promotor",IF($F67&gt;=7,"Pasiv","Detractor")))</f>
        <v/>
      </c>
      <c r="H67" s="13" t="n"/>
      <c r="I67" s="13" t="n"/>
      <c r="J67" s="13" t="n"/>
      <c r="K67" s="13" t="n"/>
      <c r="L67" s="13" t="n"/>
      <c r="M67" s="13" t="n"/>
    </row>
    <row r="68">
      <c r="A68" s="13" t="n"/>
      <c r="B68" s="35" t="n"/>
      <c r="C68" s="13" t="n"/>
      <c r="D68" s="13" t="n"/>
      <c r="E68" s="13" t="n"/>
      <c r="F68" s="38" t="n"/>
      <c r="G68" s="39">
        <f>IF($F68="","",IF($F68&gt;=9,"Promotor",IF($F68&gt;=7,"Pasiv","Detractor")))</f>
        <v/>
      </c>
      <c r="H68" s="13" t="n"/>
      <c r="I68" s="13" t="n"/>
      <c r="J68" s="13" t="n"/>
      <c r="K68" s="13" t="n"/>
      <c r="L68" s="13" t="n"/>
      <c r="M68" s="13" t="n"/>
    </row>
    <row r="69">
      <c r="A69" s="13" t="n"/>
      <c r="B69" s="35" t="n"/>
      <c r="C69" s="13" t="n"/>
      <c r="D69" s="13" t="n"/>
      <c r="E69" s="13" t="n"/>
      <c r="F69" s="38" t="n"/>
      <c r="G69" s="39">
        <f>IF($F69="","",IF($F69&gt;=9,"Promotor",IF($F69&gt;=7,"Pasiv","Detractor")))</f>
        <v/>
      </c>
      <c r="H69" s="13" t="n"/>
      <c r="I69" s="13" t="n"/>
      <c r="J69" s="13" t="n"/>
      <c r="K69" s="13" t="n"/>
      <c r="L69" s="13" t="n"/>
      <c r="M69" s="13" t="n"/>
    </row>
    <row r="70">
      <c r="A70" s="13" t="n"/>
      <c r="B70" s="35" t="n"/>
      <c r="C70" s="13" t="n"/>
      <c r="D70" s="13" t="n"/>
      <c r="E70" s="13" t="n"/>
      <c r="F70" s="38" t="n"/>
      <c r="G70" s="39">
        <f>IF($F70="","",IF($F70&gt;=9,"Promotor",IF($F70&gt;=7,"Pasiv","Detractor")))</f>
        <v/>
      </c>
      <c r="H70" s="13" t="n"/>
      <c r="I70" s="13" t="n"/>
      <c r="J70" s="13" t="n"/>
      <c r="K70" s="13" t="n"/>
      <c r="L70" s="13" t="n"/>
      <c r="M70" s="13" t="n"/>
    </row>
    <row r="71">
      <c r="A71" s="13" t="n"/>
      <c r="B71" s="35" t="n"/>
      <c r="C71" s="13" t="n"/>
      <c r="D71" s="13" t="n"/>
      <c r="E71" s="13" t="n"/>
      <c r="F71" s="38" t="n"/>
      <c r="G71" s="39">
        <f>IF($F71="","",IF($F71&gt;=9,"Promotor",IF($F71&gt;=7,"Pasiv","Detractor")))</f>
        <v/>
      </c>
      <c r="H71" s="13" t="n"/>
      <c r="I71" s="13" t="n"/>
      <c r="J71" s="13" t="n"/>
      <c r="K71" s="13" t="n"/>
      <c r="L71" s="13" t="n"/>
      <c r="M71" s="13" t="n"/>
    </row>
    <row r="72">
      <c r="A72" s="13" t="n"/>
      <c r="B72" s="35" t="n"/>
      <c r="C72" s="13" t="n"/>
      <c r="D72" s="13" t="n"/>
      <c r="E72" s="13" t="n"/>
      <c r="F72" s="38" t="n"/>
      <c r="G72" s="39">
        <f>IF($F72="","",IF($F72&gt;=9,"Promotor",IF($F72&gt;=7,"Pasiv","Detractor")))</f>
        <v/>
      </c>
      <c r="H72" s="13" t="n"/>
      <c r="I72" s="13" t="n"/>
      <c r="J72" s="13" t="n"/>
      <c r="K72" s="13" t="n"/>
      <c r="L72" s="13" t="n"/>
      <c r="M72" s="13" t="n"/>
    </row>
    <row r="73">
      <c r="A73" s="13" t="n"/>
      <c r="B73" s="35" t="n"/>
      <c r="C73" s="13" t="n"/>
      <c r="D73" s="13" t="n"/>
      <c r="E73" s="13" t="n"/>
      <c r="F73" s="38" t="n"/>
      <c r="G73" s="39">
        <f>IF($F73="","",IF($F73&gt;=9,"Promotor",IF($F73&gt;=7,"Pasiv","Detractor")))</f>
        <v/>
      </c>
      <c r="H73" s="13" t="n"/>
      <c r="I73" s="13" t="n"/>
      <c r="J73" s="13" t="n"/>
      <c r="K73" s="13" t="n"/>
      <c r="L73" s="13" t="n"/>
      <c r="M73" s="13" t="n"/>
    </row>
    <row r="74">
      <c r="A74" s="13" t="n"/>
      <c r="B74" s="35" t="n"/>
      <c r="C74" s="13" t="n"/>
      <c r="D74" s="13" t="n"/>
      <c r="E74" s="13" t="n"/>
      <c r="F74" s="38" t="n"/>
      <c r="G74" s="39">
        <f>IF($F74="","",IF($F74&gt;=9,"Promotor",IF($F74&gt;=7,"Pasiv","Detractor")))</f>
        <v/>
      </c>
      <c r="H74" s="13" t="n"/>
      <c r="I74" s="13" t="n"/>
      <c r="J74" s="13" t="n"/>
      <c r="K74" s="13" t="n"/>
      <c r="L74" s="13" t="n"/>
      <c r="M74" s="13" t="n"/>
    </row>
    <row r="75">
      <c r="A75" s="13" t="n"/>
      <c r="B75" s="35" t="n"/>
      <c r="C75" s="13" t="n"/>
      <c r="D75" s="13" t="n"/>
      <c r="E75" s="13" t="n"/>
      <c r="F75" s="38" t="n"/>
      <c r="G75" s="39">
        <f>IF($F75="","",IF($F75&gt;=9,"Promotor",IF($F75&gt;=7,"Pasiv","Detractor")))</f>
        <v/>
      </c>
      <c r="H75" s="13" t="n"/>
      <c r="I75" s="13" t="n"/>
      <c r="J75" s="13" t="n"/>
      <c r="K75" s="13" t="n"/>
      <c r="L75" s="13" t="n"/>
      <c r="M75" s="13" t="n"/>
    </row>
    <row r="76">
      <c r="A76" s="13" t="n"/>
      <c r="B76" s="35" t="n"/>
      <c r="C76" s="13" t="n"/>
      <c r="D76" s="13" t="n"/>
      <c r="E76" s="13" t="n"/>
      <c r="F76" s="38" t="n"/>
      <c r="G76" s="39">
        <f>IF($F76="","",IF($F76&gt;=9,"Promotor",IF($F76&gt;=7,"Pasiv","Detractor")))</f>
        <v/>
      </c>
      <c r="H76" s="13" t="n"/>
      <c r="I76" s="13" t="n"/>
      <c r="J76" s="13" t="n"/>
      <c r="K76" s="13" t="n"/>
      <c r="L76" s="13" t="n"/>
      <c r="M76" s="13" t="n"/>
    </row>
    <row r="77">
      <c r="A77" s="13" t="n"/>
      <c r="B77" s="35" t="n"/>
      <c r="C77" s="13" t="n"/>
      <c r="D77" s="13" t="n"/>
      <c r="E77" s="13" t="n"/>
      <c r="F77" s="38" t="n"/>
      <c r="G77" s="39">
        <f>IF($F77="","",IF($F77&gt;=9,"Promotor",IF($F77&gt;=7,"Pasiv","Detractor")))</f>
        <v/>
      </c>
      <c r="H77" s="13" t="n"/>
      <c r="I77" s="13" t="n"/>
      <c r="J77" s="13" t="n"/>
      <c r="K77" s="13" t="n"/>
      <c r="L77" s="13" t="n"/>
      <c r="M77" s="13" t="n"/>
    </row>
    <row r="78">
      <c r="A78" s="13" t="n"/>
      <c r="B78" s="35" t="n"/>
      <c r="C78" s="13" t="n"/>
      <c r="D78" s="13" t="n"/>
      <c r="E78" s="13" t="n"/>
      <c r="F78" s="38" t="n"/>
      <c r="G78" s="39">
        <f>IF($F78="","",IF($F78&gt;=9,"Promotor",IF($F78&gt;=7,"Pasiv","Detractor")))</f>
        <v/>
      </c>
      <c r="H78" s="13" t="n"/>
      <c r="I78" s="13" t="n"/>
      <c r="J78" s="13" t="n"/>
      <c r="K78" s="13" t="n"/>
      <c r="L78" s="13" t="n"/>
      <c r="M78" s="13" t="n"/>
    </row>
    <row r="79">
      <c r="A79" s="13" t="n"/>
      <c r="B79" s="35" t="n"/>
      <c r="C79" s="13" t="n"/>
      <c r="D79" s="13" t="n"/>
      <c r="E79" s="13" t="n"/>
      <c r="F79" s="38" t="n"/>
      <c r="G79" s="39">
        <f>IF($F79="","",IF($F79&gt;=9,"Promotor",IF($F79&gt;=7,"Pasiv","Detractor")))</f>
        <v/>
      </c>
      <c r="H79" s="13" t="n"/>
      <c r="I79" s="13" t="n"/>
      <c r="J79" s="13" t="n"/>
      <c r="K79" s="13" t="n"/>
      <c r="L79" s="13" t="n"/>
      <c r="M79" s="13" t="n"/>
    </row>
    <row r="80">
      <c r="A80" s="13" t="n"/>
      <c r="B80" s="35" t="n"/>
      <c r="C80" s="13" t="n"/>
      <c r="D80" s="13" t="n"/>
      <c r="E80" s="13" t="n"/>
      <c r="F80" s="38" t="n"/>
      <c r="G80" s="39">
        <f>IF($F80="","",IF($F80&gt;=9,"Promotor",IF($F80&gt;=7,"Pasiv","Detractor")))</f>
        <v/>
      </c>
      <c r="H80" s="13" t="n"/>
      <c r="I80" s="13" t="n"/>
      <c r="J80" s="13" t="n"/>
      <c r="K80" s="13" t="n"/>
      <c r="L80" s="13" t="n"/>
      <c r="M80" s="13" t="n"/>
    </row>
    <row r="81">
      <c r="A81" s="13" t="n"/>
      <c r="B81" s="35" t="n"/>
      <c r="C81" s="13" t="n"/>
      <c r="D81" s="13" t="n"/>
      <c r="E81" s="13" t="n"/>
      <c r="F81" s="38" t="n"/>
      <c r="G81" s="39">
        <f>IF($F81="","",IF($F81&gt;=9,"Promotor",IF($F81&gt;=7,"Pasiv","Detractor")))</f>
        <v/>
      </c>
      <c r="H81" s="13" t="n"/>
      <c r="I81" s="13" t="n"/>
      <c r="J81" s="13" t="n"/>
      <c r="K81" s="13" t="n"/>
      <c r="L81" s="13" t="n"/>
      <c r="M81" s="13" t="n"/>
    </row>
    <row r="82">
      <c r="A82" s="13" t="n"/>
      <c r="B82" s="35" t="n"/>
      <c r="C82" s="13" t="n"/>
      <c r="D82" s="13" t="n"/>
      <c r="E82" s="13" t="n"/>
      <c r="F82" s="38" t="n"/>
      <c r="G82" s="39">
        <f>IF($F82="","",IF($F82&gt;=9,"Promotor",IF($F82&gt;=7,"Pasiv","Detractor")))</f>
        <v/>
      </c>
      <c r="H82" s="13" t="n"/>
      <c r="I82" s="13" t="n"/>
      <c r="J82" s="13" t="n"/>
      <c r="K82" s="13" t="n"/>
      <c r="L82" s="13" t="n"/>
      <c r="M82" s="13" t="n"/>
    </row>
    <row r="83">
      <c r="A83" s="13" t="n"/>
      <c r="B83" s="35" t="n"/>
      <c r="C83" s="13" t="n"/>
      <c r="D83" s="13" t="n"/>
      <c r="E83" s="13" t="n"/>
      <c r="F83" s="38" t="n"/>
      <c r="G83" s="39">
        <f>IF($F83="","",IF($F83&gt;=9,"Promotor",IF($F83&gt;=7,"Pasiv","Detractor")))</f>
        <v/>
      </c>
      <c r="H83" s="13" t="n"/>
      <c r="I83" s="13" t="n"/>
      <c r="J83" s="13" t="n"/>
      <c r="K83" s="13" t="n"/>
      <c r="L83" s="13" t="n"/>
      <c r="M83" s="13" t="n"/>
    </row>
    <row r="84">
      <c r="A84" s="13" t="n"/>
      <c r="B84" s="35" t="n"/>
      <c r="C84" s="13" t="n"/>
      <c r="D84" s="13" t="n"/>
      <c r="E84" s="13" t="n"/>
      <c r="F84" s="38" t="n"/>
      <c r="G84" s="39">
        <f>IF($F84="","",IF($F84&gt;=9,"Promotor",IF($F84&gt;=7,"Pasiv","Detractor")))</f>
        <v/>
      </c>
      <c r="H84" s="13" t="n"/>
      <c r="I84" s="13" t="n"/>
      <c r="J84" s="13" t="n"/>
      <c r="K84" s="13" t="n"/>
      <c r="L84" s="13" t="n"/>
      <c r="M84" s="13" t="n"/>
    </row>
    <row r="85">
      <c r="A85" s="13" t="n"/>
      <c r="B85" s="35" t="n"/>
      <c r="C85" s="13" t="n"/>
      <c r="D85" s="13" t="n"/>
      <c r="E85" s="13" t="n"/>
      <c r="F85" s="38" t="n"/>
      <c r="G85" s="39">
        <f>IF($F85="","",IF($F85&gt;=9,"Promotor",IF($F85&gt;=7,"Pasiv","Detractor")))</f>
        <v/>
      </c>
      <c r="H85" s="13" t="n"/>
      <c r="I85" s="13" t="n"/>
      <c r="J85" s="13" t="n"/>
      <c r="K85" s="13" t="n"/>
      <c r="L85" s="13" t="n"/>
      <c r="M85" s="13" t="n"/>
    </row>
    <row r="86">
      <c r="A86" s="13" t="n"/>
      <c r="B86" s="35" t="n"/>
      <c r="C86" s="13" t="n"/>
      <c r="D86" s="13" t="n"/>
      <c r="E86" s="13" t="n"/>
      <c r="F86" s="38" t="n"/>
      <c r="G86" s="39">
        <f>IF($F86="","",IF($F86&gt;=9,"Promotor",IF($F86&gt;=7,"Pasiv","Detractor")))</f>
        <v/>
      </c>
      <c r="H86" s="13" t="n"/>
      <c r="I86" s="13" t="n"/>
      <c r="J86" s="13" t="n"/>
      <c r="K86" s="13" t="n"/>
      <c r="L86" s="13" t="n"/>
      <c r="M86" s="13" t="n"/>
    </row>
    <row r="87">
      <c r="A87" s="13" t="n"/>
      <c r="B87" s="35" t="n"/>
      <c r="C87" s="13" t="n"/>
      <c r="D87" s="13" t="n"/>
      <c r="E87" s="13" t="n"/>
      <c r="F87" s="38" t="n"/>
      <c r="G87" s="39">
        <f>IF($F87="","",IF($F87&gt;=9,"Promotor",IF($F87&gt;=7,"Pasiv","Detractor")))</f>
        <v/>
      </c>
      <c r="H87" s="13" t="n"/>
      <c r="I87" s="13" t="n"/>
      <c r="J87" s="13" t="n"/>
      <c r="K87" s="13" t="n"/>
      <c r="L87" s="13" t="n"/>
      <c r="M87" s="13" t="n"/>
    </row>
    <row r="88">
      <c r="A88" s="13" t="n"/>
      <c r="B88" s="35" t="n"/>
      <c r="C88" s="13" t="n"/>
      <c r="D88" s="13" t="n"/>
      <c r="E88" s="13" t="n"/>
      <c r="F88" s="38" t="n"/>
      <c r="G88" s="39">
        <f>IF($F88="","",IF($F88&gt;=9,"Promotor",IF($F88&gt;=7,"Pasiv","Detractor")))</f>
        <v/>
      </c>
      <c r="H88" s="13" t="n"/>
      <c r="I88" s="13" t="n"/>
      <c r="J88" s="13" t="n"/>
      <c r="K88" s="13" t="n"/>
      <c r="L88" s="13" t="n"/>
      <c r="M88" s="13" t="n"/>
    </row>
    <row r="89">
      <c r="A89" s="13" t="n"/>
      <c r="B89" s="35" t="n"/>
      <c r="C89" s="13" t="n"/>
      <c r="D89" s="13" t="n"/>
      <c r="E89" s="13" t="n"/>
      <c r="F89" s="38" t="n"/>
      <c r="G89" s="39">
        <f>IF($F89="","",IF($F89&gt;=9,"Promotor",IF($F89&gt;=7,"Pasiv","Detractor")))</f>
        <v/>
      </c>
      <c r="H89" s="13" t="n"/>
      <c r="I89" s="13" t="n"/>
      <c r="J89" s="13" t="n"/>
      <c r="K89" s="13" t="n"/>
      <c r="L89" s="13" t="n"/>
      <c r="M89" s="13" t="n"/>
    </row>
    <row r="90">
      <c r="A90" s="13" t="n"/>
      <c r="B90" s="35" t="n"/>
      <c r="C90" s="13" t="n"/>
      <c r="D90" s="13" t="n"/>
      <c r="E90" s="13" t="n"/>
      <c r="F90" s="38" t="n"/>
      <c r="G90" s="39">
        <f>IF($F90="","",IF($F90&gt;=9,"Promotor",IF($F90&gt;=7,"Pasiv","Detractor")))</f>
        <v/>
      </c>
      <c r="H90" s="13" t="n"/>
      <c r="I90" s="13" t="n"/>
      <c r="J90" s="13" t="n"/>
      <c r="K90" s="13" t="n"/>
      <c r="L90" s="13" t="n"/>
      <c r="M90" s="13" t="n"/>
    </row>
    <row r="91">
      <c r="A91" s="13" t="n"/>
      <c r="B91" s="35" t="n"/>
      <c r="C91" s="13" t="n"/>
      <c r="D91" s="13" t="n"/>
      <c r="E91" s="13" t="n"/>
      <c r="F91" s="38" t="n"/>
      <c r="G91" s="39">
        <f>IF($F91="","",IF($F91&gt;=9,"Promotor",IF($F91&gt;=7,"Pasiv","Detractor")))</f>
        <v/>
      </c>
      <c r="H91" s="13" t="n"/>
      <c r="I91" s="13" t="n"/>
      <c r="J91" s="13" t="n"/>
      <c r="K91" s="13" t="n"/>
      <c r="L91" s="13" t="n"/>
      <c r="M91" s="13" t="n"/>
    </row>
    <row r="92">
      <c r="A92" s="13" t="n"/>
      <c r="B92" s="35" t="n"/>
      <c r="C92" s="13" t="n"/>
      <c r="D92" s="13" t="n"/>
      <c r="E92" s="13" t="n"/>
      <c r="F92" s="38" t="n"/>
      <c r="G92" s="39">
        <f>IF($F92="","",IF($F92&gt;=9,"Promotor",IF($F92&gt;=7,"Pasiv","Detractor")))</f>
        <v/>
      </c>
      <c r="H92" s="13" t="n"/>
      <c r="I92" s="13" t="n"/>
      <c r="J92" s="13" t="n"/>
      <c r="K92" s="13" t="n"/>
      <c r="L92" s="13" t="n"/>
      <c r="M92" s="13" t="n"/>
    </row>
    <row r="93">
      <c r="A93" s="13" t="n"/>
      <c r="B93" s="35" t="n"/>
      <c r="C93" s="13" t="n"/>
      <c r="D93" s="13" t="n"/>
      <c r="E93" s="13" t="n"/>
      <c r="F93" s="38" t="n"/>
      <c r="G93" s="39">
        <f>IF($F93="","",IF($F93&gt;=9,"Promotor",IF($F93&gt;=7,"Pasiv","Detractor")))</f>
        <v/>
      </c>
      <c r="H93" s="13" t="n"/>
      <c r="I93" s="13" t="n"/>
      <c r="J93" s="13" t="n"/>
      <c r="K93" s="13" t="n"/>
      <c r="L93" s="13" t="n"/>
      <c r="M93" s="13" t="n"/>
    </row>
    <row r="94">
      <c r="A94" s="13" t="n"/>
      <c r="B94" s="35" t="n"/>
      <c r="C94" s="13" t="n"/>
      <c r="D94" s="13" t="n"/>
      <c r="E94" s="13" t="n"/>
      <c r="F94" s="38" t="n"/>
      <c r="G94" s="39">
        <f>IF($F94="","",IF($F94&gt;=9,"Promotor",IF($F94&gt;=7,"Pasiv","Detractor")))</f>
        <v/>
      </c>
      <c r="H94" s="13" t="n"/>
      <c r="I94" s="13" t="n"/>
      <c r="J94" s="13" t="n"/>
      <c r="K94" s="13" t="n"/>
      <c r="L94" s="13" t="n"/>
      <c r="M94" s="13" t="n"/>
    </row>
    <row r="95">
      <c r="A95" s="13" t="n"/>
      <c r="B95" s="35" t="n"/>
      <c r="C95" s="13" t="n"/>
      <c r="D95" s="13" t="n"/>
      <c r="E95" s="13" t="n"/>
      <c r="F95" s="38" t="n"/>
      <c r="G95" s="39">
        <f>IF($F95="","",IF($F95&gt;=9,"Promotor",IF($F95&gt;=7,"Pasiv","Detractor")))</f>
        <v/>
      </c>
      <c r="H95" s="13" t="n"/>
      <c r="I95" s="13" t="n"/>
      <c r="J95" s="13" t="n"/>
      <c r="K95" s="13" t="n"/>
      <c r="L95" s="13" t="n"/>
      <c r="M95" s="13" t="n"/>
    </row>
    <row r="96">
      <c r="A96" s="13" t="n"/>
      <c r="B96" s="35" t="n"/>
      <c r="C96" s="13" t="n"/>
      <c r="D96" s="13" t="n"/>
      <c r="E96" s="13" t="n"/>
      <c r="F96" s="38" t="n"/>
      <c r="G96" s="39">
        <f>IF($F96="","",IF($F96&gt;=9,"Promotor",IF($F96&gt;=7,"Pasiv","Detractor")))</f>
        <v/>
      </c>
      <c r="H96" s="13" t="n"/>
      <c r="I96" s="13" t="n"/>
      <c r="J96" s="13" t="n"/>
      <c r="K96" s="13" t="n"/>
      <c r="L96" s="13" t="n"/>
      <c r="M96" s="13" t="n"/>
    </row>
    <row r="97">
      <c r="A97" s="13" t="n"/>
      <c r="B97" s="35" t="n"/>
      <c r="C97" s="13" t="n"/>
      <c r="D97" s="13" t="n"/>
      <c r="E97" s="13" t="n"/>
      <c r="F97" s="38" t="n"/>
      <c r="G97" s="39">
        <f>IF($F97="","",IF($F97&gt;=9,"Promotor",IF($F97&gt;=7,"Pasiv","Detractor")))</f>
        <v/>
      </c>
      <c r="H97" s="13" t="n"/>
      <c r="I97" s="13" t="n"/>
      <c r="J97" s="13" t="n"/>
      <c r="K97" s="13" t="n"/>
      <c r="L97" s="13" t="n"/>
      <c r="M97" s="13" t="n"/>
    </row>
    <row r="98">
      <c r="A98" s="13" t="n"/>
      <c r="B98" s="35" t="n"/>
      <c r="C98" s="13" t="n"/>
      <c r="D98" s="13" t="n"/>
      <c r="E98" s="13" t="n"/>
      <c r="F98" s="38" t="n"/>
      <c r="G98" s="39">
        <f>IF($F98="","",IF($F98&gt;=9,"Promotor",IF($F98&gt;=7,"Pasiv","Detractor")))</f>
        <v/>
      </c>
      <c r="H98" s="13" t="n"/>
      <c r="I98" s="13" t="n"/>
      <c r="J98" s="13" t="n"/>
      <c r="K98" s="13" t="n"/>
      <c r="L98" s="13" t="n"/>
      <c r="M98" s="13" t="n"/>
    </row>
    <row r="99">
      <c r="A99" s="13" t="n"/>
      <c r="B99" s="35" t="n"/>
      <c r="C99" s="13" t="n"/>
      <c r="D99" s="13" t="n"/>
      <c r="E99" s="13" t="n"/>
      <c r="F99" s="38" t="n"/>
      <c r="G99" s="39">
        <f>IF($F99="","",IF($F99&gt;=9,"Promotor",IF($F99&gt;=7,"Pasiv","Detractor")))</f>
        <v/>
      </c>
      <c r="H99" s="13" t="n"/>
      <c r="I99" s="13" t="n"/>
      <c r="J99" s="13" t="n"/>
      <c r="K99" s="13" t="n"/>
      <c r="L99" s="13" t="n"/>
      <c r="M99" s="13" t="n"/>
    </row>
    <row r="100">
      <c r="A100" s="13" t="n"/>
      <c r="B100" s="35" t="n"/>
      <c r="C100" s="13" t="n"/>
      <c r="D100" s="13" t="n"/>
      <c r="E100" s="13" t="n"/>
      <c r="F100" s="38" t="n"/>
      <c r="G100" s="39">
        <f>IF($F100="","",IF($F100&gt;=9,"Promotor",IF($F100&gt;=7,"Pasiv","Detractor")))</f>
        <v/>
      </c>
      <c r="H100" s="13" t="n"/>
      <c r="I100" s="13" t="n"/>
      <c r="J100" s="13" t="n"/>
      <c r="K100" s="13" t="n"/>
      <c r="L100" s="13" t="n"/>
      <c r="M100" s="13" t="n"/>
    </row>
    <row r="101">
      <c r="A101" s="13" t="n"/>
      <c r="B101" s="35" t="n"/>
      <c r="C101" s="13" t="n"/>
      <c r="D101" s="13" t="n"/>
      <c r="E101" s="13" t="n"/>
      <c r="F101" s="38" t="n"/>
      <c r="G101" s="39">
        <f>IF($F101="","",IF($F101&gt;=9,"Promotor",IF($F101&gt;=7,"Pasiv","Detractor")))</f>
        <v/>
      </c>
      <c r="H101" s="13" t="n"/>
      <c r="I101" s="13" t="n"/>
      <c r="J101" s="13" t="n"/>
      <c r="K101" s="13" t="n"/>
      <c r="L101" s="13" t="n"/>
      <c r="M101" s="13" t="n"/>
    </row>
    <row r="102">
      <c r="A102" s="13" t="n"/>
      <c r="B102" s="35" t="n"/>
      <c r="C102" s="13" t="n"/>
      <c r="D102" s="13" t="n"/>
      <c r="E102" s="13" t="n"/>
      <c r="F102" s="38" t="n"/>
      <c r="G102" s="39">
        <f>IF($F102="","",IF($F102&gt;=9,"Promotor",IF($F102&gt;=7,"Pasiv","Detractor")))</f>
        <v/>
      </c>
      <c r="H102" s="13" t="n"/>
      <c r="I102" s="13" t="n"/>
      <c r="J102" s="13" t="n"/>
      <c r="K102" s="13" t="n"/>
      <c r="L102" s="13" t="n"/>
      <c r="M102" s="13" t="n"/>
    </row>
    <row r="103">
      <c r="A103" s="13" t="n"/>
      <c r="B103" s="35" t="n"/>
      <c r="C103" s="13" t="n"/>
      <c r="D103" s="13" t="n"/>
      <c r="E103" s="13" t="n"/>
      <c r="F103" s="38" t="n"/>
      <c r="G103" s="39">
        <f>IF($F103="","",IF($F103&gt;=9,"Promotor",IF($F103&gt;=7,"Pasiv","Detractor")))</f>
        <v/>
      </c>
      <c r="H103" s="13" t="n"/>
      <c r="I103" s="13" t="n"/>
      <c r="J103" s="13" t="n"/>
      <c r="K103" s="13" t="n"/>
      <c r="L103" s="13" t="n"/>
      <c r="M103" s="13" t="n"/>
    </row>
    <row r="104">
      <c r="A104" s="13" t="n"/>
      <c r="B104" s="35" t="n"/>
      <c r="C104" s="13" t="n"/>
      <c r="D104" s="13" t="n"/>
      <c r="E104" s="13" t="n"/>
      <c r="F104" s="38" t="n"/>
      <c r="G104" s="39">
        <f>IF($F104="","",IF($F104&gt;=9,"Promotor",IF($F104&gt;=7,"Pasiv","Detractor")))</f>
        <v/>
      </c>
      <c r="H104" s="13" t="n"/>
      <c r="I104" s="13" t="n"/>
      <c r="J104" s="13" t="n"/>
      <c r="K104" s="13" t="n"/>
      <c r="L104" s="13" t="n"/>
      <c r="M104" s="13" t="n"/>
    </row>
    <row r="105">
      <c r="A105" s="13" t="n"/>
      <c r="B105" s="35" t="n"/>
      <c r="C105" s="13" t="n"/>
      <c r="D105" s="13" t="n"/>
      <c r="E105" s="13" t="n"/>
      <c r="F105" s="38" t="n"/>
      <c r="G105" s="39">
        <f>IF($F105="","",IF($F105&gt;=9,"Promotor",IF($F105&gt;=7,"Pasiv","Detractor")))</f>
        <v/>
      </c>
      <c r="H105" s="13" t="n"/>
      <c r="I105" s="13" t="n"/>
      <c r="J105" s="13" t="n"/>
      <c r="K105" s="13" t="n"/>
      <c r="L105" s="13" t="n"/>
      <c r="M105" s="13" t="n"/>
    </row>
    <row r="106">
      <c r="A106" s="13" t="n"/>
      <c r="B106" s="35" t="n"/>
      <c r="C106" s="13" t="n"/>
      <c r="D106" s="13" t="n"/>
      <c r="E106" s="13" t="n"/>
      <c r="F106" s="38" t="n"/>
      <c r="G106" s="39">
        <f>IF($F106="","",IF($F106&gt;=9,"Promotor",IF($F106&gt;=7,"Pasiv","Detractor")))</f>
        <v/>
      </c>
      <c r="H106" s="13" t="n"/>
      <c r="I106" s="13" t="n"/>
      <c r="J106" s="13" t="n"/>
      <c r="K106" s="13" t="n"/>
      <c r="L106" s="13" t="n"/>
      <c r="M106" s="13" t="n"/>
    </row>
    <row r="107">
      <c r="A107" s="13" t="n"/>
      <c r="B107" s="35" t="n"/>
      <c r="C107" s="13" t="n"/>
      <c r="D107" s="13" t="n"/>
      <c r="E107" s="13" t="n"/>
      <c r="F107" s="38" t="n"/>
      <c r="G107" s="39">
        <f>IF($F107="","",IF($F107&gt;=9,"Promotor",IF($F107&gt;=7,"Pasiv","Detractor")))</f>
        <v/>
      </c>
      <c r="H107" s="13" t="n"/>
      <c r="I107" s="13" t="n"/>
      <c r="J107" s="13" t="n"/>
      <c r="K107" s="13" t="n"/>
      <c r="L107" s="13" t="n"/>
      <c r="M107" s="13" t="n"/>
    </row>
    <row r="108">
      <c r="A108" s="13" t="n"/>
      <c r="B108" s="35" t="n"/>
      <c r="C108" s="13" t="n"/>
      <c r="D108" s="13" t="n"/>
      <c r="E108" s="13" t="n"/>
      <c r="F108" s="38" t="n"/>
      <c r="G108" s="39">
        <f>IF($F108="","",IF($F108&gt;=9,"Promotor",IF($F108&gt;=7,"Pasiv","Detractor")))</f>
        <v/>
      </c>
      <c r="H108" s="13" t="n"/>
      <c r="I108" s="13" t="n"/>
      <c r="J108" s="13" t="n"/>
      <c r="K108" s="13" t="n"/>
      <c r="L108" s="13" t="n"/>
      <c r="M108" s="13" t="n"/>
    </row>
    <row r="109">
      <c r="A109" s="13" t="n"/>
      <c r="B109" s="35" t="n"/>
      <c r="C109" s="13" t="n"/>
      <c r="D109" s="13" t="n"/>
      <c r="E109" s="13" t="n"/>
      <c r="F109" s="38" t="n"/>
      <c r="G109" s="39">
        <f>IF($F109="","",IF($F109&gt;=9,"Promotor",IF($F109&gt;=7,"Pasiv","Detractor")))</f>
        <v/>
      </c>
      <c r="H109" s="13" t="n"/>
      <c r="I109" s="13" t="n"/>
      <c r="J109" s="13" t="n"/>
      <c r="K109" s="13" t="n"/>
      <c r="L109" s="13" t="n"/>
      <c r="M109" s="13" t="n"/>
    </row>
    <row r="110">
      <c r="A110" s="13" t="n"/>
      <c r="B110" s="35" t="n"/>
      <c r="C110" s="13" t="n"/>
      <c r="D110" s="13" t="n"/>
      <c r="E110" s="13" t="n"/>
      <c r="F110" s="38" t="n"/>
      <c r="G110" s="39">
        <f>IF($F110="","",IF($F110&gt;=9,"Promotor",IF($F110&gt;=7,"Pasiv","Detractor")))</f>
        <v/>
      </c>
      <c r="H110" s="13" t="n"/>
      <c r="I110" s="13" t="n"/>
      <c r="J110" s="13" t="n"/>
      <c r="K110" s="13" t="n"/>
      <c r="L110" s="13" t="n"/>
      <c r="M110" s="13" t="n"/>
    </row>
    <row r="111">
      <c r="A111" s="13" t="n"/>
      <c r="B111" s="35" t="n"/>
      <c r="C111" s="13" t="n"/>
      <c r="D111" s="13" t="n"/>
      <c r="E111" s="13" t="n"/>
      <c r="F111" s="38" t="n"/>
      <c r="G111" s="39">
        <f>IF($F111="","",IF($F111&gt;=9,"Promotor",IF($F111&gt;=7,"Pasiv","Detractor")))</f>
        <v/>
      </c>
      <c r="H111" s="13" t="n"/>
      <c r="I111" s="13" t="n"/>
      <c r="J111" s="13" t="n"/>
      <c r="K111" s="13" t="n"/>
      <c r="L111" s="13" t="n"/>
      <c r="M111" s="13" t="n"/>
    </row>
    <row r="112">
      <c r="A112" s="13" t="n"/>
      <c r="B112" s="35" t="n"/>
      <c r="C112" s="13" t="n"/>
      <c r="D112" s="13" t="n"/>
      <c r="E112" s="13" t="n"/>
      <c r="F112" s="38" t="n"/>
      <c r="G112" s="39">
        <f>IF($F112="","",IF($F112&gt;=9,"Promotor",IF($F112&gt;=7,"Pasiv","Detractor")))</f>
        <v/>
      </c>
      <c r="H112" s="13" t="n"/>
      <c r="I112" s="13" t="n"/>
      <c r="J112" s="13" t="n"/>
      <c r="K112" s="13" t="n"/>
      <c r="L112" s="13" t="n"/>
      <c r="M112" s="13" t="n"/>
    </row>
    <row r="113">
      <c r="A113" s="13" t="n"/>
      <c r="B113" s="35" t="n"/>
      <c r="C113" s="13" t="n"/>
      <c r="D113" s="13" t="n"/>
      <c r="E113" s="13" t="n"/>
      <c r="F113" s="38" t="n"/>
      <c r="G113" s="39">
        <f>IF($F113="","",IF($F113&gt;=9,"Promotor",IF($F113&gt;=7,"Pasiv","Detractor")))</f>
        <v/>
      </c>
      <c r="H113" s="13" t="n"/>
      <c r="I113" s="13" t="n"/>
      <c r="J113" s="13" t="n"/>
      <c r="K113" s="13" t="n"/>
      <c r="L113" s="13" t="n"/>
      <c r="M113" s="13" t="n"/>
    </row>
    <row r="114">
      <c r="A114" s="13" t="n"/>
      <c r="B114" s="35" t="n"/>
      <c r="C114" s="13" t="n"/>
      <c r="D114" s="13" t="n"/>
      <c r="E114" s="13" t="n"/>
      <c r="F114" s="38" t="n"/>
      <c r="G114" s="39">
        <f>IF($F114="","",IF($F114&gt;=9,"Promotor",IF($F114&gt;=7,"Pasiv","Detractor")))</f>
        <v/>
      </c>
      <c r="H114" s="13" t="n"/>
      <c r="I114" s="13" t="n"/>
      <c r="J114" s="13" t="n"/>
      <c r="K114" s="13" t="n"/>
      <c r="L114" s="13" t="n"/>
      <c r="M114" s="13" t="n"/>
    </row>
    <row r="115">
      <c r="A115" s="13" t="n"/>
      <c r="B115" s="35" t="n"/>
      <c r="C115" s="13" t="n"/>
      <c r="D115" s="13" t="n"/>
      <c r="E115" s="13" t="n"/>
      <c r="F115" s="38" t="n"/>
      <c r="G115" s="39">
        <f>IF($F115="","",IF($F115&gt;=9,"Promotor",IF($F115&gt;=7,"Pasiv","Detractor")))</f>
        <v/>
      </c>
      <c r="H115" s="13" t="n"/>
      <c r="I115" s="13" t="n"/>
      <c r="J115" s="13" t="n"/>
      <c r="K115" s="13" t="n"/>
      <c r="L115" s="13" t="n"/>
      <c r="M115" s="13" t="n"/>
    </row>
    <row r="116">
      <c r="A116" s="13" t="n"/>
      <c r="B116" s="35" t="n"/>
      <c r="C116" s="13" t="n"/>
      <c r="D116" s="13" t="n"/>
      <c r="E116" s="13" t="n"/>
      <c r="F116" s="38" t="n"/>
      <c r="G116" s="39">
        <f>IF($F116="","",IF($F116&gt;=9,"Promotor",IF($F116&gt;=7,"Pasiv","Detractor")))</f>
        <v/>
      </c>
      <c r="H116" s="13" t="n"/>
      <c r="I116" s="13" t="n"/>
      <c r="J116" s="13" t="n"/>
      <c r="K116" s="13" t="n"/>
      <c r="L116" s="13" t="n"/>
      <c r="M116" s="13" t="n"/>
    </row>
    <row r="117">
      <c r="A117" s="13" t="n"/>
      <c r="B117" s="35" t="n"/>
      <c r="C117" s="13" t="n"/>
      <c r="D117" s="13" t="n"/>
      <c r="E117" s="13" t="n"/>
      <c r="F117" s="38" t="n"/>
      <c r="G117" s="39">
        <f>IF($F117="","",IF($F117&gt;=9,"Promotor",IF($F117&gt;=7,"Pasiv","Detractor")))</f>
        <v/>
      </c>
      <c r="H117" s="13" t="n"/>
      <c r="I117" s="13" t="n"/>
      <c r="J117" s="13" t="n"/>
      <c r="K117" s="13" t="n"/>
      <c r="L117" s="13" t="n"/>
      <c r="M117" s="13" t="n"/>
    </row>
    <row r="118">
      <c r="A118" s="13" t="n"/>
      <c r="B118" s="35" t="n"/>
      <c r="C118" s="13" t="n"/>
      <c r="D118" s="13" t="n"/>
      <c r="E118" s="13" t="n"/>
      <c r="F118" s="38" t="n"/>
      <c r="G118" s="39">
        <f>IF($F118="","",IF($F118&gt;=9,"Promotor",IF($F118&gt;=7,"Pasiv","Detractor")))</f>
        <v/>
      </c>
      <c r="H118" s="13" t="n"/>
      <c r="I118" s="13" t="n"/>
      <c r="J118" s="13" t="n"/>
      <c r="K118" s="13" t="n"/>
      <c r="L118" s="13" t="n"/>
      <c r="M118" s="13" t="n"/>
    </row>
    <row r="119">
      <c r="A119" s="13" t="n"/>
      <c r="B119" s="35" t="n"/>
      <c r="C119" s="13" t="n"/>
      <c r="D119" s="13" t="n"/>
      <c r="E119" s="13" t="n"/>
      <c r="F119" s="38" t="n"/>
      <c r="G119" s="39">
        <f>IF($F119="","",IF($F119&gt;=9,"Promotor",IF($F119&gt;=7,"Pasiv","Detractor")))</f>
        <v/>
      </c>
      <c r="H119" s="13" t="n"/>
      <c r="I119" s="13" t="n"/>
      <c r="J119" s="13" t="n"/>
      <c r="K119" s="13" t="n"/>
      <c r="L119" s="13" t="n"/>
      <c r="M119" s="13" t="n"/>
    </row>
    <row r="120">
      <c r="A120" s="13" t="n"/>
      <c r="B120" s="35" t="n"/>
      <c r="C120" s="13" t="n"/>
      <c r="D120" s="13" t="n"/>
      <c r="E120" s="13" t="n"/>
      <c r="F120" s="38" t="n"/>
      <c r="G120" s="39">
        <f>IF($F120="","",IF($F120&gt;=9,"Promotor",IF($F120&gt;=7,"Pasiv","Detractor")))</f>
        <v/>
      </c>
      <c r="H120" s="13" t="n"/>
      <c r="I120" s="13" t="n"/>
      <c r="J120" s="13" t="n"/>
      <c r="K120" s="13" t="n"/>
      <c r="L120" s="13" t="n"/>
      <c r="M120" s="13" t="n"/>
    </row>
    <row r="121">
      <c r="A121" s="13" t="n"/>
      <c r="B121" s="35" t="n"/>
      <c r="C121" s="13" t="n"/>
      <c r="D121" s="13" t="n"/>
      <c r="E121" s="13" t="n"/>
      <c r="F121" s="38" t="n"/>
      <c r="G121" s="39">
        <f>IF($F121="","",IF($F121&gt;=9,"Promotor",IF($F121&gt;=7,"Pasiv","Detractor")))</f>
        <v/>
      </c>
      <c r="H121" s="13" t="n"/>
      <c r="I121" s="13" t="n"/>
      <c r="J121" s="13" t="n"/>
      <c r="K121" s="13" t="n"/>
      <c r="L121" s="13" t="n"/>
      <c r="M121" s="13" t="n"/>
    </row>
    <row r="122">
      <c r="A122" s="13" t="n"/>
      <c r="B122" s="35" t="n"/>
      <c r="C122" s="13" t="n"/>
      <c r="D122" s="13" t="n"/>
      <c r="E122" s="13" t="n"/>
      <c r="F122" s="38" t="n"/>
      <c r="G122" s="39">
        <f>IF($F122="","",IF($F122&gt;=9,"Promotor",IF($F122&gt;=7,"Pasiv","Detractor")))</f>
        <v/>
      </c>
      <c r="H122" s="13" t="n"/>
      <c r="I122" s="13" t="n"/>
      <c r="J122" s="13" t="n"/>
      <c r="K122" s="13" t="n"/>
      <c r="L122" s="13" t="n"/>
      <c r="M122" s="13" t="n"/>
    </row>
    <row r="123">
      <c r="A123" s="13" t="n"/>
      <c r="B123" s="35" t="n"/>
      <c r="C123" s="13" t="n"/>
      <c r="D123" s="13" t="n"/>
      <c r="E123" s="13" t="n"/>
      <c r="F123" s="38" t="n"/>
      <c r="G123" s="39">
        <f>IF($F123="","",IF($F123&gt;=9,"Promotor",IF($F123&gt;=7,"Pasiv","Detractor")))</f>
        <v/>
      </c>
      <c r="H123" s="13" t="n"/>
      <c r="I123" s="13" t="n"/>
      <c r="J123" s="13" t="n"/>
      <c r="K123" s="13" t="n"/>
      <c r="L123" s="13" t="n"/>
      <c r="M123" s="13" t="n"/>
    </row>
    <row r="124">
      <c r="A124" s="13" t="n"/>
      <c r="B124" s="35" t="n"/>
      <c r="C124" s="13" t="n"/>
      <c r="D124" s="13" t="n"/>
      <c r="E124" s="13" t="n"/>
      <c r="F124" s="38" t="n"/>
      <c r="G124" s="39">
        <f>IF($F124="","",IF($F124&gt;=9,"Promotor",IF($F124&gt;=7,"Pasiv","Detractor")))</f>
        <v/>
      </c>
      <c r="H124" s="13" t="n"/>
      <c r="I124" s="13" t="n"/>
      <c r="J124" s="13" t="n"/>
      <c r="K124" s="13" t="n"/>
      <c r="L124" s="13" t="n"/>
      <c r="M124" s="13" t="n"/>
    </row>
    <row r="125">
      <c r="A125" s="13" t="n"/>
      <c r="B125" s="35" t="n"/>
      <c r="C125" s="13" t="n"/>
      <c r="D125" s="13" t="n"/>
      <c r="E125" s="13" t="n"/>
      <c r="F125" s="38" t="n"/>
      <c r="G125" s="39">
        <f>IF($F125="","",IF($F125&gt;=9,"Promotor",IF($F125&gt;=7,"Pasiv","Detractor")))</f>
        <v/>
      </c>
      <c r="H125" s="13" t="n"/>
      <c r="I125" s="13" t="n"/>
      <c r="J125" s="13" t="n"/>
      <c r="K125" s="13" t="n"/>
      <c r="L125" s="13" t="n"/>
      <c r="M125" s="13" t="n"/>
    </row>
    <row r="126">
      <c r="A126" s="13" t="n"/>
      <c r="B126" s="35" t="n"/>
      <c r="C126" s="13" t="n"/>
      <c r="D126" s="13" t="n"/>
      <c r="E126" s="13" t="n"/>
      <c r="F126" s="38" t="n"/>
      <c r="G126" s="39">
        <f>IF($F126="","",IF($F126&gt;=9,"Promotor",IF($F126&gt;=7,"Pasiv","Detractor")))</f>
        <v/>
      </c>
      <c r="H126" s="13" t="n"/>
      <c r="I126" s="13" t="n"/>
      <c r="J126" s="13" t="n"/>
      <c r="K126" s="13" t="n"/>
      <c r="L126" s="13" t="n"/>
      <c r="M126" s="13" t="n"/>
    </row>
    <row r="127">
      <c r="A127" s="13" t="n"/>
      <c r="B127" s="35" t="n"/>
      <c r="C127" s="13" t="n"/>
      <c r="D127" s="13" t="n"/>
      <c r="E127" s="13" t="n"/>
      <c r="F127" s="38" t="n"/>
      <c r="G127" s="39">
        <f>IF($F127="","",IF($F127&gt;=9,"Promotor",IF($F127&gt;=7,"Pasiv","Detractor")))</f>
        <v/>
      </c>
      <c r="H127" s="13" t="n"/>
      <c r="I127" s="13" t="n"/>
      <c r="J127" s="13" t="n"/>
      <c r="K127" s="13" t="n"/>
      <c r="L127" s="13" t="n"/>
      <c r="M127" s="13" t="n"/>
    </row>
    <row r="128">
      <c r="A128" s="13" t="n"/>
      <c r="B128" s="35" t="n"/>
      <c r="C128" s="13" t="n"/>
      <c r="D128" s="13" t="n"/>
      <c r="E128" s="13" t="n"/>
      <c r="F128" s="38" t="n"/>
      <c r="G128" s="39">
        <f>IF($F128="","",IF($F128&gt;=9,"Promotor",IF($F128&gt;=7,"Pasiv","Detractor")))</f>
        <v/>
      </c>
      <c r="H128" s="13" t="n"/>
      <c r="I128" s="13" t="n"/>
      <c r="J128" s="13" t="n"/>
      <c r="K128" s="13" t="n"/>
      <c r="L128" s="13" t="n"/>
      <c r="M128" s="13" t="n"/>
    </row>
    <row r="129">
      <c r="A129" s="13" t="n"/>
      <c r="B129" s="35" t="n"/>
      <c r="C129" s="13" t="n"/>
      <c r="D129" s="13" t="n"/>
      <c r="E129" s="13" t="n"/>
      <c r="F129" s="38" t="n"/>
      <c r="G129" s="39">
        <f>IF($F129="","",IF($F129&gt;=9,"Promotor",IF($F129&gt;=7,"Pasiv","Detractor")))</f>
        <v/>
      </c>
      <c r="H129" s="13" t="n"/>
      <c r="I129" s="13" t="n"/>
      <c r="J129" s="13" t="n"/>
      <c r="K129" s="13" t="n"/>
      <c r="L129" s="13" t="n"/>
      <c r="M129" s="13" t="n"/>
    </row>
    <row r="130">
      <c r="A130" s="13" t="n"/>
      <c r="B130" s="35" t="n"/>
      <c r="C130" s="13" t="n"/>
      <c r="D130" s="13" t="n"/>
      <c r="E130" s="13" t="n"/>
      <c r="F130" s="38" t="n"/>
      <c r="G130" s="39">
        <f>IF($F130="","",IF($F130&gt;=9,"Promotor",IF($F130&gt;=7,"Pasiv","Detractor")))</f>
        <v/>
      </c>
      <c r="H130" s="13" t="n"/>
      <c r="I130" s="13" t="n"/>
      <c r="J130" s="13" t="n"/>
      <c r="K130" s="13" t="n"/>
      <c r="L130" s="13" t="n"/>
      <c r="M130" s="13" t="n"/>
    </row>
    <row r="131">
      <c r="A131" s="13" t="n"/>
      <c r="B131" s="35" t="n"/>
      <c r="C131" s="13" t="n"/>
      <c r="D131" s="13" t="n"/>
      <c r="E131" s="13" t="n"/>
      <c r="F131" s="38" t="n"/>
      <c r="G131" s="39">
        <f>IF($F131="","",IF($F131&gt;=9,"Promotor",IF($F131&gt;=7,"Pasiv","Detractor")))</f>
        <v/>
      </c>
      <c r="H131" s="13" t="n"/>
      <c r="I131" s="13" t="n"/>
      <c r="J131" s="13" t="n"/>
      <c r="K131" s="13" t="n"/>
      <c r="L131" s="13" t="n"/>
      <c r="M131" s="13" t="n"/>
    </row>
    <row r="132">
      <c r="A132" s="13" t="n"/>
      <c r="B132" s="35" t="n"/>
      <c r="C132" s="13" t="n"/>
      <c r="D132" s="13" t="n"/>
      <c r="E132" s="13" t="n"/>
      <c r="F132" s="38" t="n"/>
      <c r="G132" s="39">
        <f>IF($F132="","",IF($F132&gt;=9,"Promotor",IF($F132&gt;=7,"Pasiv","Detractor")))</f>
        <v/>
      </c>
      <c r="H132" s="13" t="n"/>
      <c r="I132" s="13" t="n"/>
      <c r="J132" s="13" t="n"/>
      <c r="K132" s="13" t="n"/>
      <c r="L132" s="13" t="n"/>
      <c r="M132" s="13" t="n"/>
    </row>
    <row r="133">
      <c r="A133" s="13" t="n"/>
      <c r="B133" s="35" t="n"/>
      <c r="C133" s="13" t="n"/>
      <c r="D133" s="13" t="n"/>
      <c r="E133" s="13" t="n"/>
      <c r="F133" s="38" t="n"/>
      <c r="G133" s="39">
        <f>IF($F133="","",IF($F133&gt;=9,"Promotor",IF($F133&gt;=7,"Pasiv","Detractor")))</f>
        <v/>
      </c>
      <c r="H133" s="13" t="n"/>
      <c r="I133" s="13" t="n"/>
      <c r="J133" s="13" t="n"/>
      <c r="K133" s="13" t="n"/>
      <c r="L133" s="13" t="n"/>
      <c r="M133" s="13" t="n"/>
    </row>
    <row r="134">
      <c r="A134" s="13" t="n"/>
      <c r="B134" s="35" t="n"/>
      <c r="C134" s="13" t="n"/>
      <c r="D134" s="13" t="n"/>
      <c r="E134" s="13" t="n"/>
      <c r="F134" s="38" t="n"/>
      <c r="G134" s="39">
        <f>IF($F134="","",IF($F134&gt;=9,"Promotor",IF($F134&gt;=7,"Pasiv","Detractor")))</f>
        <v/>
      </c>
      <c r="H134" s="13" t="n"/>
      <c r="I134" s="13" t="n"/>
      <c r="J134" s="13" t="n"/>
      <c r="K134" s="13" t="n"/>
      <c r="L134" s="13" t="n"/>
      <c r="M134" s="13" t="n"/>
    </row>
    <row r="135">
      <c r="A135" s="13" t="n"/>
      <c r="B135" s="35" t="n"/>
      <c r="C135" s="13" t="n"/>
      <c r="D135" s="13" t="n"/>
      <c r="E135" s="13" t="n"/>
      <c r="F135" s="38" t="n"/>
      <c r="G135" s="39">
        <f>IF($F135="","",IF($F135&gt;=9,"Promotor",IF($F135&gt;=7,"Pasiv","Detractor")))</f>
        <v/>
      </c>
      <c r="H135" s="13" t="n"/>
      <c r="I135" s="13" t="n"/>
      <c r="J135" s="13" t="n"/>
      <c r="K135" s="13" t="n"/>
      <c r="L135" s="13" t="n"/>
      <c r="M135" s="13" t="n"/>
    </row>
    <row r="136">
      <c r="A136" s="13" t="n"/>
      <c r="B136" s="35" t="n"/>
      <c r="C136" s="13" t="n"/>
      <c r="D136" s="13" t="n"/>
      <c r="E136" s="13" t="n"/>
      <c r="F136" s="38" t="n"/>
      <c r="G136" s="39">
        <f>IF($F136="","",IF($F136&gt;=9,"Promotor",IF($F136&gt;=7,"Pasiv","Detractor")))</f>
        <v/>
      </c>
      <c r="H136" s="13" t="n"/>
      <c r="I136" s="13" t="n"/>
      <c r="J136" s="13" t="n"/>
      <c r="K136" s="13" t="n"/>
      <c r="L136" s="13" t="n"/>
      <c r="M136" s="13" t="n"/>
    </row>
    <row r="137">
      <c r="A137" s="13" t="n"/>
      <c r="B137" s="35" t="n"/>
      <c r="C137" s="13" t="n"/>
      <c r="D137" s="13" t="n"/>
      <c r="E137" s="13" t="n"/>
      <c r="F137" s="38" t="n"/>
      <c r="G137" s="39">
        <f>IF($F137="","",IF($F137&gt;=9,"Promotor",IF($F137&gt;=7,"Pasiv","Detractor")))</f>
        <v/>
      </c>
      <c r="H137" s="13" t="n"/>
      <c r="I137" s="13" t="n"/>
      <c r="J137" s="13" t="n"/>
      <c r="K137" s="13" t="n"/>
      <c r="L137" s="13" t="n"/>
      <c r="M137" s="13" t="n"/>
    </row>
    <row r="138">
      <c r="A138" s="13" t="n"/>
      <c r="B138" s="35" t="n"/>
      <c r="C138" s="13" t="n"/>
      <c r="D138" s="13" t="n"/>
      <c r="E138" s="13" t="n"/>
      <c r="F138" s="38" t="n"/>
      <c r="G138" s="39">
        <f>IF($F138="","",IF($F138&gt;=9,"Promotor",IF($F138&gt;=7,"Pasiv","Detractor")))</f>
        <v/>
      </c>
      <c r="H138" s="13" t="n"/>
      <c r="I138" s="13" t="n"/>
      <c r="J138" s="13" t="n"/>
      <c r="K138" s="13" t="n"/>
      <c r="L138" s="13" t="n"/>
      <c r="M138" s="13" t="n"/>
    </row>
    <row r="139">
      <c r="A139" s="13" t="n"/>
      <c r="B139" s="35" t="n"/>
      <c r="C139" s="13" t="n"/>
      <c r="D139" s="13" t="n"/>
      <c r="E139" s="13" t="n"/>
      <c r="F139" s="38" t="n"/>
      <c r="G139" s="39">
        <f>IF($F139="","",IF($F139&gt;=9,"Promotor",IF($F139&gt;=7,"Pasiv","Detractor")))</f>
        <v/>
      </c>
      <c r="H139" s="13" t="n"/>
      <c r="I139" s="13" t="n"/>
      <c r="J139" s="13" t="n"/>
      <c r="K139" s="13" t="n"/>
      <c r="L139" s="13" t="n"/>
      <c r="M139" s="13" t="n"/>
    </row>
    <row r="140">
      <c r="A140" s="13" t="n"/>
      <c r="B140" s="35" t="n"/>
      <c r="C140" s="13" t="n"/>
      <c r="D140" s="13" t="n"/>
      <c r="E140" s="13" t="n"/>
      <c r="F140" s="38" t="n"/>
      <c r="G140" s="39">
        <f>IF($F140="","",IF($F140&gt;=9,"Promotor",IF($F140&gt;=7,"Pasiv","Detractor")))</f>
        <v/>
      </c>
      <c r="H140" s="13" t="n"/>
      <c r="I140" s="13" t="n"/>
      <c r="J140" s="13" t="n"/>
      <c r="K140" s="13" t="n"/>
      <c r="L140" s="13" t="n"/>
      <c r="M140" s="13" t="n"/>
    </row>
    <row r="141">
      <c r="A141" s="13" t="n"/>
      <c r="B141" s="35" t="n"/>
      <c r="C141" s="13" t="n"/>
      <c r="D141" s="13" t="n"/>
      <c r="E141" s="13" t="n"/>
      <c r="F141" s="38" t="n"/>
      <c r="G141" s="39">
        <f>IF($F141="","",IF($F141&gt;=9,"Promotor",IF($F141&gt;=7,"Pasiv","Detractor")))</f>
        <v/>
      </c>
      <c r="H141" s="13" t="n"/>
      <c r="I141" s="13" t="n"/>
      <c r="J141" s="13" t="n"/>
      <c r="K141" s="13" t="n"/>
      <c r="L141" s="13" t="n"/>
      <c r="M141" s="13" t="n"/>
    </row>
    <row r="142">
      <c r="A142" s="13" t="n"/>
      <c r="B142" s="35" t="n"/>
      <c r="C142" s="13" t="n"/>
      <c r="D142" s="13" t="n"/>
      <c r="E142" s="13" t="n"/>
      <c r="F142" s="38" t="n"/>
      <c r="G142" s="39">
        <f>IF($F142="","",IF($F142&gt;=9,"Promotor",IF($F142&gt;=7,"Pasiv","Detractor")))</f>
        <v/>
      </c>
      <c r="H142" s="13" t="n"/>
      <c r="I142" s="13" t="n"/>
      <c r="J142" s="13" t="n"/>
      <c r="K142" s="13" t="n"/>
      <c r="L142" s="13" t="n"/>
      <c r="M142" s="13" t="n"/>
    </row>
    <row r="143">
      <c r="A143" s="13" t="n"/>
      <c r="B143" s="35" t="n"/>
      <c r="C143" s="13" t="n"/>
      <c r="D143" s="13" t="n"/>
      <c r="E143" s="13" t="n"/>
      <c r="F143" s="38" t="n"/>
      <c r="G143" s="39">
        <f>IF($F143="","",IF($F143&gt;=9,"Promotor",IF($F143&gt;=7,"Pasiv","Detractor")))</f>
        <v/>
      </c>
      <c r="H143" s="13" t="n"/>
      <c r="I143" s="13" t="n"/>
      <c r="J143" s="13" t="n"/>
      <c r="K143" s="13" t="n"/>
      <c r="L143" s="13" t="n"/>
      <c r="M143" s="13" t="n"/>
    </row>
    <row r="144">
      <c r="A144" s="13" t="n"/>
      <c r="B144" s="35" t="n"/>
      <c r="C144" s="13" t="n"/>
      <c r="D144" s="13" t="n"/>
      <c r="E144" s="13" t="n"/>
      <c r="F144" s="38" t="n"/>
      <c r="G144" s="39">
        <f>IF($F144="","",IF($F144&gt;=9,"Promotor",IF($F144&gt;=7,"Pasiv","Detractor")))</f>
        <v/>
      </c>
      <c r="H144" s="13" t="n"/>
      <c r="I144" s="13" t="n"/>
      <c r="J144" s="13" t="n"/>
      <c r="K144" s="13" t="n"/>
      <c r="L144" s="13" t="n"/>
      <c r="M144" s="13" t="n"/>
    </row>
    <row r="145">
      <c r="A145" s="13" t="n"/>
      <c r="B145" s="35" t="n"/>
      <c r="C145" s="13" t="n"/>
      <c r="D145" s="13" t="n"/>
      <c r="E145" s="13" t="n"/>
      <c r="F145" s="38" t="n"/>
      <c r="G145" s="39">
        <f>IF($F145="","",IF($F145&gt;=9,"Promotor",IF($F145&gt;=7,"Pasiv","Detractor")))</f>
        <v/>
      </c>
      <c r="H145" s="13" t="n"/>
      <c r="I145" s="13" t="n"/>
      <c r="J145" s="13" t="n"/>
      <c r="K145" s="13" t="n"/>
      <c r="L145" s="13" t="n"/>
      <c r="M145" s="13" t="n"/>
    </row>
    <row r="146">
      <c r="A146" s="13" t="n"/>
      <c r="B146" s="35" t="n"/>
      <c r="C146" s="13" t="n"/>
      <c r="D146" s="13" t="n"/>
      <c r="E146" s="13" t="n"/>
      <c r="F146" s="38" t="n"/>
      <c r="G146" s="39">
        <f>IF($F146="","",IF($F146&gt;=9,"Promotor",IF($F146&gt;=7,"Pasiv","Detractor")))</f>
        <v/>
      </c>
      <c r="H146" s="13" t="n"/>
      <c r="I146" s="13" t="n"/>
      <c r="J146" s="13" t="n"/>
      <c r="K146" s="13" t="n"/>
      <c r="L146" s="13" t="n"/>
      <c r="M146" s="13" t="n"/>
    </row>
    <row r="147">
      <c r="A147" s="13" t="n"/>
      <c r="B147" s="35" t="n"/>
      <c r="C147" s="13" t="n"/>
      <c r="D147" s="13" t="n"/>
      <c r="E147" s="13" t="n"/>
      <c r="F147" s="38" t="n"/>
      <c r="G147" s="39">
        <f>IF($F147="","",IF($F147&gt;=9,"Promotor",IF($F147&gt;=7,"Pasiv","Detractor")))</f>
        <v/>
      </c>
      <c r="H147" s="13" t="n"/>
      <c r="I147" s="13" t="n"/>
      <c r="J147" s="13" t="n"/>
      <c r="K147" s="13" t="n"/>
      <c r="L147" s="13" t="n"/>
      <c r="M147" s="13" t="n"/>
    </row>
    <row r="148">
      <c r="A148" s="13" t="n"/>
      <c r="B148" s="35" t="n"/>
      <c r="C148" s="13" t="n"/>
      <c r="D148" s="13" t="n"/>
      <c r="E148" s="13" t="n"/>
      <c r="F148" s="38" t="n"/>
      <c r="G148" s="39">
        <f>IF($F148="","",IF($F148&gt;=9,"Promotor",IF($F148&gt;=7,"Pasiv","Detractor")))</f>
        <v/>
      </c>
      <c r="H148" s="13" t="n"/>
      <c r="I148" s="13" t="n"/>
      <c r="J148" s="13" t="n"/>
      <c r="K148" s="13" t="n"/>
      <c r="L148" s="13" t="n"/>
      <c r="M148" s="13" t="n"/>
    </row>
    <row r="149">
      <c r="A149" s="13" t="n"/>
      <c r="B149" s="35" t="n"/>
      <c r="C149" s="13" t="n"/>
      <c r="D149" s="13" t="n"/>
      <c r="E149" s="13" t="n"/>
      <c r="F149" s="38" t="n"/>
      <c r="G149" s="39">
        <f>IF($F149="","",IF($F149&gt;=9,"Promotor",IF($F149&gt;=7,"Pasiv","Detractor")))</f>
        <v/>
      </c>
      <c r="H149" s="13" t="n"/>
      <c r="I149" s="13" t="n"/>
      <c r="J149" s="13" t="n"/>
      <c r="K149" s="13" t="n"/>
      <c r="L149" s="13" t="n"/>
      <c r="M149" s="13" t="n"/>
    </row>
    <row r="150">
      <c r="A150" s="13" t="n"/>
      <c r="B150" s="35" t="n"/>
      <c r="C150" s="13" t="n"/>
      <c r="D150" s="13" t="n"/>
      <c r="E150" s="13" t="n"/>
      <c r="F150" s="38" t="n"/>
      <c r="G150" s="39">
        <f>IF($F150="","",IF($F150&gt;=9,"Promotor",IF($F150&gt;=7,"Pasiv","Detractor")))</f>
        <v/>
      </c>
      <c r="H150" s="13" t="n"/>
      <c r="I150" s="13" t="n"/>
      <c r="J150" s="13" t="n"/>
      <c r="K150" s="13" t="n"/>
      <c r="L150" s="13" t="n"/>
      <c r="M150" s="13" t="n"/>
    </row>
    <row r="151">
      <c r="A151" s="13" t="n"/>
      <c r="B151" s="35" t="n"/>
      <c r="C151" s="13" t="n"/>
      <c r="D151" s="13" t="n"/>
      <c r="E151" s="13" t="n"/>
      <c r="F151" s="38" t="n"/>
      <c r="G151" s="39">
        <f>IF($F151="","",IF($F151&gt;=9,"Promotor",IF($F151&gt;=7,"Pasiv","Detractor")))</f>
        <v/>
      </c>
      <c r="H151" s="13" t="n"/>
      <c r="I151" s="13" t="n"/>
      <c r="J151" s="13" t="n"/>
      <c r="K151" s="13" t="n"/>
      <c r="L151" s="13" t="n"/>
      <c r="M151" s="13" t="n"/>
    </row>
    <row r="152">
      <c r="A152" s="13" t="n"/>
      <c r="B152" s="35" t="n"/>
      <c r="C152" s="13" t="n"/>
      <c r="D152" s="13" t="n"/>
      <c r="E152" s="13" t="n"/>
      <c r="F152" s="38" t="n"/>
      <c r="G152" s="39">
        <f>IF($F152="","",IF($F152&gt;=9,"Promotor",IF($F152&gt;=7,"Pasiv","Detractor")))</f>
        <v/>
      </c>
      <c r="H152" s="13" t="n"/>
      <c r="I152" s="13" t="n"/>
      <c r="J152" s="13" t="n"/>
      <c r="K152" s="13" t="n"/>
      <c r="L152" s="13" t="n"/>
      <c r="M152" s="13" t="n"/>
    </row>
    <row r="153">
      <c r="A153" s="13" t="n"/>
      <c r="B153" s="35" t="n"/>
      <c r="C153" s="13" t="n"/>
      <c r="D153" s="13" t="n"/>
      <c r="E153" s="13" t="n"/>
      <c r="F153" s="38" t="n"/>
      <c r="G153" s="39">
        <f>IF($F153="","",IF($F153&gt;=9,"Promotor",IF($F153&gt;=7,"Pasiv","Detractor")))</f>
        <v/>
      </c>
      <c r="H153" s="13" t="n"/>
      <c r="I153" s="13" t="n"/>
      <c r="J153" s="13" t="n"/>
      <c r="K153" s="13" t="n"/>
      <c r="L153" s="13" t="n"/>
      <c r="M153" s="13" t="n"/>
    </row>
    <row r="154">
      <c r="A154" s="13" t="n"/>
      <c r="B154" s="35" t="n"/>
      <c r="C154" s="13" t="n"/>
      <c r="D154" s="13" t="n"/>
      <c r="E154" s="13" t="n"/>
      <c r="F154" s="38" t="n"/>
      <c r="G154" s="39">
        <f>IF($F154="","",IF($F154&gt;=9,"Promotor",IF($F154&gt;=7,"Pasiv","Detractor")))</f>
        <v/>
      </c>
      <c r="H154" s="13" t="n"/>
      <c r="I154" s="13" t="n"/>
      <c r="J154" s="13" t="n"/>
      <c r="K154" s="13" t="n"/>
      <c r="L154" s="13" t="n"/>
      <c r="M154" s="13" t="n"/>
    </row>
    <row r="155">
      <c r="A155" s="13" t="n"/>
      <c r="B155" s="35" t="n"/>
      <c r="C155" s="13" t="n"/>
      <c r="D155" s="13" t="n"/>
      <c r="E155" s="13" t="n"/>
      <c r="F155" s="38" t="n"/>
      <c r="G155" s="39">
        <f>IF($F155="","",IF($F155&gt;=9,"Promotor",IF($F155&gt;=7,"Pasiv","Detractor")))</f>
        <v/>
      </c>
      <c r="H155" s="13" t="n"/>
      <c r="I155" s="13" t="n"/>
      <c r="J155" s="13" t="n"/>
      <c r="K155" s="13" t="n"/>
      <c r="L155" s="13" t="n"/>
      <c r="M155" s="13" t="n"/>
    </row>
    <row r="156">
      <c r="A156" s="13" t="n"/>
      <c r="B156" s="35" t="n"/>
      <c r="C156" s="13" t="n"/>
      <c r="D156" s="13" t="n"/>
      <c r="E156" s="13" t="n"/>
      <c r="F156" s="38" t="n"/>
      <c r="G156" s="39">
        <f>IF($F156="","",IF($F156&gt;=9,"Promotor",IF($F156&gt;=7,"Pasiv","Detractor")))</f>
        <v/>
      </c>
      <c r="H156" s="13" t="n"/>
      <c r="I156" s="13" t="n"/>
      <c r="J156" s="13" t="n"/>
      <c r="K156" s="13" t="n"/>
      <c r="L156" s="13" t="n"/>
      <c r="M156" s="13" t="n"/>
    </row>
    <row r="157">
      <c r="A157" s="13" t="n"/>
      <c r="B157" s="35" t="n"/>
      <c r="C157" s="13" t="n"/>
      <c r="D157" s="13" t="n"/>
      <c r="E157" s="13" t="n"/>
      <c r="F157" s="38" t="n"/>
      <c r="G157" s="39">
        <f>IF($F157="","",IF($F157&gt;=9,"Promotor",IF($F157&gt;=7,"Pasiv","Detractor")))</f>
        <v/>
      </c>
      <c r="H157" s="13" t="n"/>
      <c r="I157" s="13" t="n"/>
      <c r="J157" s="13" t="n"/>
      <c r="K157" s="13" t="n"/>
      <c r="L157" s="13" t="n"/>
      <c r="M157" s="13" t="n"/>
    </row>
    <row r="158">
      <c r="A158" s="13" t="n"/>
      <c r="B158" s="35" t="n"/>
      <c r="C158" s="13" t="n"/>
      <c r="D158" s="13" t="n"/>
      <c r="E158" s="13" t="n"/>
      <c r="F158" s="38" t="n"/>
      <c r="G158" s="39">
        <f>IF($F158="","",IF($F158&gt;=9,"Promotor",IF($F158&gt;=7,"Pasiv","Detractor")))</f>
        <v/>
      </c>
      <c r="H158" s="13" t="n"/>
      <c r="I158" s="13" t="n"/>
      <c r="J158" s="13" t="n"/>
      <c r="K158" s="13" t="n"/>
      <c r="L158" s="13" t="n"/>
      <c r="M158" s="13" t="n"/>
    </row>
    <row r="159">
      <c r="A159" s="13" t="n"/>
      <c r="B159" s="35" t="n"/>
      <c r="C159" s="13" t="n"/>
      <c r="D159" s="13" t="n"/>
      <c r="E159" s="13" t="n"/>
      <c r="F159" s="38" t="n"/>
      <c r="G159" s="39">
        <f>IF($F159="","",IF($F159&gt;=9,"Promotor",IF($F159&gt;=7,"Pasiv","Detractor")))</f>
        <v/>
      </c>
      <c r="H159" s="13" t="n"/>
      <c r="I159" s="13" t="n"/>
      <c r="J159" s="13" t="n"/>
      <c r="K159" s="13" t="n"/>
      <c r="L159" s="13" t="n"/>
      <c r="M159" s="13" t="n"/>
    </row>
    <row r="160">
      <c r="A160" s="13" t="n"/>
      <c r="B160" s="35" t="n"/>
      <c r="C160" s="13" t="n"/>
      <c r="D160" s="13" t="n"/>
      <c r="E160" s="13" t="n"/>
      <c r="F160" s="38" t="n"/>
      <c r="G160" s="39">
        <f>IF($F160="","",IF($F160&gt;=9,"Promotor",IF($F160&gt;=7,"Pasiv","Detractor")))</f>
        <v/>
      </c>
      <c r="H160" s="13" t="n"/>
      <c r="I160" s="13" t="n"/>
      <c r="J160" s="13" t="n"/>
      <c r="K160" s="13" t="n"/>
      <c r="L160" s="13" t="n"/>
      <c r="M160" s="13" t="n"/>
    </row>
    <row r="161">
      <c r="A161" s="13" t="n"/>
      <c r="B161" s="35" t="n"/>
      <c r="C161" s="13" t="n"/>
      <c r="D161" s="13" t="n"/>
      <c r="E161" s="13" t="n"/>
      <c r="F161" s="38" t="n"/>
      <c r="G161" s="39">
        <f>IF($F161="","",IF($F161&gt;=9,"Promotor",IF($F161&gt;=7,"Pasiv","Detractor")))</f>
        <v/>
      </c>
      <c r="H161" s="13" t="n"/>
      <c r="I161" s="13" t="n"/>
      <c r="J161" s="13" t="n"/>
      <c r="K161" s="13" t="n"/>
      <c r="L161" s="13" t="n"/>
      <c r="M161" s="13" t="n"/>
    </row>
    <row r="162">
      <c r="A162" s="13" t="n"/>
      <c r="B162" s="35" t="n"/>
      <c r="C162" s="13" t="n"/>
      <c r="D162" s="13" t="n"/>
      <c r="E162" s="13" t="n"/>
      <c r="F162" s="38" t="n"/>
      <c r="G162" s="39">
        <f>IF($F162="","",IF($F162&gt;=9,"Promotor",IF($F162&gt;=7,"Pasiv","Detractor")))</f>
        <v/>
      </c>
      <c r="H162" s="13" t="n"/>
      <c r="I162" s="13" t="n"/>
      <c r="J162" s="13" t="n"/>
      <c r="K162" s="13" t="n"/>
      <c r="L162" s="13" t="n"/>
      <c r="M162" s="13" t="n"/>
    </row>
    <row r="163">
      <c r="A163" s="13" t="n"/>
      <c r="B163" s="35" t="n"/>
      <c r="C163" s="13" t="n"/>
      <c r="D163" s="13" t="n"/>
      <c r="E163" s="13" t="n"/>
      <c r="F163" s="38" t="n"/>
      <c r="G163" s="39">
        <f>IF($F163="","",IF($F163&gt;=9,"Promotor",IF($F163&gt;=7,"Pasiv","Detractor")))</f>
        <v/>
      </c>
      <c r="H163" s="13" t="n"/>
      <c r="I163" s="13" t="n"/>
      <c r="J163" s="13" t="n"/>
      <c r="K163" s="13" t="n"/>
      <c r="L163" s="13" t="n"/>
      <c r="M163" s="13" t="n"/>
    </row>
    <row r="164">
      <c r="A164" s="13" t="n"/>
      <c r="B164" s="35" t="n"/>
      <c r="C164" s="13" t="n"/>
      <c r="D164" s="13" t="n"/>
      <c r="E164" s="13" t="n"/>
      <c r="F164" s="38" t="n"/>
      <c r="G164" s="39">
        <f>IF($F164="","",IF($F164&gt;=9,"Promotor",IF($F164&gt;=7,"Pasiv","Detractor")))</f>
        <v/>
      </c>
      <c r="H164" s="13" t="n"/>
      <c r="I164" s="13" t="n"/>
      <c r="J164" s="13" t="n"/>
      <c r="K164" s="13" t="n"/>
      <c r="L164" s="13" t="n"/>
      <c r="M164" s="13" t="n"/>
    </row>
    <row r="165">
      <c r="A165" s="13" t="n"/>
      <c r="B165" s="35" t="n"/>
      <c r="C165" s="13" t="n"/>
      <c r="D165" s="13" t="n"/>
      <c r="E165" s="13" t="n"/>
      <c r="F165" s="38" t="n"/>
      <c r="G165" s="39">
        <f>IF($F165="","",IF($F165&gt;=9,"Promotor",IF($F165&gt;=7,"Pasiv","Detractor")))</f>
        <v/>
      </c>
      <c r="H165" s="13" t="n"/>
      <c r="I165" s="13" t="n"/>
      <c r="J165" s="13" t="n"/>
      <c r="K165" s="13" t="n"/>
      <c r="L165" s="13" t="n"/>
      <c r="M165" s="13" t="n"/>
    </row>
    <row r="166">
      <c r="A166" s="13" t="n"/>
      <c r="B166" s="35" t="n"/>
      <c r="C166" s="13" t="n"/>
      <c r="D166" s="13" t="n"/>
      <c r="E166" s="13" t="n"/>
      <c r="F166" s="38" t="n"/>
      <c r="G166" s="39">
        <f>IF($F166="","",IF($F166&gt;=9,"Promotor",IF($F166&gt;=7,"Pasiv","Detractor")))</f>
        <v/>
      </c>
      <c r="H166" s="13" t="n"/>
      <c r="I166" s="13" t="n"/>
      <c r="J166" s="13" t="n"/>
      <c r="K166" s="13" t="n"/>
      <c r="L166" s="13" t="n"/>
      <c r="M166" s="13" t="n"/>
    </row>
    <row r="167">
      <c r="A167" s="13" t="n"/>
      <c r="B167" s="35" t="n"/>
      <c r="C167" s="13" t="n"/>
      <c r="D167" s="13" t="n"/>
      <c r="E167" s="13" t="n"/>
      <c r="F167" s="38" t="n"/>
      <c r="G167" s="39">
        <f>IF($F167="","",IF($F167&gt;=9,"Promotor",IF($F167&gt;=7,"Pasiv","Detractor")))</f>
        <v/>
      </c>
      <c r="H167" s="13" t="n"/>
      <c r="I167" s="13" t="n"/>
      <c r="J167" s="13" t="n"/>
      <c r="K167" s="13" t="n"/>
      <c r="L167" s="13" t="n"/>
      <c r="M167" s="13" t="n"/>
    </row>
    <row r="168">
      <c r="A168" s="13" t="n"/>
      <c r="B168" s="35" t="n"/>
      <c r="C168" s="13" t="n"/>
      <c r="D168" s="13" t="n"/>
      <c r="E168" s="13" t="n"/>
      <c r="F168" s="38" t="n"/>
      <c r="G168" s="39">
        <f>IF($F168="","",IF($F168&gt;=9,"Promotor",IF($F168&gt;=7,"Pasiv","Detractor")))</f>
        <v/>
      </c>
      <c r="H168" s="13" t="n"/>
      <c r="I168" s="13" t="n"/>
      <c r="J168" s="13" t="n"/>
      <c r="K168" s="13" t="n"/>
      <c r="L168" s="13" t="n"/>
      <c r="M168" s="13" t="n"/>
    </row>
    <row r="169">
      <c r="A169" s="13" t="n"/>
      <c r="B169" s="35" t="n"/>
      <c r="C169" s="13" t="n"/>
      <c r="D169" s="13" t="n"/>
      <c r="E169" s="13" t="n"/>
      <c r="F169" s="38" t="n"/>
      <c r="G169" s="39">
        <f>IF($F169="","",IF($F169&gt;=9,"Promotor",IF($F169&gt;=7,"Pasiv","Detractor")))</f>
        <v/>
      </c>
      <c r="H169" s="13" t="n"/>
      <c r="I169" s="13" t="n"/>
      <c r="J169" s="13" t="n"/>
      <c r="K169" s="13" t="n"/>
      <c r="L169" s="13" t="n"/>
      <c r="M169" s="13" t="n"/>
    </row>
    <row r="170">
      <c r="A170" s="13" t="n"/>
      <c r="B170" s="35" t="n"/>
      <c r="C170" s="13" t="n"/>
      <c r="D170" s="13" t="n"/>
      <c r="E170" s="13" t="n"/>
      <c r="F170" s="38" t="n"/>
      <c r="G170" s="39">
        <f>IF($F170="","",IF($F170&gt;=9,"Promotor",IF($F170&gt;=7,"Pasiv","Detractor")))</f>
        <v/>
      </c>
      <c r="H170" s="13" t="n"/>
      <c r="I170" s="13" t="n"/>
      <c r="J170" s="13" t="n"/>
      <c r="K170" s="13" t="n"/>
      <c r="L170" s="13" t="n"/>
      <c r="M170" s="13" t="n"/>
    </row>
    <row r="171">
      <c r="A171" s="13" t="n"/>
      <c r="B171" s="35" t="n"/>
      <c r="C171" s="13" t="n"/>
      <c r="D171" s="13" t="n"/>
      <c r="E171" s="13" t="n"/>
      <c r="F171" s="38" t="n"/>
      <c r="G171" s="39">
        <f>IF($F171="","",IF($F171&gt;=9,"Promotor",IF($F171&gt;=7,"Pasiv","Detractor")))</f>
        <v/>
      </c>
      <c r="H171" s="13" t="n"/>
      <c r="I171" s="13" t="n"/>
      <c r="J171" s="13" t="n"/>
      <c r="K171" s="13" t="n"/>
      <c r="L171" s="13" t="n"/>
      <c r="M171" s="13" t="n"/>
    </row>
    <row r="172">
      <c r="A172" s="13" t="n"/>
      <c r="B172" s="35" t="n"/>
      <c r="C172" s="13" t="n"/>
      <c r="D172" s="13" t="n"/>
      <c r="E172" s="13" t="n"/>
      <c r="F172" s="38" t="n"/>
      <c r="G172" s="39">
        <f>IF($F172="","",IF($F172&gt;=9,"Promotor",IF($F172&gt;=7,"Pasiv","Detractor")))</f>
        <v/>
      </c>
      <c r="H172" s="13" t="n"/>
      <c r="I172" s="13" t="n"/>
      <c r="J172" s="13" t="n"/>
      <c r="K172" s="13" t="n"/>
      <c r="L172" s="13" t="n"/>
      <c r="M172" s="13" t="n"/>
    </row>
    <row r="173">
      <c r="A173" s="13" t="n"/>
      <c r="B173" s="35" t="n"/>
      <c r="C173" s="13" t="n"/>
      <c r="D173" s="13" t="n"/>
      <c r="E173" s="13" t="n"/>
      <c r="F173" s="38" t="n"/>
      <c r="G173" s="39">
        <f>IF($F173="","",IF($F173&gt;=9,"Promotor",IF($F173&gt;=7,"Pasiv","Detractor")))</f>
        <v/>
      </c>
      <c r="H173" s="13" t="n"/>
      <c r="I173" s="13" t="n"/>
      <c r="J173" s="13" t="n"/>
      <c r="K173" s="13" t="n"/>
      <c r="L173" s="13" t="n"/>
      <c r="M173" s="13" t="n"/>
    </row>
    <row r="174">
      <c r="A174" s="13" t="n"/>
      <c r="B174" s="35" t="n"/>
      <c r="C174" s="13" t="n"/>
      <c r="D174" s="13" t="n"/>
      <c r="E174" s="13" t="n"/>
      <c r="F174" s="38" t="n"/>
      <c r="G174" s="39">
        <f>IF($F174="","",IF($F174&gt;=9,"Promotor",IF($F174&gt;=7,"Pasiv","Detractor")))</f>
        <v/>
      </c>
      <c r="H174" s="13" t="n"/>
      <c r="I174" s="13" t="n"/>
      <c r="J174" s="13" t="n"/>
      <c r="K174" s="13" t="n"/>
      <c r="L174" s="13" t="n"/>
      <c r="M174" s="13" t="n"/>
    </row>
    <row r="175">
      <c r="A175" s="13" t="n"/>
      <c r="B175" s="35" t="n"/>
      <c r="C175" s="13" t="n"/>
      <c r="D175" s="13" t="n"/>
      <c r="E175" s="13" t="n"/>
      <c r="F175" s="38" t="n"/>
      <c r="G175" s="39">
        <f>IF($F175="","",IF($F175&gt;=9,"Promotor",IF($F175&gt;=7,"Pasiv","Detractor")))</f>
        <v/>
      </c>
      <c r="H175" s="13" t="n"/>
      <c r="I175" s="13" t="n"/>
      <c r="J175" s="13" t="n"/>
      <c r="K175" s="13" t="n"/>
      <c r="L175" s="13" t="n"/>
      <c r="M175" s="13" t="n"/>
    </row>
    <row r="176">
      <c r="A176" s="13" t="n"/>
      <c r="B176" s="35" t="n"/>
      <c r="C176" s="13" t="n"/>
      <c r="D176" s="13" t="n"/>
      <c r="E176" s="13" t="n"/>
      <c r="F176" s="38" t="n"/>
      <c r="G176" s="39">
        <f>IF($F176="","",IF($F176&gt;=9,"Promotor",IF($F176&gt;=7,"Pasiv","Detractor")))</f>
        <v/>
      </c>
      <c r="H176" s="13" t="n"/>
      <c r="I176" s="13" t="n"/>
      <c r="J176" s="13" t="n"/>
      <c r="K176" s="13" t="n"/>
      <c r="L176" s="13" t="n"/>
      <c r="M176" s="13" t="n"/>
    </row>
    <row r="177">
      <c r="A177" s="13" t="n"/>
      <c r="B177" s="35" t="n"/>
      <c r="C177" s="13" t="n"/>
      <c r="D177" s="13" t="n"/>
      <c r="E177" s="13" t="n"/>
      <c r="F177" s="38" t="n"/>
      <c r="G177" s="39">
        <f>IF($F177="","",IF($F177&gt;=9,"Promotor",IF($F177&gt;=7,"Pasiv","Detractor")))</f>
        <v/>
      </c>
      <c r="H177" s="13" t="n"/>
      <c r="I177" s="13" t="n"/>
      <c r="J177" s="13" t="n"/>
      <c r="K177" s="13" t="n"/>
      <c r="L177" s="13" t="n"/>
      <c r="M177" s="13" t="n"/>
    </row>
    <row r="178">
      <c r="A178" s="13" t="n"/>
      <c r="B178" s="35" t="n"/>
      <c r="C178" s="13" t="n"/>
      <c r="D178" s="13" t="n"/>
      <c r="E178" s="13" t="n"/>
      <c r="F178" s="38" t="n"/>
      <c r="G178" s="39">
        <f>IF($F178="","",IF($F178&gt;=9,"Promotor",IF($F178&gt;=7,"Pasiv","Detractor")))</f>
        <v/>
      </c>
      <c r="H178" s="13" t="n"/>
      <c r="I178" s="13" t="n"/>
      <c r="J178" s="13" t="n"/>
      <c r="K178" s="13" t="n"/>
      <c r="L178" s="13" t="n"/>
      <c r="M178" s="13" t="n"/>
    </row>
    <row r="179">
      <c r="A179" s="13" t="n"/>
      <c r="B179" s="35" t="n"/>
      <c r="C179" s="13" t="n"/>
      <c r="D179" s="13" t="n"/>
      <c r="E179" s="13" t="n"/>
      <c r="F179" s="38" t="n"/>
      <c r="G179" s="39">
        <f>IF($F179="","",IF($F179&gt;=9,"Promotor",IF($F179&gt;=7,"Pasiv","Detractor")))</f>
        <v/>
      </c>
      <c r="H179" s="13" t="n"/>
      <c r="I179" s="13" t="n"/>
      <c r="J179" s="13" t="n"/>
      <c r="K179" s="13" t="n"/>
      <c r="L179" s="13" t="n"/>
      <c r="M179" s="13" t="n"/>
    </row>
    <row r="180">
      <c r="A180" s="13" t="n"/>
      <c r="B180" s="35" t="n"/>
      <c r="C180" s="13" t="n"/>
      <c r="D180" s="13" t="n"/>
      <c r="E180" s="13" t="n"/>
      <c r="F180" s="38" t="n"/>
      <c r="G180" s="39">
        <f>IF($F180="","",IF($F180&gt;=9,"Promotor",IF($F180&gt;=7,"Pasiv","Detractor")))</f>
        <v/>
      </c>
      <c r="H180" s="13" t="n"/>
      <c r="I180" s="13" t="n"/>
      <c r="J180" s="13" t="n"/>
      <c r="K180" s="13" t="n"/>
      <c r="L180" s="13" t="n"/>
      <c r="M180" s="13" t="n"/>
    </row>
    <row r="181">
      <c r="A181" s="13" t="n"/>
      <c r="B181" s="35" t="n"/>
      <c r="C181" s="13" t="n"/>
      <c r="D181" s="13" t="n"/>
      <c r="E181" s="13" t="n"/>
      <c r="F181" s="38" t="n"/>
      <c r="G181" s="39">
        <f>IF($F181="","",IF($F181&gt;=9,"Promotor",IF($F181&gt;=7,"Pasiv","Detractor")))</f>
        <v/>
      </c>
      <c r="H181" s="13" t="n"/>
      <c r="I181" s="13" t="n"/>
      <c r="J181" s="13" t="n"/>
      <c r="K181" s="13" t="n"/>
      <c r="L181" s="13" t="n"/>
      <c r="M181" s="13" t="n"/>
    </row>
    <row r="182">
      <c r="A182" s="13" t="n"/>
      <c r="B182" s="35" t="n"/>
      <c r="C182" s="13" t="n"/>
      <c r="D182" s="13" t="n"/>
      <c r="E182" s="13" t="n"/>
      <c r="F182" s="38" t="n"/>
      <c r="G182" s="39">
        <f>IF($F182="","",IF($F182&gt;=9,"Promotor",IF($F182&gt;=7,"Pasiv","Detractor")))</f>
        <v/>
      </c>
      <c r="H182" s="13" t="n"/>
      <c r="I182" s="13" t="n"/>
      <c r="J182" s="13" t="n"/>
      <c r="K182" s="13" t="n"/>
      <c r="L182" s="13" t="n"/>
      <c r="M182" s="13" t="n"/>
    </row>
    <row r="183">
      <c r="A183" s="13" t="n"/>
      <c r="B183" s="35" t="n"/>
      <c r="C183" s="13" t="n"/>
      <c r="D183" s="13" t="n"/>
      <c r="E183" s="13" t="n"/>
      <c r="F183" s="38" t="n"/>
      <c r="G183" s="39">
        <f>IF($F183="","",IF($F183&gt;=9,"Promotor",IF($F183&gt;=7,"Pasiv","Detractor")))</f>
        <v/>
      </c>
      <c r="H183" s="13" t="n"/>
      <c r="I183" s="13" t="n"/>
      <c r="J183" s="13" t="n"/>
      <c r="K183" s="13" t="n"/>
      <c r="L183" s="13" t="n"/>
      <c r="M183" s="13" t="n"/>
    </row>
    <row r="184">
      <c r="A184" s="13" t="n"/>
      <c r="B184" s="35" t="n"/>
      <c r="C184" s="13" t="n"/>
      <c r="D184" s="13" t="n"/>
      <c r="E184" s="13" t="n"/>
      <c r="F184" s="38" t="n"/>
      <c r="G184" s="39">
        <f>IF($F184="","",IF($F184&gt;=9,"Promotor",IF($F184&gt;=7,"Pasiv","Detractor")))</f>
        <v/>
      </c>
      <c r="H184" s="13" t="n"/>
      <c r="I184" s="13" t="n"/>
      <c r="J184" s="13" t="n"/>
      <c r="K184" s="13" t="n"/>
      <c r="L184" s="13" t="n"/>
      <c r="M184" s="13" t="n"/>
    </row>
    <row r="185">
      <c r="A185" s="13" t="n"/>
      <c r="B185" s="35" t="n"/>
      <c r="C185" s="13" t="n"/>
      <c r="D185" s="13" t="n"/>
      <c r="E185" s="13" t="n"/>
      <c r="F185" s="38" t="n"/>
      <c r="G185" s="39">
        <f>IF($F185="","",IF($F185&gt;=9,"Promotor",IF($F185&gt;=7,"Pasiv","Detractor")))</f>
        <v/>
      </c>
      <c r="H185" s="13" t="n"/>
      <c r="I185" s="13" t="n"/>
      <c r="J185" s="13" t="n"/>
      <c r="K185" s="13" t="n"/>
      <c r="L185" s="13" t="n"/>
      <c r="M185" s="13" t="n"/>
    </row>
    <row r="186">
      <c r="A186" s="13" t="n"/>
      <c r="B186" s="35" t="n"/>
      <c r="C186" s="13" t="n"/>
      <c r="D186" s="13" t="n"/>
      <c r="E186" s="13" t="n"/>
      <c r="F186" s="38" t="n"/>
      <c r="G186" s="39">
        <f>IF($F186="","",IF($F186&gt;=9,"Promotor",IF($F186&gt;=7,"Pasiv","Detractor")))</f>
        <v/>
      </c>
      <c r="H186" s="13" t="n"/>
      <c r="I186" s="13" t="n"/>
      <c r="J186" s="13" t="n"/>
      <c r="K186" s="13" t="n"/>
      <c r="L186" s="13" t="n"/>
      <c r="M186" s="13" t="n"/>
    </row>
    <row r="187">
      <c r="A187" s="13" t="n"/>
      <c r="B187" s="35" t="n"/>
      <c r="C187" s="13" t="n"/>
      <c r="D187" s="13" t="n"/>
      <c r="E187" s="13" t="n"/>
      <c r="F187" s="38" t="n"/>
      <c r="G187" s="39">
        <f>IF($F187="","",IF($F187&gt;=9,"Promotor",IF($F187&gt;=7,"Pasiv","Detractor")))</f>
        <v/>
      </c>
      <c r="H187" s="13" t="n"/>
      <c r="I187" s="13" t="n"/>
      <c r="J187" s="13" t="n"/>
      <c r="K187" s="13" t="n"/>
      <c r="L187" s="13" t="n"/>
      <c r="M187" s="13" t="n"/>
    </row>
    <row r="188">
      <c r="A188" s="13" t="n"/>
      <c r="B188" s="35" t="n"/>
      <c r="C188" s="13" t="n"/>
      <c r="D188" s="13" t="n"/>
      <c r="E188" s="13" t="n"/>
      <c r="F188" s="38" t="n"/>
      <c r="G188" s="39">
        <f>IF($F188="","",IF($F188&gt;=9,"Promotor",IF($F188&gt;=7,"Pasiv","Detractor")))</f>
        <v/>
      </c>
      <c r="H188" s="13" t="n"/>
      <c r="I188" s="13" t="n"/>
      <c r="J188" s="13" t="n"/>
      <c r="K188" s="13" t="n"/>
      <c r="L188" s="13" t="n"/>
      <c r="M188" s="13" t="n"/>
    </row>
    <row r="189">
      <c r="A189" s="13" t="n"/>
      <c r="B189" s="35" t="n"/>
      <c r="C189" s="13" t="n"/>
      <c r="D189" s="13" t="n"/>
      <c r="E189" s="13" t="n"/>
      <c r="F189" s="38" t="n"/>
      <c r="G189" s="39">
        <f>IF($F189="","",IF($F189&gt;=9,"Promotor",IF($F189&gt;=7,"Pasiv","Detractor")))</f>
        <v/>
      </c>
      <c r="H189" s="13" t="n"/>
      <c r="I189" s="13" t="n"/>
      <c r="J189" s="13" t="n"/>
      <c r="K189" s="13" t="n"/>
      <c r="L189" s="13" t="n"/>
      <c r="M189" s="13" t="n"/>
    </row>
    <row r="190">
      <c r="A190" s="13" t="n"/>
      <c r="B190" s="35" t="n"/>
      <c r="C190" s="13" t="n"/>
      <c r="D190" s="13" t="n"/>
      <c r="E190" s="13" t="n"/>
      <c r="F190" s="38" t="n"/>
      <c r="G190" s="39">
        <f>IF($F190="","",IF($F190&gt;=9,"Promotor",IF($F190&gt;=7,"Pasiv","Detractor")))</f>
        <v/>
      </c>
      <c r="H190" s="13" t="n"/>
      <c r="I190" s="13" t="n"/>
      <c r="J190" s="13" t="n"/>
      <c r="K190" s="13" t="n"/>
      <c r="L190" s="13" t="n"/>
      <c r="M190" s="13" t="n"/>
    </row>
    <row r="191">
      <c r="A191" s="13" t="n"/>
      <c r="B191" s="35" t="n"/>
      <c r="C191" s="13" t="n"/>
      <c r="D191" s="13" t="n"/>
      <c r="E191" s="13" t="n"/>
      <c r="F191" s="38" t="n"/>
      <c r="G191" s="39">
        <f>IF($F191="","",IF($F191&gt;=9,"Promotor",IF($F191&gt;=7,"Pasiv","Detractor")))</f>
        <v/>
      </c>
      <c r="H191" s="13" t="n"/>
      <c r="I191" s="13" t="n"/>
      <c r="J191" s="13" t="n"/>
      <c r="K191" s="13" t="n"/>
      <c r="L191" s="13" t="n"/>
      <c r="M191" s="13" t="n"/>
    </row>
    <row r="192">
      <c r="A192" s="13" t="n"/>
      <c r="B192" s="35" t="n"/>
      <c r="C192" s="13" t="n"/>
      <c r="D192" s="13" t="n"/>
      <c r="E192" s="13" t="n"/>
      <c r="F192" s="38" t="n"/>
      <c r="G192" s="39">
        <f>IF($F192="","",IF($F192&gt;=9,"Promotor",IF($F192&gt;=7,"Pasiv","Detractor")))</f>
        <v/>
      </c>
      <c r="H192" s="13" t="n"/>
      <c r="I192" s="13" t="n"/>
      <c r="J192" s="13" t="n"/>
      <c r="K192" s="13" t="n"/>
      <c r="L192" s="13" t="n"/>
      <c r="M192" s="13" t="n"/>
    </row>
    <row r="193">
      <c r="A193" s="13" t="n"/>
      <c r="B193" s="35" t="n"/>
      <c r="C193" s="13" t="n"/>
      <c r="D193" s="13" t="n"/>
      <c r="E193" s="13" t="n"/>
      <c r="F193" s="38" t="n"/>
      <c r="G193" s="39">
        <f>IF($F193="","",IF($F193&gt;=9,"Promotor",IF($F193&gt;=7,"Pasiv","Detractor")))</f>
        <v/>
      </c>
      <c r="H193" s="13" t="n"/>
      <c r="I193" s="13" t="n"/>
      <c r="J193" s="13" t="n"/>
      <c r="K193" s="13" t="n"/>
      <c r="L193" s="13" t="n"/>
      <c r="M193" s="13" t="n"/>
    </row>
    <row r="194">
      <c r="A194" s="13" t="n"/>
      <c r="B194" s="35" t="n"/>
      <c r="C194" s="13" t="n"/>
      <c r="D194" s="13" t="n"/>
      <c r="E194" s="13" t="n"/>
      <c r="F194" s="38" t="n"/>
      <c r="G194" s="39">
        <f>IF($F194="","",IF($F194&gt;=9,"Promotor",IF($F194&gt;=7,"Pasiv","Detractor")))</f>
        <v/>
      </c>
      <c r="H194" s="13" t="n"/>
      <c r="I194" s="13" t="n"/>
      <c r="J194" s="13" t="n"/>
      <c r="K194" s="13" t="n"/>
      <c r="L194" s="13" t="n"/>
      <c r="M194" s="13" t="n"/>
    </row>
    <row r="195">
      <c r="A195" s="13" t="n"/>
      <c r="B195" s="35" t="n"/>
      <c r="C195" s="13" t="n"/>
      <c r="D195" s="13" t="n"/>
      <c r="E195" s="13" t="n"/>
      <c r="F195" s="38" t="n"/>
      <c r="G195" s="39">
        <f>IF($F195="","",IF($F195&gt;=9,"Promotor",IF($F195&gt;=7,"Pasiv","Detractor")))</f>
        <v/>
      </c>
      <c r="H195" s="13" t="n"/>
      <c r="I195" s="13" t="n"/>
      <c r="J195" s="13" t="n"/>
      <c r="K195" s="13" t="n"/>
      <c r="L195" s="13" t="n"/>
      <c r="M195" s="13" t="n"/>
    </row>
    <row r="196">
      <c r="A196" s="13" t="n"/>
      <c r="B196" s="35" t="n"/>
      <c r="C196" s="13" t="n"/>
      <c r="D196" s="13" t="n"/>
      <c r="E196" s="13" t="n"/>
      <c r="F196" s="38" t="n"/>
      <c r="G196" s="39">
        <f>IF($F196="","",IF($F196&gt;=9,"Promotor",IF($F196&gt;=7,"Pasiv","Detractor")))</f>
        <v/>
      </c>
      <c r="H196" s="13" t="n"/>
      <c r="I196" s="13" t="n"/>
      <c r="J196" s="13" t="n"/>
      <c r="K196" s="13" t="n"/>
      <c r="L196" s="13" t="n"/>
      <c r="M196" s="13" t="n"/>
    </row>
    <row r="197">
      <c r="A197" s="13" t="n"/>
      <c r="B197" s="35" t="n"/>
      <c r="C197" s="13" t="n"/>
      <c r="D197" s="13" t="n"/>
      <c r="E197" s="13" t="n"/>
      <c r="F197" s="38" t="n"/>
      <c r="G197" s="39">
        <f>IF($F197="","",IF($F197&gt;=9,"Promotor",IF($F197&gt;=7,"Pasiv","Detractor")))</f>
        <v/>
      </c>
      <c r="H197" s="13" t="n"/>
      <c r="I197" s="13" t="n"/>
      <c r="J197" s="13" t="n"/>
      <c r="K197" s="13" t="n"/>
      <c r="L197" s="13" t="n"/>
      <c r="M197" s="13" t="n"/>
    </row>
    <row r="198">
      <c r="A198" s="13" t="n"/>
      <c r="B198" s="35" t="n"/>
      <c r="C198" s="13" t="n"/>
      <c r="D198" s="13" t="n"/>
      <c r="E198" s="13" t="n"/>
      <c r="F198" s="38" t="n"/>
      <c r="G198" s="39">
        <f>IF($F198="","",IF($F198&gt;=9,"Promotor",IF($F198&gt;=7,"Pasiv","Detractor")))</f>
        <v/>
      </c>
      <c r="H198" s="13" t="n"/>
      <c r="I198" s="13" t="n"/>
      <c r="J198" s="13" t="n"/>
      <c r="K198" s="13" t="n"/>
      <c r="L198" s="13" t="n"/>
      <c r="M198" s="13" t="n"/>
    </row>
    <row r="199">
      <c r="A199" s="13" t="n"/>
      <c r="B199" s="35" t="n"/>
      <c r="C199" s="13" t="n"/>
      <c r="D199" s="13" t="n"/>
      <c r="E199" s="13" t="n"/>
      <c r="F199" s="38" t="n"/>
      <c r="G199" s="39">
        <f>IF($F199="","",IF($F199&gt;=9,"Promotor",IF($F199&gt;=7,"Pasiv","Detractor")))</f>
        <v/>
      </c>
      <c r="H199" s="13" t="n"/>
      <c r="I199" s="13" t="n"/>
      <c r="J199" s="13" t="n"/>
      <c r="K199" s="13" t="n"/>
      <c r="L199" s="13" t="n"/>
      <c r="M199" s="13" t="n"/>
    </row>
    <row r="200">
      <c r="A200" s="13" t="n"/>
      <c r="B200" s="35" t="n"/>
      <c r="C200" s="13" t="n"/>
      <c r="D200" s="13" t="n"/>
      <c r="E200" s="13" t="n"/>
      <c r="F200" s="38" t="n"/>
      <c r="G200" s="39">
        <f>IF($F200="","",IF($F200&gt;=9,"Promotor",IF($F200&gt;=7,"Pasiv","Detractor")))</f>
        <v/>
      </c>
      <c r="H200" s="13" t="n"/>
      <c r="I200" s="13" t="n"/>
      <c r="J200" s="13" t="n"/>
      <c r="K200" s="13" t="n"/>
      <c r="L200" s="13" t="n"/>
      <c r="M200" s="13" t="n"/>
    </row>
    <row r="201">
      <c r="A201" s="13" t="n"/>
      <c r="B201" s="35" t="n"/>
      <c r="C201" s="13" t="n"/>
      <c r="D201" s="13" t="n"/>
      <c r="E201" s="13" t="n"/>
      <c r="F201" s="38" t="n"/>
      <c r="G201" s="39">
        <f>IF($F201="","",IF($F201&gt;=9,"Promotor",IF($F201&gt;=7,"Pasiv","Detractor")))</f>
        <v/>
      </c>
      <c r="H201" s="13" t="n"/>
      <c r="I201" s="13" t="n"/>
      <c r="J201" s="13" t="n"/>
      <c r="K201" s="13" t="n"/>
      <c r="L201" s="13" t="n"/>
      <c r="M201" s="13" t="n"/>
    </row>
    <row r="202">
      <c r="A202" s="13" t="n"/>
      <c r="B202" s="35" t="n"/>
      <c r="C202" s="13" t="n"/>
      <c r="D202" s="13" t="n"/>
      <c r="E202" s="13" t="n"/>
      <c r="F202" s="38" t="n"/>
      <c r="G202" s="39">
        <f>IF($F202="","",IF($F202&gt;=9,"Promotor",IF($F202&gt;=7,"Pasiv","Detractor")))</f>
        <v/>
      </c>
      <c r="H202" s="13" t="n"/>
      <c r="I202" s="13" t="n"/>
      <c r="J202" s="13" t="n"/>
      <c r="K202" s="13" t="n"/>
      <c r="L202" s="13" t="n"/>
      <c r="M202" s="13" t="n"/>
    </row>
    <row r="203">
      <c r="A203" s="13" t="n"/>
      <c r="B203" s="35" t="n"/>
      <c r="C203" s="13" t="n"/>
      <c r="D203" s="13" t="n"/>
      <c r="E203" s="13" t="n"/>
      <c r="F203" s="38" t="n"/>
      <c r="G203" s="39">
        <f>IF($F203="","",IF($F203&gt;=9,"Promotor",IF($F203&gt;=7,"Pasiv","Detractor")))</f>
        <v/>
      </c>
      <c r="H203" s="13" t="n"/>
      <c r="I203" s="13" t="n"/>
      <c r="J203" s="13" t="n"/>
      <c r="K203" s="13" t="n"/>
      <c r="L203" s="13" t="n"/>
      <c r="M203" s="13" t="n"/>
    </row>
    <row r="204">
      <c r="A204" s="13" t="n"/>
      <c r="B204" s="35" t="n"/>
      <c r="C204" s="13" t="n"/>
      <c r="D204" s="13" t="n"/>
      <c r="E204" s="13" t="n"/>
      <c r="F204" s="38" t="n"/>
      <c r="G204" s="39">
        <f>IF($F204="","",IF($F204&gt;=9,"Promotor",IF($F204&gt;=7,"Pasiv","Detractor")))</f>
        <v/>
      </c>
      <c r="H204" s="13" t="n"/>
      <c r="I204" s="13" t="n"/>
      <c r="J204" s="13" t="n"/>
      <c r="K204" s="13" t="n"/>
      <c r="L204" s="13" t="n"/>
      <c r="M204" s="13" t="n"/>
    </row>
    <row r="205">
      <c r="A205" s="13" t="n"/>
      <c r="B205" s="35" t="n"/>
      <c r="C205" s="13" t="n"/>
      <c r="D205" s="13" t="n"/>
      <c r="E205" s="13" t="n"/>
      <c r="F205" s="38" t="n"/>
      <c r="G205" s="39">
        <f>IF($F205="","",IF($F205&gt;=9,"Promotor",IF($F205&gt;=7,"Pasiv","Detractor")))</f>
        <v/>
      </c>
      <c r="H205" s="13" t="n"/>
      <c r="I205" s="13" t="n"/>
      <c r="J205" s="13" t="n"/>
      <c r="K205" s="13" t="n"/>
      <c r="L205" s="13" t="n"/>
      <c r="M205" s="13" t="n"/>
    </row>
    <row r="206">
      <c r="A206" s="13" t="n"/>
      <c r="B206" s="35" t="n"/>
      <c r="C206" s="13" t="n"/>
      <c r="D206" s="13" t="n"/>
      <c r="E206" s="13" t="n"/>
      <c r="F206" s="38" t="n"/>
      <c r="G206" s="39">
        <f>IF($F206="","",IF($F206&gt;=9,"Promotor",IF($F206&gt;=7,"Pasiv","Detractor")))</f>
        <v/>
      </c>
      <c r="H206" s="13" t="n"/>
      <c r="I206" s="13" t="n"/>
      <c r="J206" s="13" t="n"/>
      <c r="K206" s="13" t="n"/>
      <c r="L206" s="13" t="n"/>
      <c r="M206" s="13" t="n"/>
    </row>
    <row r="207">
      <c r="A207" s="13" t="n"/>
      <c r="B207" s="35" t="n"/>
      <c r="C207" s="13" t="n"/>
      <c r="D207" s="13" t="n"/>
      <c r="E207" s="13" t="n"/>
      <c r="F207" s="38" t="n"/>
      <c r="G207" s="39">
        <f>IF($F207="","",IF($F207&gt;=9,"Promotor",IF($F207&gt;=7,"Pasiv","Detractor")))</f>
        <v/>
      </c>
      <c r="H207" s="13" t="n"/>
      <c r="I207" s="13" t="n"/>
      <c r="J207" s="13" t="n"/>
      <c r="K207" s="13" t="n"/>
      <c r="L207" s="13" t="n"/>
      <c r="M207" s="13" t="n"/>
    </row>
    <row r="208">
      <c r="A208" s="13" t="n"/>
      <c r="B208" s="35" t="n"/>
      <c r="C208" s="13" t="n"/>
      <c r="D208" s="13" t="n"/>
      <c r="E208" s="13" t="n"/>
      <c r="F208" s="38" t="n"/>
      <c r="G208" s="39">
        <f>IF($F208="","",IF($F208&gt;=9,"Promotor",IF($F208&gt;=7,"Pasiv","Detractor")))</f>
        <v/>
      </c>
      <c r="H208" s="13" t="n"/>
      <c r="I208" s="13" t="n"/>
      <c r="J208" s="13" t="n"/>
      <c r="K208" s="13" t="n"/>
      <c r="L208" s="13" t="n"/>
      <c r="M208" s="13" t="n"/>
    </row>
    <row r="209">
      <c r="A209" s="13" t="n"/>
      <c r="B209" s="35" t="n"/>
      <c r="C209" s="13" t="n"/>
      <c r="D209" s="13" t="n"/>
      <c r="E209" s="13" t="n"/>
      <c r="F209" s="38" t="n"/>
      <c r="G209" s="39">
        <f>IF($F209="","",IF($F209&gt;=9,"Promotor",IF($F209&gt;=7,"Pasiv","Detractor")))</f>
        <v/>
      </c>
      <c r="H209" s="13" t="n"/>
      <c r="I209" s="13" t="n"/>
      <c r="J209" s="13" t="n"/>
      <c r="K209" s="13" t="n"/>
      <c r="L209" s="13" t="n"/>
      <c r="M209" s="13" t="n"/>
    </row>
    <row r="210">
      <c r="A210" s="13" t="n"/>
      <c r="B210" s="35" t="n"/>
      <c r="C210" s="13" t="n"/>
      <c r="D210" s="13" t="n"/>
      <c r="E210" s="13" t="n"/>
      <c r="F210" s="38" t="n"/>
      <c r="G210" s="39">
        <f>IF($F210="","",IF($F210&gt;=9,"Promotor",IF($F210&gt;=7,"Pasiv","Detractor")))</f>
        <v/>
      </c>
      <c r="H210" s="13" t="n"/>
      <c r="I210" s="13" t="n"/>
      <c r="J210" s="13" t="n"/>
      <c r="K210" s="13" t="n"/>
      <c r="L210" s="13" t="n"/>
      <c r="M210" s="13" t="n"/>
    </row>
    <row r="211">
      <c r="A211" s="13" t="n"/>
      <c r="B211" s="35" t="n"/>
      <c r="C211" s="13" t="n"/>
      <c r="D211" s="13" t="n"/>
      <c r="E211" s="13" t="n"/>
      <c r="F211" s="38" t="n"/>
      <c r="G211" s="39">
        <f>IF($F211="","",IF($F211&gt;=9,"Promotor",IF($F211&gt;=7,"Pasiv","Detractor")))</f>
        <v/>
      </c>
      <c r="H211" s="13" t="n"/>
      <c r="I211" s="13" t="n"/>
      <c r="J211" s="13" t="n"/>
      <c r="K211" s="13" t="n"/>
      <c r="L211" s="13" t="n"/>
      <c r="M211" s="13" t="n"/>
    </row>
    <row r="212">
      <c r="A212" s="13" t="n"/>
      <c r="B212" s="35" t="n"/>
      <c r="C212" s="13" t="n"/>
      <c r="D212" s="13" t="n"/>
      <c r="E212" s="13" t="n"/>
      <c r="F212" s="38" t="n"/>
      <c r="G212" s="39">
        <f>IF($F212="","",IF($F212&gt;=9,"Promotor",IF($F212&gt;=7,"Pasiv","Detractor")))</f>
        <v/>
      </c>
      <c r="H212" s="13" t="n"/>
      <c r="I212" s="13" t="n"/>
      <c r="J212" s="13" t="n"/>
      <c r="K212" s="13" t="n"/>
      <c r="L212" s="13" t="n"/>
      <c r="M212" s="13" t="n"/>
    </row>
    <row r="213">
      <c r="A213" s="13" t="n"/>
      <c r="B213" s="35" t="n"/>
      <c r="C213" s="13" t="n"/>
      <c r="D213" s="13" t="n"/>
      <c r="E213" s="13" t="n"/>
      <c r="F213" s="38" t="n"/>
      <c r="G213" s="39">
        <f>IF($F213="","",IF($F213&gt;=9,"Promotor",IF($F213&gt;=7,"Pasiv","Detractor")))</f>
        <v/>
      </c>
      <c r="H213" s="13" t="n"/>
      <c r="I213" s="13" t="n"/>
      <c r="J213" s="13" t="n"/>
      <c r="K213" s="13" t="n"/>
      <c r="L213" s="13" t="n"/>
      <c r="M213" s="13" t="n"/>
    </row>
    <row r="214">
      <c r="A214" s="13" t="n"/>
      <c r="B214" s="35" t="n"/>
      <c r="C214" s="13" t="n"/>
      <c r="D214" s="13" t="n"/>
      <c r="E214" s="13" t="n"/>
      <c r="F214" s="38" t="n"/>
      <c r="G214" s="39">
        <f>IF($F214="","",IF($F214&gt;=9,"Promotor",IF($F214&gt;=7,"Pasiv","Detractor")))</f>
        <v/>
      </c>
      <c r="H214" s="13" t="n"/>
      <c r="I214" s="13" t="n"/>
      <c r="J214" s="13" t="n"/>
      <c r="K214" s="13" t="n"/>
      <c r="L214" s="13" t="n"/>
      <c r="M214" s="13" t="n"/>
    </row>
    <row r="215">
      <c r="A215" s="13" t="n"/>
      <c r="B215" s="35" t="n"/>
      <c r="C215" s="13" t="n"/>
      <c r="D215" s="13" t="n"/>
      <c r="E215" s="13" t="n"/>
      <c r="F215" s="38" t="n"/>
      <c r="G215" s="39">
        <f>IF($F215="","",IF($F215&gt;=9,"Promotor",IF($F215&gt;=7,"Pasiv","Detractor")))</f>
        <v/>
      </c>
      <c r="H215" s="13" t="n"/>
      <c r="I215" s="13" t="n"/>
      <c r="J215" s="13" t="n"/>
      <c r="K215" s="13" t="n"/>
      <c r="L215" s="13" t="n"/>
      <c r="M215" s="13" t="n"/>
    </row>
    <row r="216">
      <c r="A216" s="13" t="n"/>
      <c r="B216" s="35" t="n"/>
      <c r="C216" s="13" t="n"/>
      <c r="D216" s="13" t="n"/>
      <c r="E216" s="13" t="n"/>
      <c r="F216" s="38" t="n"/>
      <c r="G216" s="39">
        <f>IF($F216="","",IF($F216&gt;=9,"Promotor",IF($F216&gt;=7,"Pasiv","Detractor")))</f>
        <v/>
      </c>
      <c r="H216" s="13" t="n"/>
      <c r="I216" s="13" t="n"/>
      <c r="J216" s="13" t="n"/>
      <c r="K216" s="13" t="n"/>
      <c r="L216" s="13" t="n"/>
      <c r="M216" s="13" t="n"/>
    </row>
    <row r="217">
      <c r="A217" s="13" t="n"/>
      <c r="B217" s="35" t="n"/>
      <c r="C217" s="13" t="n"/>
      <c r="D217" s="13" t="n"/>
      <c r="E217" s="13" t="n"/>
      <c r="F217" s="38" t="n"/>
      <c r="G217" s="39">
        <f>IF($F217="","",IF($F217&gt;=9,"Promotor",IF($F217&gt;=7,"Pasiv","Detractor")))</f>
        <v/>
      </c>
      <c r="H217" s="13" t="n"/>
      <c r="I217" s="13" t="n"/>
      <c r="J217" s="13" t="n"/>
      <c r="K217" s="13" t="n"/>
      <c r="L217" s="13" t="n"/>
      <c r="M217" s="13" t="n"/>
    </row>
    <row r="218">
      <c r="A218" s="13" t="n"/>
      <c r="B218" s="35" t="n"/>
      <c r="C218" s="13" t="n"/>
      <c r="D218" s="13" t="n"/>
      <c r="E218" s="13" t="n"/>
      <c r="F218" s="38" t="n"/>
      <c r="G218" s="39">
        <f>IF($F218="","",IF($F218&gt;=9,"Promotor",IF($F218&gt;=7,"Pasiv","Detractor")))</f>
        <v/>
      </c>
      <c r="H218" s="13" t="n"/>
      <c r="I218" s="13" t="n"/>
      <c r="J218" s="13" t="n"/>
      <c r="K218" s="13" t="n"/>
      <c r="L218" s="13" t="n"/>
      <c r="M218" s="13" t="n"/>
    </row>
    <row r="219">
      <c r="A219" s="13" t="n"/>
      <c r="B219" s="35" t="n"/>
      <c r="C219" s="13" t="n"/>
      <c r="D219" s="13" t="n"/>
      <c r="E219" s="13" t="n"/>
      <c r="F219" s="38" t="n"/>
      <c r="G219" s="39">
        <f>IF($F219="","",IF($F219&gt;=9,"Promotor",IF($F219&gt;=7,"Pasiv","Detractor")))</f>
        <v/>
      </c>
      <c r="H219" s="13" t="n"/>
      <c r="I219" s="13" t="n"/>
      <c r="J219" s="13" t="n"/>
      <c r="K219" s="13" t="n"/>
      <c r="L219" s="13" t="n"/>
      <c r="M219" s="13" t="n"/>
    </row>
    <row r="220">
      <c r="A220" s="13" t="n"/>
      <c r="B220" s="35" t="n"/>
      <c r="C220" s="13" t="n"/>
      <c r="D220" s="13" t="n"/>
      <c r="E220" s="13" t="n"/>
      <c r="F220" s="38" t="n"/>
      <c r="G220" s="39">
        <f>IF($F220="","",IF($F220&gt;=9,"Promotor",IF($F220&gt;=7,"Pasiv","Detractor")))</f>
        <v/>
      </c>
      <c r="H220" s="13" t="n"/>
      <c r="I220" s="13" t="n"/>
      <c r="J220" s="13" t="n"/>
      <c r="K220" s="13" t="n"/>
      <c r="L220" s="13" t="n"/>
      <c r="M220" s="13" t="n"/>
    </row>
    <row r="221">
      <c r="A221" s="13" t="n"/>
      <c r="B221" s="35" t="n"/>
      <c r="C221" s="13" t="n"/>
      <c r="D221" s="13" t="n"/>
      <c r="E221" s="13" t="n"/>
      <c r="F221" s="38" t="n"/>
      <c r="G221" s="39">
        <f>IF($F221="","",IF($F221&gt;=9,"Promotor",IF($F221&gt;=7,"Pasiv","Detractor")))</f>
        <v/>
      </c>
      <c r="H221" s="13" t="n"/>
      <c r="I221" s="13" t="n"/>
      <c r="J221" s="13" t="n"/>
      <c r="K221" s="13" t="n"/>
      <c r="L221" s="13" t="n"/>
      <c r="M221" s="13" t="n"/>
    </row>
    <row r="222">
      <c r="A222" s="13" t="n"/>
      <c r="B222" s="35" t="n"/>
      <c r="C222" s="13" t="n"/>
      <c r="D222" s="13" t="n"/>
      <c r="E222" s="13" t="n"/>
      <c r="F222" s="38" t="n"/>
      <c r="G222" s="39">
        <f>IF($F222="","",IF($F222&gt;=9,"Promotor",IF($F222&gt;=7,"Pasiv","Detractor")))</f>
        <v/>
      </c>
      <c r="H222" s="13" t="n"/>
      <c r="I222" s="13" t="n"/>
      <c r="J222" s="13" t="n"/>
      <c r="K222" s="13" t="n"/>
      <c r="L222" s="13" t="n"/>
      <c r="M222" s="13" t="n"/>
    </row>
    <row r="223">
      <c r="A223" s="13" t="n"/>
      <c r="B223" s="35" t="n"/>
      <c r="C223" s="13" t="n"/>
      <c r="D223" s="13" t="n"/>
      <c r="E223" s="13" t="n"/>
      <c r="F223" s="38" t="n"/>
      <c r="G223" s="39">
        <f>IF($F223="","",IF($F223&gt;=9,"Promotor",IF($F223&gt;=7,"Pasiv","Detractor")))</f>
        <v/>
      </c>
      <c r="H223" s="13" t="n"/>
      <c r="I223" s="13" t="n"/>
      <c r="J223" s="13" t="n"/>
      <c r="K223" s="13" t="n"/>
      <c r="L223" s="13" t="n"/>
      <c r="M223" s="13" t="n"/>
    </row>
    <row r="224">
      <c r="A224" s="13" t="n"/>
      <c r="B224" s="35" t="n"/>
      <c r="C224" s="13" t="n"/>
      <c r="D224" s="13" t="n"/>
      <c r="E224" s="13" t="n"/>
      <c r="F224" s="38" t="n"/>
      <c r="G224" s="39">
        <f>IF($F224="","",IF($F224&gt;=9,"Promotor",IF($F224&gt;=7,"Pasiv","Detractor")))</f>
        <v/>
      </c>
      <c r="H224" s="13" t="n"/>
      <c r="I224" s="13" t="n"/>
      <c r="J224" s="13" t="n"/>
      <c r="K224" s="13" t="n"/>
      <c r="L224" s="13" t="n"/>
      <c r="M224" s="13" t="n"/>
    </row>
    <row r="225">
      <c r="A225" s="13" t="n"/>
      <c r="B225" s="35" t="n"/>
      <c r="C225" s="13" t="n"/>
      <c r="D225" s="13" t="n"/>
      <c r="E225" s="13" t="n"/>
      <c r="F225" s="38" t="n"/>
      <c r="G225" s="39">
        <f>IF($F225="","",IF($F225&gt;=9,"Promotor",IF($F225&gt;=7,"Pasiv","Detractor")))</f>
        <v/>
      </c>
      <c r="H225" s="13" t="n"/>
      <c r="I225" s="13" t="n"/>
      <c r="J225" s="13" t="n"/>
      <c r="K225" s="13" t="n"/>
      <c r="L225" s="13" t="n"/>
      <c r="M225" s="13" t="n"/>
    </row>
    <row r="226">
      <c r="A226" s="13" t="n"/>
      <c r="B226" s="35" t="n"/>
      <c r="C226" s="13" t="n"/>
      <c r="D226" s="13" t="n"/>
      <c r="E226" s="13" t="n"/>
      <c r="F226" s="38" t="n"/>
      <c r="G226" s="39">
        <f>IF($F226="","",IF($F226&gt;=9,"Promotor",IF($F226&gt;=7,"Pasiv","Detractor")))</f>
        <v/>
      </c>
      <c r="H226" s="13" t="n"/>
      <c r="I226" s="13" t="n"/>
      <c r="J226" s="13" t="n"/>
      <c r="K226" s="13" t="n"/>
      <c r="L226" s="13" t="n"/>
      <c r="M226" s="13" t="n"/>
    </row>
    <row r="227">
      <c r="A227" s="13" t="n"/>
      <c r="B227" s="35" t="n"/>
      <c r="C227" s="13" t="n"/>
      <c r="D227" s="13" t="n"/>
      <c r="E227" s="13" t="n"/>
      <c r="F227" s="38" t="n"/>
      <c r="G227" s="39">
        <f>IF($F227="","",IF($F227&gt;=9,"Promotor",IF($F227&gt;=7,"Pasiv","Detractor")))</f>
        <v/>
      </c>
      <c r="H227" s="13" t="n"/>
      <c r="I227" s="13" t="n"/>
      <c r="J227" s="13" t="n"/>
      <c r="K227" s="13" t="n"/>
      <c r="L227" s="13" t="n"/>
      <c r="M227" s="13" t="n"/>
    </row>
    <row r="228">
      <c r="A228" s="13" t="n"/>
      <c r="B228" s="35" t="n"/>
      <c r="C228" s="13" t="n"/>
      <c r="D228" s="13" t="n"/>
      <c r="E228" s="13" t="n"/>
      <c r="F228" s="38" t="n"/>
      <c r="G228" s="39">
        <f>IF($F228="","",IF($F228&gt;=9,"Promotor",IF($F228&gt;=7,"Pasiv","Detractor")))</f>
        <v/>
      </c>
      <c r="H228" s="13" t="n"/>
      <c r="I228" s="13" t="n"/>
      <c r="J228" s="13" t="n"/>
      <c r="K228" s="13" t="n"/>
      <c r="L228" s="13" t="n"/>
      <c r="M228" s="13" t="n"/>
    </row>
    <row r="229">
      <c r="A229" s="13" t="n"/>
      <c r="B229" s="35" t="n"/>
      <c r="C229" s="13" t="n"/>
      <c r="D229" s="13" t="n"/>
      <c r="E229" s="13" t="n"/>
      <c r="F229" s="38" t="n"/>
      <c r="G229" s="39">
        <f>IF($F229="","",IF($F229&gt;=9,"Promotor",IF($F229&gt;=7,"Pasiv","Detractor")))</f>
        <v/>
      </c>
      <c r="H229" s="13" t="n"/>
      <c r="I229" s="13" t="n"/>
      <c r="J229" s="13" t="n"/>
      <c r="K229" s="13" t="n"/>
      <c r="L229" s="13" t="n"/>
      <c r="M229" s="13" t="n"/>
    </row>
    <row r="230">
      <c r="A230" s="13" t="n"/>
      <c r="B230" s="35" t="n"/>
      <c r="C230" s="13" t="n"/>
      <c r="D230" s="13" t="n"/>
      <c r="E230" s="13" t="n"/>
      <c r="F230" s="38" t="n"/>
      <c r="G230" s="39">
        <f>IF($F230="","",IF($F230&gt;=9,"Promotor",IF($F230&gt;=7,"Pasiv","Detractor")))</f>
        <v/>
      </c>
      <c r="H230" s="13" t="n"/>
      <c r="I230" s="13" t="n"/>
      <c r="J230" s="13" t="n"/>
      <c r="K230" s="13" t="n"/>
      <c r="L230" s="13" t="n"/>
      <c r="M230" s="13" t="n"/>
    </row>
    <row r="231">
      <c r="A231" s="13" t="n"/>
      <c r="B231" s="35" t="n"/>
      <c r="C231" s="13" t="n"/>
      <c r="D231" s="13" t="n"/>
      <c r="E231" s="13" t="n"/>
      <c r="F231" s="38" t="n"/>
      <c r="G231" s="39">
        <f>IF($F231="","",IF($F231&gt;=9,"Promotor",IF($F231&gt;=7,"Pasiv","Detractor")))</f>
        <v/>
      </c>
      <c r="H231" s="13" t="n"/>
      <c r="I231" s="13" t="n"/>
      <c r="J231" s="13" t="n"/>
      <c r="K231" s="13" t="n"/>
      <c r="L231" s="13" t="n"/>
      <c r="M231" s="13" t="n"/>
    </row>
    <row r="232">
      <c r="A232" s="13" t="n"/>
      <c r="B232" s="35" t="n"/>
      <c r="C232" s="13" t="n"/>
      <c r="D232" s="13" t="n"/>
      <c r="E232" s="13" t="n"/>
      <c r="F232" s="38" t="n"/>
      <c r="G232" s="39">
        <f>IF($F232="","",IF($F232&gt;=9,"Promotor",IF($F232&gt;=7,"Pasiv","Detractor")))</f>
        <v/>
      </c>
      <c r="H232" s="13" t="n"/>
      <c r="I232" s="13" t="n"/>
      <c r="J232" s="13" t="n"/>
      <c r="K232" s="13" t="n"/>
      <c r="L232" s="13" t="n"/>
      <c r="M232" s="13" t="n"/>
    </row>
    <row r="233">
      <c r="A233" s="13" t="n"/>
      <c r="B233" s="35" t="n"/>
      <c r="C233" s="13" t="n"/>
      <c r="D233" s="13" t="n"/>
      <c r="E233" s="13" t="n"/>
      <c r="F233" s="38" t="n"/>
      <c r="G233" s="39">
        <f>IF($F233="","",IF($F233&gt;=9,"Promotor",IF($F233&gt;=7,"Pasiv","Detractor")))</f>
        <v/>
      </c>
      <c r="H233" s="13" t="n"/>
      <c r="I233" s="13" t="n"/>
      <c r="J233" s="13" t="n"/>
      <c r="K233" s="13" t="n"/>
      <c r="L233" s="13" t="n"/>
      <c r="M233" s="13" t="n"/>
    </row>
    <row r="234">
      <c r="A234" s="13" t="n"/>
      <c r="B234" s="35" t="n"/>
      <c r="C234" s="13" t="n"/>
      <c r="D234" s="13" t="n"/>
      <c r="E234" s="13" t="n"/>
      <c r="F234" s="38" t="n"/>
      <c r="G234" s="39">
        <f>IF($F234="","",IF($F234&gt;=9,"Promotor",IF($F234&gt;=7,"Pasiv","Detractor")))</f>
        <v/>
      </c>
      <c r="H234" s="13" t="n"/>
      <c r="I234" s="13" t="n"/>
      <c r="J234" s="13" t="n"/>
      <c r="K234" s="13" t="n"/>
      <c r="L234" s="13" t="n"/>
      <c r="M234" s="13" t="n"/>
    </row>
    <row r="235">
      <c r="A235" s="13" t="n"/>
      <c r="B235" s="35" t="n"/>
      <c r="C235" s="13" t="n"/>
      <c r="D235" s="13" t="n"/>
      <c r="E235" s="13" t="n"/>
      <c r="F235" s="38" t="n"/>
      <c r="G235" s="39">
        <f>IF($F235="","",IF($F235&gt;=9,"Promotor",IF($F235&gt;=7,"Pasiv","Detractor")))</f>
        <v/>
      </c>
      <c r="H235" s="13" t="n"/>
      <c r="I235" s="13" t="n"/>
      <c r="J235" s="13" t="n"/>
      <c r="K235" s="13" t="n"/>
      <c r="L235" s="13" t="n"/>
      <c r="M235" s="13" t="n"/>
    </row>
    <row r="236">
      <c r="A236" s="13" t="n"/>
      <c r="B236" s="35" t="n"/>
      <c r="C236" s="13" t="n"/>
      <c r="D236" s="13" t="n"/>
      <c r="E236" s="13" t="n"/>
      <c r="F236" s="38" t="n"/>
      <c r="G236" s="39">
        <f>IF($F236="","",IF($F236&gt;=9,"Promotor",IF($F236&gt;=7,"Pasiv","Detractor")))</f>
        <v/>
      </c>
      <c r="H236" s="13" t="n"/>
      <c r="I236" s="13" t="n"/>
      <c r="J236" s="13" t="n"/>
      <c r="K236" s="13" t="n"/>
      <c r="L236" s="13" t="n"/>
      <c r="M236" s="13" t="n"/>
    </row>
    <row r="237">
      <c r="A237" s="13" t="n"/>
      <c r="B237" s="35" t="n"/>
      <c r="C237" s="13" t="n"/>
      <c r="D237" s="13" t="n"/>
      <c r="E237" s="13" t="n"/>
      <c r="F237" s="38" t="n"/>
      <c r="G237" s="39">
        <f>IF($F237="","",IF($F237&gt;=9,"Promotor",IF($F237&gt;=7,"Pasiv","Detractor")))</f>
        <v/>
      </c>
      <c r="H237" s="13" t="n"/>
      <c r="I237" s="13" t="n"/>
      <c r="J237" s="13" t="n"/>
      <c r="K237" s="13" t="n"/>
      <c r="L237" s="13" t="n"/>
      <c r="M237" s="13" t="n"/>
    </row>
    <row r="238">
      <c r="A238" s="13" t="n"/>
      <c r="B238" s="35" t="n"/>
      <c r="C238" s="13" t="n"/>
      <c r="D238" s="13" t="n"/>
      <c r="E238" s="13" t="n"/>
      <c r="F238" s="38" t="n"/>
      <c r="G238" s="39">
        <f>IF($F238="","",IF($F238&gt;=9,"Promotor",IF($F238&gt;=7,"Pasiv","Detractor")))</f>
        <v/>
      </c>
      <c r="H238" s="13" t="n"/>
      <c r="I238" s="13" t="n"/>
      <c r="J238" s="13" t="n"/>
      <c r="K238" s="13" t="n"/>
      <c r="L238" s="13" t="n"/>
      <c r="M238" s="13" t="n"/>
    </row>
    <row r="239">
      <c r="A239" s="13" t="n"/>
      <c r="B239" s="35" t="n"/>
      <c r="C239" s="13" t="n"/>
      <c r="D239" s="13" t="n"/>
      <c r="E239" s="13" t="n"/>
      <c r="F239" s="38" t="n"/>
      <c r="G239" s="39">
        <f>IF($F239="","",IF($F239&gt;=9,"Promotor",IF($F239&gt;=7,"Pasiv","Detractor")))</f>
        <v/>
      </c>
      <c r="H239" s="13" t="n"/>
      <c r="I239" s="13" t="n"/>
      <c r="J239" s="13" t="n"/>
      <c r="K239" s="13" t="n"/>
      <c r="L239" s="13" t="n"/>
      <c r="M239" s="13" t="n"/>
    </row>
    <row r="240">
      <c r="A240" s="13" t="n"/>
      <c r="B240" s="35" t="n"/>
      <c r="C240" s="13" t="n"/>
      <c r="D240" s="13" t="n"/>
      <c r="E240" s="13" t="n"/>
      <c r="F240" s="38" t="n"/>
      <c r="G240" s="39">
        <f>IF($F240="","",IF($F240&gt;=9,"Promotor",IF($F240&gt;=7,"Pasiv","Detractor")))</f>
        <v/>
      </c>
      <c r="H240" s="13" t="n"/>
      <c r="I240" s="13" t="n"/>
      <c r="J240" s="13" t="n"/>
      <c r="K240" s="13" t="n"/>
      <c r="L240" s="13" t="n"/>
      <c r="M240" s="13" t="n"/>
    </row>
    <row r="241">
      <c r="A241" s="13" t="n"/>
      <c r="B241" s="35" t="n"/>
      <c r="C241" s="13" t="n"/>
      <c r="D241" s="13" t="n"/>
      <c r="E241" s="13" t="n"/>
      <c r="F241" s="38" t="n"/>
      <c r="G241" s="39">
        <f>IF($F241="","",IF($F241&gt;=9,"Promotor",IF($F241&gt;=7,"Pasiv","Detractor")))</f>
        <v/>
      </c>
      <c r="H241" s="13" t="n"/>
      <c r="I241" s="13" t="n"/>
      <c r="J241" s="13" t="n"/>
      <c r="K241" s="13" t="n"/>
      <c r="L241" s="13" t="n"/>
      <c r="M241" s="13" t="n"/>
    </row>
    <row r="242">
      <c r="A242" s="13" t="n"/>
      <c r="B242" s="35" t="n"/>
      <c r="C242" s="13" t="n"/>
      <c r="D242" s="13" t="n"/>
      <c r="E242" s="13" t="n"/>
      <c r="F242" s="38" t="n"/>
      <c r="G242" s="39">
        <f>IF($F242="","",IF($F242&gt;=9,"Promotor",IF($F242&gt;=7,"Pasiv","Detractor")))</f>
        <v/>
      </c>
      <c r="H242" s="13" t="n"/>
      <c r="I242" s="13" t="n"/>
      <c r="J242" s="13" t="n"/>
      <c r="K242" s="13" t="n"/>
      <c r="L242" s="13" t="n"/>
      <c r="M242" s="13" t="n"/>
    </row>
    <row r="243">
      <c r="A243" s="13" t="n"/>
      <c r="B243" s="35" t="n"/>
      <c r="C243" s="13" t="n"/>
      <c r="D243" s="13" t="n"/>
      <c r="E243" s="13" t="n"/>
      <c r="F243" s="38" t="n"/>
      <c r="G243" s="39">
        <f>IF($F243="","",IF($F243&gt;=9,"Promotor",IF($F243&gt;=7,"Pasiv","Detractor")))</f>
        <v/>
      </c>
      <c r="H243" s="13" t="n"/>
      <c r="I243" s="13" t="n"/>
      <c r="J243" s="13" t="n"/>
      <c r="K243" s="13" t="n"/>
      <c r="L243" s="13" t="n"/>
      <c r="M243" s="13" t="n"/>
    </row>
    <row r="244">
      <c r="A244" s="13" t="n"/>
      <c r="B244" s="35" t="n"/>
      <c r="C244" s="13" t="n"/>
      <c r="D244" s="13" t="n"/>
      <c r="E244" s="13" t="n"/>
      <c r="F244" s="38" t="n"/>
      <c r="G244" s="39">
        <f>IF($F244="","",IF($F244&gt;=9,"Promotor",IF($F244&gt;=7,"Pasiv","Detractor")))</f>
        <v/>
      </c>
      <c r="H244" s="13" t="n"/>
      <c r="I244" s="13" t="n"/>
      <c r="J244" s="13" t="n"/>
      <c r="K244" s="13" t="n"/>
      <c r="L244" s="13" t="n"/>
      <c r="M244" s="13" t="n"/>
    </row>
    <row r="245">
      <c r="A245" s="13" t="n"/>
      <c r="B245" s="35" t="n"/>
      <c r="C245" s="13" t="n"/>
      <c r="D245" s="13" t="n"/>
      <c r="E245" s="13" t="n"/>
      <c r="F245" s="38" t="n"/>
      <c r="G245" s="39">
        <f>IF($F245="","",IF($F245&gt;=9,"Promotor",IF($F245&gt;=7,"Pasiv","Detractor")))</f>
        <v/>
      </c>
      <c r="H245" s="13" t="n"/>
      <c r="I245" s="13" t="n"/>
      <c r="J245" s="13" t="n"/>
      <c r="K245" s="13" t="n"/>
      <c r="L245" s="13" t="n"/>
      <c r="M245" s="13" t="n"/>
    </row>
    <row r="246">
      <c r="A246" s="13" t="n"/>
      <c r="B246" s="35" t="n"/>
      <c r="C246" s="13" t="n"/>
      <c r="D246" s="13" t="n"/>
      <c r="E246" s="13" t="n"/>
      <c r="F246" s="38" t="n"/>
      <c r="G246" s="39">
        <f>IF($F246="","",IF($F246&gt;=9,"Promotor",IF($F246&gt;=7,"Pasiv","Detractor")))</f>
        <v/>
      </c>
      <c r="H246" s="13" t="n"/>
      <c r="I246" s="13" t="n"/>
      <c r="J246" s="13" t="n"/>
      <c r="K246" s="13" t="n"/>
      <c r="L246" s="13" t="n"/>
      <c r="M246" s="13" t="n"/>
    </row>
    <row r="247">
      <c r="A247" s="13" t="n"/>
      <c r="B247" s="35" t="n"/>
      <c r="C247" s="13" t="n"/>
      <c r="D247" s="13" t="n"/>
      <c r="E247" s="13" t="n"/>
      <c r="F247" s="38" t="n"/>
      <c r="G247" s="39">
        <f>IF($F247="","",IF($F247&gt;=9,"Promotor",IF($F247&gt;=7,"Pasiv","Detractor")))</f>
        <v/>
      </c>
      <c r="H247" s="13" t="n"/>
      <c r="I247" s="13" t="n"/>
      <c r="J247" s="13" t="n"/>
      <c r="K247" s="13" t="n"/>
      <c r="L247" s="13" t="n"/>
      <c r="M247" s="13" t="n"/>
    </row>
    <row r="248">
      <c r="A248" s="13" t="n"/>
      <c r="B248" s="35" t="n"/>
      <c r="C248" s="13" t="n"/>
      <c r="D248" s="13" t="n"/>
      <c r="E248" s="13" t="n"/>
      <c r="F248" s="38" t="n"/>
      <c r="G248" s="39">
        <f>IF($F248="","",IF($F248&gt;=9,"Promotor",IF($F248&gt;=7,"Pasiv","Detractor")))</f>
        <v/>
      </c>
      <c r="H248" s="13" t="n"/>
      <c r="I248" s="13" t="n"/>
      <c r="J248" s="13" t="n"/>
      <c r="K248" s="13" t="n"/>
      <c r="L248" s="13" t="n"/>
      <c r="M248" s="13" t="n"/>
    </row>
    <row r="249">
      <c r="A249" s="13" t="n"/>
      <c r="B249" s="35" t="n"/>
      <c r="C249" s="13" t="n"/>
      <c r="D249" s="13" t="n"/>
      <c r="E249" s="13" t="n"/>
      <c r="F249" s="38" t="n"/>
      <c r="G249" s="39">
        <f>IF($F249="","",IF($F249&gt;=9,"Promotor",IF($F249&gt;=7,"Pasiv","Detractor")))</f>
        <v/>
      </c>
      <c r="H249" s="13" t="n"/>
      <c r="I249" s="13" t="n"/>
      <c r="J249" s="13" t="n"/>
      <c r="K249" s="13" t="n"/>
      <c r="L249" s="13" t="n"/>
      <c r="M249" s="13" t="n"/>
    </row>
    <row r="250">
      <c r="A250" s="13" t="n"/>
      <c r="B250" s="35" t="n"/>
      <c r="C250" s="13" t="n"/>
      <c r="D250" s="13" t="n"/>
      <c r="E250" s="13" t="n"/>
      <c r="F250" s="38" t="n"/>
      <c r="G250" s="39">
        <f>IF($F250="","",IF($F250&gt;=9,"Promotor",IF($F250&gt;=7,"Pasiv","Detractor")))</f>
        <v/>
      </c>
      <c r="H250" s="13" t="n"/>
      <c r="I250" s="13" t="n"/>
      <c r="J250" s="13" t="n"/>
      <c r="K250" s="13" t="n"/>
      <c r="L250" s="13" t="n"/>
      <c r="M250" s="13" t="n"/>
    </row>
    <row r="251">
      <c r="A251" s="13" t="n"/>
      <c r="B251" s="35" t="n"/>
      <c r="C251" s="13" t="n"/>
      <c r="D251" s="13" t="n"/>
      <c r="E251" s="13" t="n"/>
      <c r="F251" s="38" t="n"/>
      <c r="G251" s="39">
        <f>IF($F251="","",IF($F251&gt;=9,"Promotor",IF($F251&gt;=7,"Pasiv","Detractor")))</f>
        <v/>
      </c>
      <c r="H251" s="13" t="n"/>
      <c r="I251" s="13" t="n"/>
      <c r="J251" s="13" t="n"/>
      <c r="K251" s="13" t="n"/>
      <c r="L251" s="13" t="n"/>
      <c r="M251" s="13" t="n"/>
    </row>
    <row r="252">
      <c r="A252" s="13" t="n"/>
      <c r="B252" s="35" t="n"/>
      <c r="C252" s="13" t="n"/>
      <c r="D252" s="13" t="n"/>
      <c r="E252" s="13" t="n"/>
      <c r="F252" s="38" t="n"/>
      <c r="G252" s="39">
        <f>IF($F252="","",IF($F252&gt;=9,"Promotor",IF($F252&gt;=7,"Pasiv","Detractor")))</f>
        <v/>
      </c>
      <c r="H252" s="13" t="n"/>
      <c r="I252" s="13" t="n"/>
      <c r="J252" s="13" t="n"/>
      <c r="K252" s="13" t="n"/>
      <c r="L252" s="13" t="n"/>
      <c r="M252" s="13" t="n"/>
    </row>
    <row r="253">
      <c r="A253" s="13" t="n"/>
      <c r="B253" s="35" t="n"/>
      <c r="C253" s="13" t="n"/>
      <c r="D253" s="13" t="n"/>
      <c r="E253" s="13" t="n"/>
      <c r="F253" s="38" t="n"/>
      <c r="G253" s="39">
        <f>IF($F253="","",IF($F253&gt;=9,"Promotor",IF($F253&gt;=7,"Pasiv","Detractor")))</f>
        <v/>
      </c>
      <c r="H253" s="13" t="n"/>
      <c r="I253" s="13" t="n"/>
      <c r="J253" s="13" t="n"/>
      <c r="K253" s="13" t="n"/>
      <c r="L253" s="13" t="n"/>
      <c r="M253" s="13" t="n"/>
    </row>
    <row r="254">
      <c r="A254" s="13" t="n"/>
      <c r="B254" s="35" t="n"/>
      <c r="C254" s="13" t="n"/>
      <c r="D254" s="13" t="n"/>
      <c r="E254" s="13" t="n"/>
      <c r="F254" s="38" t="n"/>
      <c r="G254" s="39">
        <f>IF($F254="","",IF($F254&gt;=9,"Promotor",IF($F254&gt;=7,"Pasiv","Detractor")))</f>
        <v/>
      </c>
      <c r="H254" s="13" t="n"/>
      <c r="I254" s="13" t="n"/>
      <c r="J254" s="13" t="n"/>
      <c r="K254" s="13" t="n"/>
      <c r="L254" s="13" t="n"/>
      <c r="M254" s="13" t="n"/>
    </row>
    <row r="255">
      <c r="A255" s="13" t="n"/>
      <c r="B255" s="35" t="n"/>
      <c r="C255" s="13" t="n"/>
      <c r="D255" s="13" t="n"/>
      <c r="E255" s="13" t="n"/>
      <c r="F255" s="38" t="n"/>
      <c r="G255" s="39">
        <f>IF($F255="","",IF($F255&gt;=9,"Promotor",IF($F255&gt;=7,"Pasiv","Detractor")))</f>
        <v/>
      </c>
      <c r="H255" s="13" t="n"/>
      <c r="I255" s="13" t="n"/>
      <c r="J255" s="13" t="n"/>
      <c r="K255" s="13" t="n"/>
      <c r="L255" s="13" t="n"/>
      <c r="M255" s="13" t="n"/>
    </row>
    <row r="256">
      <c r="A256" s="13" t="n"/>
      <c r="B256" s="35" t="n"/>
      <c r="C256" s="13" t="n"/>
      <c r="D256" s="13" t="n"/>
      <c r="E256" s="13" t="n"/>
      <c r="F256" s="38" t="n"/>
      <c r="G256" s="39">
        <f>IF($F256="","",IF($F256&gt;=9,"Promotor",IF($F256&gt;=7,"Pasiv","Detractor")))</f>
        <v/>
      </c>
      <c r="H256" s="13" t="n"/>
      <c r="I256" s="13" t="n"/>
      <c r="J256" s="13" t="n"/>
      <c r="K256" s="13" t="n"/>
      <c r="L256" s="13" t="n"/>
      <c r="M256" s="13" t="n"/>
    </row>
    <row r="257">
      <c r="A257" s="13" t="n"/>
      <c r="B257" s="35" t="n"/>
      <c r="C257" s="13" t="n"/>
      <c r="D257" s="13" t="n"/>
      <c r="E257" s="13" t="n"/>
      <c r="F257" s="38" t="n"/>
      <c r="G257" s="39">
        <f>IF($F257="","",IF($F257&gt;=9,"Promotor",IF($F257&gt;=7,"Pasiv","Detractor")))</f>
        <v/>
      </c>
      <c r="H257" s="13" t="n"/>
      <c r="I257" s="13" t="n"/>
      <c r="J257" s="13" t="n"/>
      <c r="K257" s="13" t="n"/>
      <c r="L257" s="13" t="n"/>
      <c r="M257" s="13" t="n"/>
    </row>
    <row r="258">
      <c r="A258" s="13" t="n"/>
      <c r="B258" s="35" t="n"/>
      <c r="C258" s="13" t="n"/>
      <c r="D258" s="13" t="n"/>
      <c r="E258" s="13" t="n"/>
      <c r="F258" s="38" t="n"/>
      <c r="G258" s="39">
        <f>IF($F258="","",IF($F258&gt;=9,"Promotor",IF($F258&gt;=7,"Pasiv","Detractor")))</f>
        <v/>
      </c>
      <c r="H258" s="13" t="n"/>
      <c r="I258" s="13" t="n"/>
      <c r="J258" s="13" t="n"/>
      <c r="K258" s="13" t="n"/>
      <c r="L258" s="13" t="n"/>
      <c r="M258" s="13" t="n"/>
    </row>
    <row r="259">
      <c r="A259" s="13" t="n"/>
      <c r="B259" s="35" t="n"/>
      <c r="C259" s="13" t="n"/>
      <c r="D259" s="13" t="n"/>
      <c r="E259" s="13" t="n"/>
      <c r="F259" s="38" t="n"/>
      <c r="G259" s="39">
        <f>IF($F259="","",IF($F259&gt;=9,"Promotor",IF($F259&gt;=7,"Pasiv","Detractor")))</f>
        <v/>
      </c>
      <c r="H259" s="13" t="n"/>
      <c r="I259" s="13" t="n"/>
      <c r="J259" s="13" t="n"/>
      <c r="K259" s="13" t="n"/>
      <c r="L259" s="13" t="n"/>
      <c r="M259" s="13" t="n"/>
    </row>
    <row r="260">
      <c r="A260" s="13" t="n"/>
      <c r="B260" s="35" t="n"/>
      <c r="C260" s="13" t="n"/>
      <c r="D260" s="13" t="n"/>
      <c r="E260" s="13" t="n"/>
      <c r="F260" s="38" t="n"/>
      <c r="G260" s="39">
        <f>IF($F260="","",IF($F260&gt;=9,"Promotor",IF($F260&gt;=7,"Pasiv","Detractor")))</f>
        <v/>
      </c>
      <c r="H260" s="13" t="n"/>
      <c r="I260" s="13" t="n"/>
      <c r="J260" s="13" t="n"/>
      <c r="K260" s="13" t="n"/>
      <c r="L260" s="13" t="n"/>
      <c r="M260" s="13" t="n"/>
    </row>
    <row r="261">
      <c r="A261" s="13" t="n"/>
      <c r="B261" s="35" t="n"/>
      <c r="C261" s="13" t="n"/>
      <c r="D261" s="13" t="n"/>
      <c r="E261" s="13" t="n"/>
      <c r="F261" s="38" t="n"/>
      <c r="G261" s="39">
        <f>IF($F261="","",IF($F261&gt;=9,"Promotor",IF($F261&gt;=7,"Pasiv","Detractor")))</f>
        <v/>
      </c>
      <c r="H261" s="13" t="n"/>
      <c r="I261" s="13" t="n"/>
      <c r="J261" s="13" t="n"/>
      <c r="K261" s="13" t="n"/>
      <c r="L261" s="13" t="n"/>
      <c r="M261" s="13" t="n"/>
    </row>
    <row r="262">
      <c r="A262" s="13" t="n"/>
      <c r="B262" s="35" t="n"/>
      <c r="C262" s="13" t="n"/>
      <c r="D262" s="13" t="n"/>
      <c r="E262" s="13" t="n"/>
      <c r="F262" s="38" t="n"/>
      <c r="G262" s="39">
        <f>IF($F262="","",IF($F262&gt;=9,"Promotor",IF($F262&gt;=7,"Pasiv","Detractor")))</f>
        <v/>
      </c>
      <c r="H262" s="13" t="n"/>
      <c r="I262" s="13" t="n"/>
      <c r="J262" s="13" t="n"/>
      <c r="K262" s="13" t="n"/>
      <c r="L262" s="13" t="n"/>
      <c r="M262" s="13" t="n"/>
    </row>
    <row r="263">
      <c r="A263" s="13" t="n"/>
      <c r="B263" s="35" t="n"/>
      <c r="C263" s="13" t="n"/>
      <c r="D263" s="13" t="n"/>
      <c r="E263" s="13" t="n"/>
      <c r="F263" s="38" t="n"/>
      <c r="G263" s="39">
        <f>IF($F263="","",IF($F263&gt;=9,"Promotor",IF($F263&gt;=7,"Pasiv","Detractor")))</f>
        <v/>
      </c>
      <c r="H263" s="13" t="n"/>
      <c r="I263" s="13" t="n"/>
      <c r="J263" s="13" t="n"/>
      <c r="K263" s="13" t="n"/>
      <c r="L263" s="13" t="n"/>
      <c r="M263" s="13" t="n"/>
    </row>
    <row r="264">
      <c r="A264" s="13" t="n"/>
      <c r="B264" s="35" t="n"/>
      <c r="C264" s="13" t="n"/>
      <c r="D264" s="13" t="n"/>
      <c r="E264" s="13" t="n"/>
      <c r="F264" s="38" t="n"/>
      <c r="G264" s="39">
        <f>IF($F264="","",IF($F264&gt;=9,"Promotor",IF($F264&gt;=7,"Pasiv","Detractor")))</f>
        <v/>
      </c>
      <c r="H264" s="13" t="n"/>
      <c r="I264" s="13" t="n"/>
      <c r="J264" s="13" t="n"/>
      <c r="K264" s="13" t="n"/>
      <c r="L264" s="13" t="n"/>
      <c r="M264" s="13" t="n"/>
    </row>
    <row r="265">
      <c r="A265" s="13" t="n"/>
      <c r="B265" s="35" t="n"/>
      <c r="C265" s="13" t="n"/>
      <c r="D265" s="13" t="n"/>
      <c r="E265" s="13" t="n"/>
      <c r="F265" s="38" t="n"/>
      <c r="G265" s="39">
        <f>IF($F265="","",IF($F265&gt;=9,"Promotor",IF($F265&gt;=7,"Pasiv","Detractor")))</f>
        <v/>
      </c>
      <c r="H265" s="13" t="n"/>
      <c r="I265" s="13" t="n"/>
      <c r="J265" s="13" t="n"/>
      <c r="K265" s="13" t="n"/>
      <c r="L265" s="13" t="n"/>
      <c r="M265" s="13" t="n"/>
    </row>
    <row r="266">
      <c r="A266" s="13" t="n"/>
      <c r="B266" s="35" t="n"/>
      <c r="C266" s="13" t="n"/>
      <c r="D266" s="13" t="n"/>
      <c r="E266" s="13" t="n"/>
      <c r="F266" s="38" t="n"/>
      <c r="G266" s="39">
        <f>IF($F266="","",IF($F266&gt;=9,"Promotor",IF($F266&gt;=7,"Pasiv","Detractor")))</f>
        <v/>
      </c>
      <c r="H266" s="13" t="n"/>
      <c r="I266" s="13" t="n"/>
      <c r="J266" s="13" t="n"/>
      <c r="K266" s="13" t="n"/>
      <c r="L266" s="13" t="n"/>
      <c r="M266" s="13" t="n"/>
    </row>
    <row r="267">
      <c r="A267" s="13" t="n"/>
      <c r="B267" s="35" t="n"/>
      <c r="C267" s="13" t="n"/>
      <c r="D267" s="13" t="n"/>
      <c r="E267" s="13" t="n"/>
      <c r="F267" s="38" t="n"/>
      <c r="G267" s="39">
        <f>IF($F267="","",IF($F267&gt;=9,"Promotor",IF($F267&gt;=7,"Pasiv","Detractor")))</f>
        <v/>
      </c>
      <c r="H267" s="13" t="n"/>
      <c r="I267" s="13" t="n"/>
      <c r="J267" s="13" t="n"/>
      <c r="K267" s="13" t="n"/>
      <c r="L267" s="13" t="n"/>
      <c r="M267" s="13" t="n"/>
    </row>
    <row r="268">
      <c r="A268" s="13" t="n"/>
      <c r="B268" s="35" t="n"/>
      <c r="C268" s="13" t="n"/>
      <c r="D268" s="13" t="n"/>
      <c r="E268" s="13" t="n"/>
      <c r="F268" s="38" t="n"/>
      <c r="G268" s="39">
        <f>IF($F268="","",IF($F268&gt;=9,"Promotor",IF($F268&gt;=7,"Pasiv","Detractor")))</f>
        <v/>
      </c>
      <c r="H268" s="13" t="n"/>
      <c r="I268" s="13" t="n"/>
      <c r="J268" s="13" t="n"/>
      <c r="K268" s="13" t="n"/>
      <c r="L268" s="13" t="n"/>
      <c r="M268" s="13" t="n"/>
    </row>
    <row r="269">
      <c r="A269" s="13" t="n"/>
      <c r="B269" s="35" t="n"/>
      <c r="C269" s="13" t="n"/>
      <c r="D269" s="13" t="n"/>
      <c r="E269" s="13" t="n"/>
      <c r="F269" s="38" t="n"/>
      <c r="G269" s="39">
        <f>IF($F269="","",IF($F269&gt;=9,"Promotor",IF($F269&gt;=7,"Pasiv","Detractor")))</f>
        <v/>
      </c>
      <c r="H269" s="13" t="n"/>
      <c r="I269" s="13" t="n"/>
      <c r="J269" s="13" t="n"/>
      <c r="K269" s="13" t="n"/>
      <c r="L269" s="13" t="n"/>
      <c r="M269" s="13" t="n"/>
    </row>
    <row r="270">
      <c r="A270" s="13" t="n"/>
      <c r="B270" s="35" t="n"/>
      <c r="C270" s="13" t="n"/>
      <c r="D270" s="13" t="n"/>
      <c r="E270" s="13" t="n"/>
      <c r="F270" s="38" t="n"/>
      <c r="G270" s="39">
        <f>IF($F270="","",IF($F270&gt;=9,"Promotor",IF($F270&gt;=7,"Pasiv","Detractor")))</f>
        <v/>
      </c>
      <c r="H270" s="13" t="n"/>
      <c r="I270" s="13" t="n"/>
      <c r="J270" s="13" t="n"/>
      <c r="K270" s="13" t="n"/>
      <c r="L270" s="13" t="n"/>
      <c r="M270" s="13" t="n"/>
    </row>
    <row r="271">
      <c r="A271" s="13" t="n"/>
      <c r="B271" s="35" t="n"/>
      <c r="C271" s="13" t="n"/>
      <c r="D271" s="13" t="n"/>
      <c r="E271" s="13" t="n"/>
      <c r="F271" s="38" t="n"/>
      <c r="G271" s="39">
        <f>IF($F271="","",IF($F271&gt;=9,"Promotor",IF($F271&gt;=7,"Pasiv","Detractor")))</f>
        <v/>
      </c>
      <c r="H271" s="13" t="n"/>
      <c r="I271" s="13" t="n"/>
      <c r="J271" s="13" t="n"/>
      <c r="K271" s="13" t="n"/>
      <c r="L271" s="13" t="n"/>
      <c r="M271" s="13" t="n"/>
    </row>
    <row r="272">
      <c r="A272" s="13" t="n"/>
      <c r="B272" s="35" t="n"/>
      <c r="C272" s="13" t="n"/>
      <c r="D272" s="13" t="n"/>
      <c r="E272" s="13" t="n"/>
      <c r="F272" s="38" t="n"/>
      <c r="G272" s="39">
        <f>IF($F272="","",IF($F272&gt;=9,"Promotor",IF($F272&gt;=7,"Pasiv","Detractor")))</f>
        <v/>
      </c>
      <c r="H272" s="13" t="n"/>
      <c r="I272" s="13" t="n"/>
      <c r="J272" s="13" t="n"/>
      <c r="K272" s="13" t="n"/>
      <c r="L272" s="13" t="n"/>
      <c r="M272" s="13" t="n"/>
    </row>
    <row r="273">
      <c r="A273" s="13" t="n"/>
      <c r="B273" s="35" t="n"/>
      <c r="C273" s="13" t="n"/>
      <c r="D273" s="13" t="n"/>
      <c r="E273" s="13" t="n"/>
      <c r="F273" s="38" t="n"/>
      <c r="G273" s="39">
        <f>IF($F273="","",IF($F273&gt;=9,"Promotor",IF($F273&gt;=7,"Pasiv","Detractor")))</f>
        <v/>
      </c>
      <c r="H273" s="13" t="n"/>
      <c r="I273" s="13" t="n"/>
      <c r="J273" s="13" t="n"/>
      <c r="K273" s="13" t="n"/>
      <c r="L273" s="13" t="n"/>
      <c r="M273" s="13" t="n"/>
    </row>
    <row r="274">
      <c r="A274" s="13" t="n"/>
      <c r="B274" s="35" t="n"/>
      <c r="C274" s="13" t="n"/>
      <c r="D274" s="13" t="n"/>
      <c r="E274" s="13" t="n"/>
      <c r="F274" s="38" t="n"/>
      <c r="G274" s="39">
        <f>IF($F274="","",IF($F274&gt;=9,"Promotor",IF($F274&gt;=7,"Pasiv","Detractor")))</f>
        <v/>
      </c>
      <c r="H274" s="13" t="n"/>
      <c r="I274" s="13" t="n"/>
      <c r="J274" s="13" t="n"/>
      <c r="K274" s="13" t="n"/>
      <c r="L274" s="13" t="n"/>
      <c r="M274" s="13" t="n"/>
    </row>
    <row r="275">
      <c r="A275" s="13" t="n"/>
      <c r="B275" s="35" t="n"/>
      <c r="C275" s="13" t="n"/>
      <c r="D275" s="13" t="n"/>
      <c r="E275" s="13" t="n"/>
      <c r="F275" s="38" t="n"/>
      <c r="G275" s="39">
        <f>IF($F275="","",IF($F275&gt;=9,"Promotor",IF($F275&gt;=7,"Pasiv","Detractor")))</f>
        <v/>
      </c>
      <c r="H275" s="13" t="n"/>
      <c r="I275" s="13" t="n"/>
      <c r="J275" s="13" t="n"/>
      <c r="K275" s="13" t="n"/>
      <c r="L275" s="13" t="n"/>
      <c r="M275" s="13" t="n"/>
    </row>
    <row r="276">
      <c r="A276" s="13" t="n"/>
      <c r="B276" s="35" t="n"/>
      <c r="C276" s="13" t="n"/>
      <c r="D276" s="13" t="n"/>
      <c r="E276" s="13" t="n"/>
      <c r="F276" s="38" t="n"/>
      <c r="G276" s="39">
        <f>IF($F276="","",IF($F276&gt;=9,"Promotor",IF($F276&gt;=7,"Pasiv","Detractor")))</f>
        <v/>
      </c>
      <c r="H276" s="13" t="n"/>
      <c r="I276" s="13" t="n"/>
      <c r="J276" s="13" t="n"/>
      <c r="K276" s="13" t="n"/>
      <c r="L276" s="13" t="n"/>
      <c r="M276" s="13" t="n"/>
    </row>
    <row r="277">
      <c r="A277" s="13" t="n"/>
      <c r="B277" s="35" t="n"/>
      <c r="C277" s="13" t="n"/>
      <c r="D277" s="13" t="n"/>
      <c r="E277" s="13" t="n"/>
      <c r="F277" s="38" t="n"/>
      <c r="G277" s="39">
        <f>IF($F277="","",IF($F277&gt;=9,"Promotor",IF($F277&gt;=7,"Pasiv","Detractor")))</f>
        <v/>
      </c>
      <c r="H277" s="13" t="n"/>
      <c r="I277" s="13" t="n"/>
      <c r="J277" s="13" t="n"/>
      <c r="K277" s="13" t="n"/>
      <c r="L277" s="13" t="n"/>
      <c r="M277" s="13" t="n"/>
    </row>
    <row r="278">
      <c r="A278" s="13" t="n"/>
      <c r="B278" s="35" t="n"/>
      <c r="C278" s="13" t="n"/>
      <c r="D278" s="13" t="n"/>
      <c r="E278" s="13" t="n"/>
      <c r="F278" s="38" t="n"/>
      <c r="G278" s="39">
        <f>IF($F278="","",IF($F278&gt;=9,"Promotor",IF($F278&gt;=7,"Pasiv","Detractor")))</f>
        <v/>
      </c>
      <c r="H278" s="13" t="n"/>
      <c r="I278" s="13" t="n"/>
      <c r="J278" s="13" t="n"/>
      <c r="K278" s="13" t="n"/>
      <c r="L278" s="13" t="n"/>
      <c r="M278" s="13" t="n"/>
    </row>
    <row r="279">
      <c r="A279" s="13" t="n"/>
      <c r="B279" s="35" t="n"/>
      <c r="C279" s="13" t="n"/>
      <c r="D279" s="13" t="n"/>
      <c r="E279" s="13" t="n"/>
      <c r="F279" s="38" t="n"/>
      <c r="G279" s="39">
        <f>IF($F279="","",IF($F279&gt;=9,"Promotor",IF($F279&gt;=7,"Pasiv","Detractor")))</f>
        <v/>
      </c>
      <c r="H279" s="13" t="n"/>
      <c r="I279" s="13" t="n"/>
      <c r="J279" s="13" t="n"/>
      <c r="K279" s="13" t="n"/>
      <c r="L279" s="13" t="n"/>
      <c r="M279" s="13" t="n"/>
    </row>
    <row r="280">
      <c r="A280" s="13" t="n"/>
      <c r="B280" s="35" t="n"/>
      <c r="C280" s="13" t="n"/>
      <c r="D280" s="13" t="n"/>
      <c r="E280" s="13" t="n"/>
      <c r="F280" s="38" t="n"/>
      <c r="G280" s="39">
        <f>IF($F280="","",IF($F280&gt;=9,"Promotor",IF($F280&gt;=7,"Pasiv","Detractor")))</f>
        <v/>
      </c>
      <c r="H280" s="13" t="n"/>
      <c r="I280" s="13" t="n"/>
      <c r="J280" s="13" t="n"/>
      <c r="K280" s="13" t="n"/>
      <c r="L280" s="13" t="n"/>
      <c r="M280" s="13" t="n"/>
    </row>
    <row r="281">
      <c r="A281" s="13" t="n"/>
      <c r="B281" s="35" t="n"/>
      <c r="C281" s="13" t="n"/>
      <c r="D281" s="13" t="n"/>
      <c r="E281" s="13" t="n"/>
      <c r="F281" s="38" t="n"/>
      <c r="G281" s="39">
        <f>IF($F281="","",IF($F281&gt;=9,"Promotor",IF($F281&gt;=7,"Pasiv","Detractor")))</f>
        <v/>
      </c>
      <c r="H281" s="13" t="n"/>
      <c r="I281" s="13" t="n"/>
      <c r="J281" s="13" t="n"/>
      <c r="K281" s="13" t="n"/>
      <c r="L281" s="13" t="n"/>
      <c r="M281" s="13" t="n"/>
    </row>
    <row r="282">
      <c r="A282" s="13" t="n"/>
      <c r="B282" s="35" t="n"/>
      <c r="C282" s="13" t="n"/>
      <c r="D282" s="13" t="n"/>
      <c r="E282" s="13" t="n"/>
      <c r="F282" s="38" t="n"/>
      <c r="G282" s="39">
        <f>IF($F282="","",IF($F282&gt;=9,"Promotor",IF($F282&gt;=7,"Pasiv","Detractor")))</f>
        <v/>
      </c>
      <c r="H282" s="13" t="n"/>
      <c r="I282" s="13" t="n"/>
      <c r="J282" s="13" t="n"/>
      <c r="K282" s="13" t="n"/>
      <c r="L282" s="13" t="n"/>
      <c r="M282" s="13" t="n"/>
    </row>
    <row r="283">
      <c r="A283" s="13" t="n"/>
      <c r="B283" s="35" t="n"/>
      <c r="C283" s="13" t="n"/>
      <c r="D283" s="13" t="n"/>
      <c r="E283" s="13" t="n"/>
      <c r="F283" s="38" t="n"/>
      <c r="G283" s="39">
        <f>IF($F283="","",IF($F283&gt;=9,"Promotor",IF($F283&gt;=7,"Pasiv","Detractor")))</f>
        <v/>
      </c>
      <c r="H283" s="13" t="n"/>
      <c r="I283" s="13" t="n"/>
      <c r="J283" s="13" t="n"/>
      <c r="K283" s="13" t="n"/>
      <c r="L283" s="13" t="n"/>
      <c r="M283" s="13" t="n"/>
    </row>
    <row r="284">
      <c r="A284" s="13" t="n"/>
      <c r="B284" s="35" t="n"/>
      <c r="C284" s="13" t="n"/>
      <c r="D284" s="13" t="n"/>
      <c r="E284" s="13" t="n"/>
      <c r="F284" s="38" t="n"/>
      <c r="G284" s="39">
        <f>IF($F284="","",IF($F284&gt;=9,"Promotor",IF($F284&gt;=7,"Pasiv","Detractor")))</f>
        <v/>
      </c>
      <c r="H284" s="13" t="n"/>
      <c r="I284" s="13" t="n"/>
      <c r="J284" s="13" t="n"/>
      <c r="K284" s="13" t="n"/>
      <c r="L284" s="13" t="n"/>
      <c r="M284" s="13" t="n"/>
    </row>
    <row r="285">
      <c r="A285" s="13" t="n"/>
      <c r="B285" s="35" t="n"/>
      <c r="C285" s="13" t="n"/>
      <c r="D285" s="13" t="n"/>
      <c r="E285" s="13" t="n"/>
      <c r="F285" s="38" t="n"/>
      <c r="G285" s="39">
        <f>IF($F285="","",IF($F285&gt;=9,"Promotor",IF($F285&gt;=7,"Pasiv","Detractor")))</f>
        <v/>
      </c>
      <c r="H285" s="13" t="n"/>
      <c r="I285" s="13" t="n"/>
      <c r="J285" s="13" t="n"/>
      <c r="K285" s="13" t="n"/>
      <c r="L285" s="13" t="n"/>
      <c r="M285" s="13" t="n"/>
    </row>
    <row r="286">
      <c r="A286" s="13" t="n"/>
      <c r="B286" s="35" t="n"/>
      <c r="C286" s="13" t="n"/>
      <c r="D286" s="13" t="n"/>
      <c r="E286" s="13" t="n"/>
      <c r="F286" s="38" t="n"/>
      <c r="G286" s="39">
        <f>IF($F286="","",IF($F286&gt;=9,"Promotor",IF($F286&gt;=7,"Pasiv","Detractor")))</f>
        <v/>
      </c>
      <c r="H286" s="13" t="n"/>
      <c r="I286" s="13" t="n"/>
      <c r="J286" s="13" t="n"/>
      <c r="K286" s="13" t="n"/>
      <c r="L286" s="13" t="n"/>
      <c r="M286" s="13" t="n"/>
    </row>
    <row r="287">
      <c r="A287" s="13" t="n"/>
      <c r="B287" s="35" t="n"/>
      <c r="C287" s="13" t="n"/>
      <c r="D287" s="13" t="n"/>
      <c r="E287" s="13" t="n"/>
      <c r="F287" s="38" t="n"/>
      <c r="G287" s="39">
        <f>IF($F287="","",IF($F287&gt;=9,"Promotor",IF($F287&gt;=7,"Pasiv","Detractor")))</f>
        <v/>
      </c>
      <c r="H287" s="13" t="n"/>
      <c r="I287" s="13" t="n"/>
      <c r="J287" s="13" t="n"/>
      <c r="K287" s="13" t="n"/>
      <c r="L287" s="13" t="n"/>
      <c r="M287" s="13" t="n"/>
    </row>
    <row r="288">
      <c r="A288" s="13" t="n"/>
      <c r="B288" s="35" t="n"/>
      <c r="C288" s="13" t="n"/>
      <c r="D288" s="13" t="n"/>
      <c r="E288" s="13" t="n"/>
      <c r="F288" s="38" t="n"/>
      <c r="G288" s="39">
        <f>IF($F288="","",IF($F288&gt;=9,"Promotor",IF($F288&gt;=7,"Pasiv","Detractor")))</f>
        <v/>
      </c>
      <c r="H288" s="13" t="n"/>
      <c r="I288" s="13" t="n"/>
      <c r="J288" s="13" t="n"/>
      <c r="K288" s="13" t="n"/>
      <c r="L288" s="13" t="n"/>
      <c r="M288" s="13" t="n"/>
    </row>
    <row r="289">
      <c r="A289" s="13" t="n"/>
      <c r="B289" s="35" t="n"/>
      <c r="C289" s="13" t="n"/>
      <c r="D289" s="13" t="n"/>
      <c r="E289" s="13" t="n"/>
      <c r="F289" s="38" t="n"/>
      <c r="G289" s="39">
        <f>IF($F289="","",IF($F289&gt;=9,"Promotor",IF($F289&gt;=7,"Pasiv","Detractor")))</f>
        <v/>
      </c>
      <c r="H289" s="13" t="n"/>
      <c r="I289" s="13" t="n"/>
      <c r="J289" s="13" t="n"/>
      <c r="K289" s="13" t="n"/>
      <c r="L289" s="13" t="n"/>
      <c r="M289" s="13" t="n"/>
    </row>
    <row r="290">
      <c r="A290" s="13" t="n"/>
      <c r="B290" s="35" t="n"/>
      <c r="C290" s="13" t="n"/>
      <c r="D290" s="13" t="n"/>
      <c r="E290" s="13" t="n"/>
      <c r="F290" s="38" t="n"/>
      <c r="G290" s="39">
        <f>IF($F290="","",IF($F290&gt;=9,"Promotor",IF($F290&gt;=7,"Pasiv","Detractor")))</f>
        <v/>
      </c>
      <c r="H290" s="13" t="n"/>
      <c r="I290" s="13" t="n"/>
      <c r="J290" s="13" t="n"/>
      <c r="K290" s="13" t="n"/>
      <c r="L290" s="13" t="n"/>
      <c r="M290" s="13" t="n"/>
    </row>
    <row r="291">
      <c r="A291" s="13" t="n"/>
      <c r="B291" s="35" t="n"/>
      <c r="C291" s="13" t="n"/>
      <c r="D291" s="13" t="n"/>
      <c r="E291" s="13" t="n"/>
      <c r="F291" s="38" t="n"/>
      <c r="G291" s="39">
        <f>IF($F291="","",IF($F291&gt;=9,"Promotor",IF($F291&gt;=7,"Pasiv","Detractor")))</f>
        <v/>
      </c>
      <c r="H291" s="13" t="n"/>
      <c r="I291" s="13" t="n"/>
      <c r="J291" s="13" t="n"/>
      <c r="K291" s="13" t="n"/>
      <c r="L291" s="13" t="n"/>
      <c r="M291" s="13" t="n"/>
    </row>
    <row r="292">
      <c r="A292" s="13" t="n"/>
      <c r="B292" s="35" t="n"/>
      <c r="C292" s="13" t="n"/>
      <c r="D292" s="13" t="n"/>
      <c r="E292" s="13" t="n"/>
      <c r="F292" s="38" t="n"/>
      <c r="G292" s="39">
        <f>IF($F292="","",IF($F292&gt;=9,"Promotor",IF($F292&gt;=7,"Pasiv","Detractor")))</f>
        <v/>
      </c>
      <c r="H292" s="13" t="n"/>
      <c r="I292" s="13" t="n"/>
      <c r="J292" s="13" t="n"/>
      <c r="K292" s="13" t="n"/>
      <c r="L292" s="13" t="n"/>
      <c r="M292" s="13" t="n"/>
    </row>
    <row r="293">
      <c r="A293" s="13" t="n"/>
      <c r="B293" s="35" t="n"/>
      <c r="C293" s="13" t="n"/>
      <c r="D293" s="13" t="n"/>
      <c r="E293" s="13" t="n"/>
      <c r="F293" s="38" t="n"/>
      <c r="G293" s="39">
        <f>IF($F293="","",IF($F293&gt;=9,"Promotor",IF($F293&gt;=7,"Pasiv","Detractor")))</f>
        <v/>
      </c>
      <c r="H293" s="13" t="n"/>
      <c r="I293" s="13" t="n"/>
      <c r="J293" s="13" t="n"/>
      <c r="K293" s="13" t="n"/>
      <c r="L293" s="13" t="n"/>
      <c r="M293" s="13" t="n"/>
    </row>
    <row r="294">
      <c r="A294" s="13" t="n"/>
      <c r="B294" s="35" t="n"/>
      <c r="C294" s="13" t="n"/>
      <c r="D294" s="13" t="n"/>
      <c r="E294" s="13" t="n"/>
      <c r="F294" s="38" t="n"/>
      <c r="G294" s="39">
        <f>IF($F294="","",IF($F294&gt;=9,"Promotor",IF($F294&gt;=7,"Pasiv","Detractor")))</f>
        <v/>
      </c>
      <c r="H294" s="13" t="n"/>
      <c r="I294" s="13" t="n"/>
      <c r="J294" s="13" t="n"/>
      <c r="K294" s="13" t="n"/>
      <c r="L294" s="13" t="n"/>
      <c r="M294" s="13" t="n"/>
    </row>
    <row r="295">
      <c r="A295" s="13" t="n"/>
      <c r="B295" s="35" t="n"/>
      <c r="C295" s="13" t="n"/>
      <c r="D295" s="13" t="n"/>
      <c r="E295" s="13" t="n"/>
      <c r="F295" s="38" t="n"/>
      <c r="G295" s="39">
        <f>IF($F295="","",IF($F295&gt;=9,"Promotor",IF($F295&gt;=7,"Pasiv","Detractor")))</f>
        <v/>
      </c>
      <c r="H295" s="13" t="n"/>
      <c r="I295" s="13" t="n"/>
      <c r="J295" s="13" t="n"/>
      <c r="K295" s="13" t="n"/>
      <c r="L295" s="13" t="n"/>
      <c r="M295" s="13" t="n"/>
    </row>
    <row r="296">
      <c r="A296" s="13" t="n"/>
      <c r="B296" s="35" t="n"/>
      <c r="C296" s="13" t="n"/>
      <c r="D296" s="13" t="n"/>
      <c r="E296" s="13" t="n"/>
      <c r="F296" s="38" t="n"/>
      <c r="G296" s="39">
        <f>IF($F296="","",IF($F296&gt;=9,"Promotor",IF($F296&gt;=7,"Pasiv","Detractor")))</f>
        <v/>
      </c>
      <c r="H296" s="13" t="n"/>
      <c r="I296" s="13" t="n"/>
      <c r="J296" s="13" t="n"/>
      <c r="K296" s="13" t="n"/>
      <c r="L296" s="13" t="n"/>
      <c r="M296" s="13" t="n"/>
    </row>
    <row r="297">
      <c r="A297" s="13" t="n"/>
      <c r="B297" s="35" t="n"/>
      <c r="C297" s="13" t="n"/>
      <c r="D297" s="13" t="n"/>
      <c r="E297" s="13" t="n"/>
      <c r="F297" s="38" t="n"/>
      <c r="G297" s="39">
        <f>IF($F297="","",IF($F297&gt;=9,"Promotor",IF($F297&gt;=7,"Pasiv","Detractor")))</f>
        <v/>
      </c>
      <c r="H297" s="13" t="n"/>
      <c r="I297" s="13" t="n"/>
      <c r="J297" s="13" t="n"/>
      <c r="K297" s="13" t="n"/>
      <c r="L297" s="13" t="n"/>
      <c r="M297" s="13" t="n"/>
    </row>
    <row r="298">
      <c r="A298" s="13" t="n"/>
      <c r="B298" s="35" t="n"/>
      <c r="C298" s="13" t="n"/>
      <c r="D298" s="13" t="n"/>
      <c r="E298" s="13" t="n"/>
      <c r="F298" s="38" t="n"/>
      <c r="G298" s="39">
        <f>IF($F298="","",IF($F298&gt;=9,"Promotor",IF($F298&gt;=7,"Pasiv","Detractor")))</f>
        <v/>
      </c>
      <c r="H298" s="13" t="n"/>
      <c r="I298" s="13" t="n"/>
      <c r="J298" s="13" t="n"/>
      <c r="K298" s="13" t="n"/>
      <c r="L298" s="13" t="n"/>
      <c r="M298" s="13" t="n"/>
    </row>
    <row r="299">
      <c r="A299" s="13" t="n"/>
      <c r="B299" s="35" t="n"/>
      <c r="C299" s="13" t="n"/>
      <c r="D299" s="13" t="n"/>
      <c r="E299" s="13" t="n"/>
      <c r="F299" s="38" t="n"/>
      <c r="G299" s="39">
        <f>IF($F299="","",IF($F299&gt;=9,"Promotor",IF($F299&gt;=7,"Pasiv","Detractor")))</f>
        <v/>
      </c>
      <c r="H299" s="13" t="n"/>
      <c r="I299" s="13" t="n"/>
      <c r="J299" s="13" t="n"/>
      <c r="K299" s="13" t="n"/>
      <c r="L299" s="13" t="n"/>
      <c r="M299" s="13" t="n"/>
    </row>
    <row r="300">
      <c r="A300" s="13" t="n"/>
      <c r="B300" s="35" t="n"/>
      <c r="C300" s="13" t="n"/>
      <c r="D300" s="13" t="n"/>
      <c r="E300" s="13" t="n"/>
      <c r="F300" s="38" t="n"/>
      <c r="G300" s="39">
        <f>IF($F300="","",IF($F300&gt;=9,"Promotor",IF($F300&gt;=7,"Pasiv","Detractor")))</f>
        <v/>
      </c>
      <c r="H300" s="13" t="n"/>
      <c r="I300" s="13" t="n"/>
      <c r="J300" s="13" t="n"/>
      <c r="K300" s="13" t="n"/>
      <c r="L300" s="13" t="n"/>
      <c r="M300" s="13" t="n"/>
    </row>
    <row r="301">
      <c r="A301" s="13" t="n"/>
      <c r="B301" s="35" t="n"/>
      <c r="C301" s="13" t="n"/>
      <c r="D301" s="13" t="n"/>
      <c r="E301" s="13" t="n"/>
      <c r="F301" s="38" t="n"/>
      <c r="G301" s="39">
        <f>IF($F301="","",IF($F301&gt;=9,"Promotor",IF($F301&gt;=7,"Pasiv","Detractor")))</f>
        <v/>
      </c>
      <c r="H301" s="13" t="n"/>
      <c r="I301" s="13" t="n"/>
      <c r="J301" s="13" t="n"/>
      <c r="K301" s="13" t="n"/>
      <c r="L301" s="13" t="n"/>
      <c r="M301" s="13" t="n"/>
    </row>
    <row r="302">
      <c r="A302" s="13" t="n"/>
      <c r="B302" s="35" t="n"/>
      <c r="C302" s="13" t="n"/>
      <c r="D302" s="13" t="n"/>
      <c r="E302" s="13" t="n"/>
      <c r="F302" s="38" t="n"/>
      <c r="G302" s="39">
        <f>IF($F302="","",IF($F302&gt;=9,"Promotor",IF($F302&gt;=7,"Pasiv","Detractor")))</f>
        <v/>
      </c>
      <c r="H302" s="13" t="n"/>
      <c r="I302" s="13" t="n"/>
      <c r="J302" s="13" t="n"/>
      <c r="K302" s="13" t="n"/>
      <c r="L302" s="13" t="n"/>
      <c r="M302" s="13" t="n"/>
    </row>
    <row r="303">
      <c r="A303" s="13" t="n"/>
      <c r="B303" s="35" t="n"/>
      <c r="C303" s="13" t="n"/>
      <c r="D303" s="13" t="n"/>
      <c r="E303" s="13" t="n"/>
      <c r="F303" s="38" t="n"/>
      <c r="G303" s="39">
        <f>IF($F303="","",IF($F303&gt;=9,"Promotor",IF($F303&gt;=7,"Pasiv","Detractor")))</f>
        <v/>
      </c>
      <c r="H303" s="13" t="n"/>
      <c r="I303" s="13" t="n"/>
      <c r="J303" s="13" t="n"/>
      <c r="K303" s="13" t="n"/>
      <c r="L303" s="13" t="n"/>
      <c r="M303" s="13" t="n"/>
    </row>
    <row r="304">
      <c r="A304" s="13" t="n"/>
      <c r="B304" s="35" t="n"/>
      <c r="C304" s="13" t="n"/>
      <c r="D304" s="13" t="n"/>
      <c r="E304" s="13" t="n"/>
      <c r="F304" s="38" t="n"/>
      <c r="G304" s="39">
        <f>IF($F304="","",IF($F304&gt;=9,"Promotor",IF($F304&gt;=7,"Pasiv","Detractor")))</f>
        <v/>
      </c>
      <c r="H304" s="13" t="n"/>
      <c r="I304" s="13" t="n"/>
      <c r="J304" s="13" t="n"/>
      <c r="K304" s="13" t="n"/>
      <c r="L304" s="13" t="n"/>
      <c r="M304" s="13" t="n"/>
    </row>
    <row r="305">
      <c r="A305" s="13" t="n"/>
      <c r="B305" s="35" t="n"/>
      <c r="C305" s="13" t="n"/>
      <c r="D305" s="13" t="n"/>
      <c r="E305" s="13" t="n"/>
      <c r="F305" s="38" t="n"/>
      <c r="G305" s="39">
        <f>IF($F305="","",IF($F305&gt;=9,"Promotor",IF($F305&gt;=7,"Pasiv","Detractor")))</f>
        <v/>
      </c>
      <c r="H305" s="13" t="n"/>
      <c r="I305" s="13" t="n"/>
      <c r="J305" s="13" t="n"/>
      <c r="K305" s="13" t="n"/>
      <c r="L305" s="13" t="n"/>
      <c r="M305" s="13" t="n"/>
    </row>
    <row r="306">
      <c r="A306" s="13" t="n"/>
      <c r="B306" s="35" t="n"/>
      <c r="C306" s="13" t="n"/>
      <c r="D306" s="13" t="n"/>
      <c r="E306" s="13" t="n"/>
      <c r="F306" s="38" t="n"/>
      <c r="G306" s="39">
        <f>IF($F306="","",IF($F306&gt;=9,"Promotor",IF($F306&gt;=7,"Pasiv","Detractor")))</f>
        <v/>
      </c>
      <c r="H306" s="13" t="n"/>
      <c r="I306" s="13" t="n"/>
      <c r="J306" s="13" t="n"/>
      <c r="K306" s="13" t="n"/>
      <c r="L306" s="13" t="n"/>
      <c r="M306" s="13" t="n"/>
    </row>
    <row r="307">
      <c r="A307" s="13" t="n"/>
      <c r="B307" s="35" t="n"/>
      <c r="C307" s="13" t="n"/>
      <c r="D307" s="13" t="n"/>
      <c r="E307" s="13" t="n"/>
      <c r="F307" s="38" t="n"/>
      <c r="G307" s="39">
        <f>IF($F307="","",IF($F307&gt;=9,"Promotor",IF($F307&gt;=7,"Pasiv","Detractor")))</f>
        <v/>
      </c>
      <c r="H307" s="13" t="n"/>
      <c r="I307" s="13" t="n"/>
      <c r="J307" s="13" t="n"/>
      <c r="K307" s="13" t="n"/>
      <c r="L307" s="13" t="n"/>
      <c r="M307" s="13" t="n"/>
    </row>
    <row r="308">
      <c r="A308" s="13" t="n"/>
      <c r="B308" s="35" t="n"/>
      <c r="C308" s="13" t="n"/>
      <c r="D308" s="13" t="n"/>
      <c r="E308" s="13" t="n"/>
      <c r="F308" s="38" t="n"/>
      <c r="G308" s="39">
        <f>IF($F308="","",IF($F308&gt;=9,"Promotor",IF($F308&gt;=7,"Pasiv","Detractor")))</f>
        <v/>
      </c>
      <c r="H308" s="13" t="n"/>
      <c r="I308" s="13" t="n"/>
      <c r="J308" s="13" t="n"/>
      <c r="K308" s="13" t="n"/>
      <c r="L308" s="13" t="n"/>
      <c r="M308" s="13" t="n"/>
    </row>
    <row r="309">
      <c r="A309" s="13" t="n"/>
      <c r="B309" s="35" t="n"/>
      <c r="C309" s="13" t="n"/>
      <c r="D309" s="13" t="n"/>
      <c r="E309" s="13" t="n"/>
      <c r="F309" s="38" t="n"/>
      <c r="G309" s="39">
        <f>IF($F309="","",IF($F309&gt;=9,"Promotor",IF($F309&gt;=7,"Pasiv","Detractor")))</f>
        <v/>
      </c>
      <c r="H309" s="13" t="n"/>
      <c r="I309" s="13" t="n"/>
      <c r="J309" s="13" t="n"/>
      <c r="K309" s="13" t="n"/>
      <c r="L309" s="13" t="n"/>
      <c r="M309" s="13" t="n"/>
    </row>
    <row r="310">
      <c r="A310" s="13" t="n"/>
      <c r="B310" s="35" t="n"/>
      <c r="C310" s="13" t="n"/>
      <c r="D310" s="13" t="n"/>
      <c r="E310" s="13" t="n"/>
      <c r="F310" s="38" t="n"/>
      <c r="G310" s="39">
        <f>IF($F310="","",IF($F310&gt;=9,"Promotor",IF($F310&gt;=7,"Pasiv","Detractor")))</f>
        <v/>
      </c>
      <c r="H310" s="13" t="n"/>
      <c r="I310" s="13" t="n"/>
      <c r="J310" s="13" t="n"/>
      <c r="K310" s="13" t="n"/>
      <c r="L310" s="13" t="n"/>
      <c r="M310" s="13" t="n"/>
    </row>
    <row r="311">
      <c r="A311" s="13" t="n"/>
      <c r="B311" s="35" t="n"/>
      <c r="C311" s="13" t="n"/>
      <c r="D311" s="13" t="n"/>
      <c r="E311" s="13" t="n"/>
      <c r="F311" s="38" t="n"/>
      <c r="G311" s="39">
        <f>IF($F311="","",IF($F311&gt;=9,"Promotor",IF($F311&gt;=7,"Pasiv","Detractor")))</f>
        <v/>
      </c>
      <c r="H311" s="13" t="n"/>
      <c r="I311" s="13" t="n"/>
      <c r="J311" s="13" t="n"/>
      <c r="K311" s="13" t="n"/>
      <c r="L311" s="13" t="n"/>
      <c r="M311" s="13" t="n"/>
    </row>
    <row r="312">
      <c r="A312" s="13" t="n"/>
      <c r="B312" s="35" t="n"/>
      <c r="C312" s="13" t="n"/>
      <c r="D312" s="13" t="n"/>
      <c r="E312" s="13" t="n"/>
      <c r="F312" s="38" t="n"/>
      <c r="G312" s="39">
        <f>IF($F312="","",IF($F312&gt;=9,"Promotor",IF($F312&gt;=7,"Pasiv","Detractor")))</f>
        <v/>
      </c>
      <c r="H312" s="13" t="n"/>
      <c r="I312" s="13" t="n"/>
      <c r="J312" s="13" t="n"/>
      <c r="K312" s="13" t="n"/>
      <c r="L312" s="13" t="n"/>
      <c r="M312" s="13" t="n"/>
    </row>
    <row r="313">
      <c r="A313" s="13" t="n"/>
      <c r="B313" s="35" t="n"/>
      <c r="C313" s="13" t="n"/>
      <c r="D313" s="13" t="n"/>
      <c r="E313" s="13" t="n"/>
      <c r="F313" s="38" t="n"/>
      <c r="G313" s="39">
        <f>IF($F313="","",IF($F313&gt;=9,"Promotor",IF($F313&gt;=7,"Pasiv","Detractor")))</f>
        <v/>
      </c>
      <c r="H313" s="13" t="n"/>
      <c r="I313" s="13" t="n"/>
      <c r="J313" s="13" t="n"/>
      <c r="K313" s="13" t="n"/>
      <c r="L313" s="13" t="n"/>
      <c r="M313" s="13" t="n"/>
    </row>
    <row r="314">
      <c r="A314" s="13" t="n"/>
      <c r="B314" s="35" t="n"/>
      <c r="C314" s="13" t="n"/>
      <c r="D314" s="13" t="n"/>
      <c r="E314" s="13" t="n"/>
      <c r="F314" s="38" t="n"/>
      <c r="G314" s="39">
        <f>IF($F314="","",IF($F314&gt;=9,"Promotor",IF($F314&gt;=7,"Pasiv","Detractor")))</f>
        <v/>
      </c>
      <c r="H314" s="13" t="n"/>
      <c r="I314" s="13" t="n"/>
      <c r="J314" s="13" t="n"/>
      <c r="K314" s="13" t="n"/>
      <c r="L314" s="13" t="n"/>
      <c r="M314" s="13" t="n"/>
    </row>
    <row r="315">
      <c r="A315" s="13" t="n"/>
      <c r="B315" s="35" t="n"/>
      <c r="C315" s="13" t="n"/>
      <c r="D315" s="13" t="n"/>
      <c r="E315" s="13" t="n"/>
      <c r="F315" s="38" t="n"/>
      <c r="G315" s="39">
        <f>IF($F315="","",IF($F315&gt;=9,"Promotor",IF($F315&gt;=7,"Pasiv","Detractor")))</f>
        <v/>
      </c>
      <c r="H315" s="13" t="n"/>
      <c r="I315" s="13" t="n"/>
      <c r="J315" s="13" t="n"/>
      <c r="K315" s="13" t="n"/>
      <c r="L315" s="13" t="n"/>
      <c r="M315" s="13" t="n"/>
    </row>
    <row r="316">
      <c r="A316" s="13" t="n"/>
      <c r="B316" s="35" t="n"/>
      <c r="C316" s="13" t="n"/>
      <c r="D316" s="13" t="n"/>
      <c r="E316" s="13" t="n"/>
      <c r="F316" s="38" t="n"/>
      <c r="G316" s="39">
        <f>IF($F316="","",IF($F316&gt;=9,"Promotor",IF($F316&gt;=7,"Pasiv","Detractor")))</f>
        <v/>
      </c>
      <c r="H316" s="13" t="n"/>
      <c r="I316" s="13" t="n"/>
      <c r="J316" s="13" t="n"/>
      <c r="K316" s="13" t="n"/>
      <c r="L316" s="13" t="n"/>
      <c r="M316" s="13" t="n"/>
    </row>
    <row r="317">
      <c r="A317" s="13" t="n"/>
      <c r="B317" s="35" t="n"/>
      <c r="C317" s="13" t="n"/>
      <c r="D317" s="13" t="n"/>
      <c r="E317" s="13" t="n"/>
      <c r="F317" s="38" t="n"/>
      <c r="G317" s="39">
        <f>IF($F317="","",IF($F317&gt;=9,"Promotor",IF($F317&gt;=7,"Pasiv","Detractor")))</f>
        <v/>
      </c>
      <c r="H317" s="13" t="n"/>
      <c r="I317" s="13" t="n"/>
      <c r="J317" s="13" t="n"/>
      <c r="K317" s="13" t="n"/>
      <c r="L317" s="13" t="n"/>
      <c r="M317" s="13" t="n"/>
    </row>
    <row r="318">
      <c r="A318" s="13" t="n"/>
      <c r="B318" s="35" t="n"/>
      <c r="C318" s="13" t="n"/>
      <c r="D318" s="13" t="n"/>
      <c r="E318" s="13" t="n"/>
      <c r="F318" s="38" t="n"/>
      <c r="G318" s="39">
        <f>IF($F318="","",IF($F318&gt;=9,"Promotor",IF($F318&gt;=7,"Pasiv","Detractor")))</f>
        <v/>
      </c>
      <c r="H318" s="13" t="n"/>
      <c r="I318" s="13" t="n"/>
      <c r="J318" s="13" t="n"/>
      <c r="K318" s="13" t="n"/>
      <c r="L318" s="13" t="n"/>
      <c r="M318" s="13" t="n"/>
    </row>
    <row r="319">
      <c r="A319" s="13" t="n"/>
      <c r="B319" s="35" t="n"/>
      <c r="C319" s="13" t="n"/>
      <c r="D319" s="13" t="n"/>
      <c r="E319" s="13" t="n"/>
      <c r="F319" s="38" t="n"/>
      <c r="G319" s="39">
        <f>IF($F319="","",IF($F319&gt;=9,"Promotor",IF($F319&gt;=7,"Pasiv","Detractor")))</f>
        <v/>
      </c>
      <c r="H319" s="13" t="n"/>
      <c r="I319" s="13" t="n"/>
      <c r="J319" s="13" t="n"/>
      <c r="K319" s="13" t="n"/>
      <c r="L319" s="13" t="n"/>
      <c r="M319" s="13" t="n"/>
    </row>
    <row r="320">
      <c r="A320" s="13" t="n"/>
      <c r="B320" s="35" t="n"/>
      <c r="C320" s="13" t="n"/>
      <c r="D320" s="13" t="n"/>
      <c r="E320" s="13" t="n"/>
      <c r="F320" s="38" t="n"/>
      <c r="G320" s="39">
        <f>IF($F320="","",IF($F320&gt;=9,"Promotor",IF($F320&gt;=7,"Pasiv","Detractor")))</f>
        <v/>
      </c>
      <c r="H320" s="13" t="n"/>
      <c r="I320" s="13" t="n"/>
      <c r="J320" s="13" t="n"/>
      <c r="K320" s="13" t="n"/>
      <c r="L320" s="13" t="n"/>
      <c r="M320" s="13" t="n"/>
    </row>
    <row r="321">
      <c r="A321" s="13" t="n"/>
      <c r="B321" s="35" t="n"/>
      <c r="C321" s="13" t="n"/>
      <c r="D321" s="13" t="n"/>
      <c r="E321" s="13" t="n"/>
      <c r="F321" s="38" t="n"/>
      <c r="G321" s="39">
        <f>IF($F321="","",IF($F321&gt;=9,"Promotor",IF($F321&gt;=7,"Pasiv","Detractor")))</f>
        <v/>
      </c>
      <c r="H321" s="13" t="n"/>
      <c r="I321" s="13" t="n"/>
      <c r="J321" s="13" t="n"/>
      <c r="K321" s="13" t="n"/>
      <c r="L321" s="13" t="n"/>
      <c r="M321" s="13" t="n"/>
    </row>
    <row r="322">
      <c r="A322" s="13" t="n"/>
      <c r="B322" s="35" t="n"/>
      <c r="C322" s="13" t="n"/>
      <c r="D322" s="13" t="n"/>
      <c r="E322" s="13" t="n"/>
      <c r="F322" s="38" t="n"/>
      <c r="G322" s="39">
        <f>IF($F322="","",IF($F322&gt;=9,"Promotor",IF($F322&gt;=7,"Pasiv","Detractor")))</f>
        <v/>
      </c>
      <c r="H322" s="13" t="n"/>
      <c r="I322" s="13" t="n"/>
      <c r="J322" s="13" t="n"/>
      <c r="K322" s="13" t="n"/>
      <c r="L322" s="13" t="n"/>
      <c r="M322" s="13" t="n"/>
    </row>
    <row r="323">
      <c r="A323" s="13" t="n"/>
      <c r="B323" s="35" t="n"/>
      <c r="C323" s="13" t="n"/>
      <c r="D323" s="13" t="n"/>
      <c r="E323" s="13" t="n"/>
      <c r="F323" s="38" t="n"/>
      <c r="G323" s="39">
        <f>IF($F323="","",IF($F323&gt;=9,"Promotor",IF($F323&gt;=7,"Pasiv","Detractor")))</f>
        <v/>
      </c>
      <c r="H323" s="13" t="n"/>
      <c r="I323" s="13" t="n"/>
      <c r="J323" s="13" t="n"/>
      <c r="K323" s="13" t="n"/>
      <c r="L323" s="13" t="n"/>
      <c r="M323" s="13" t="n"/>
    </row>
    <row r="324">
      <c r="A324" s="13" t="n"/>
      <c r="B324" s="35" t="n"/>
      <c r="C324" s="13" t="n"/>
      <c r="D324" s="13" t="n"/>
      <c r="E324" s="13" t="n"/>
      <c r="F324" s="38" t="n"/>
      <c r="G324" s="39">
        <f>IF($F324="","",IF($F324&gt;=9,"Promotor",IF($F324&gt;=7,"Pasiv","Detractor")))</f>
        <v/>
      </c>
      <c r="H324" s="13" t="n"/>
      <c r="I324" s="13" t="n"/>
      <c r="J324" s="13" t="n"/>
      <c r="K324" s="13" t="n"/>
      <c r="L324" s="13" t="n"/>
      <c r="M324" s="13" t="n"/>
    </row>
    <row r="325">
      <c r="A325" s="13" t="n"/>
      <c r="B325" s="35" t="n"/>
      <c r="C325" s="13" t="n"/>
      <c r="D325" s="13" t="n"/>
      <c r="E325" s="13" t="n"/>
      <c r="F325" s="38" t="n"/>
      <c r="G325" s="39">
        <f>IF($F325="","",IF($F325&gt;=9,"Promotor",IF($F325&gt;=7,"Pasiv","Detractor")))</f>
        <v/>
      </c>
      <c r="H325" s="13" t="n"/>
      <c r="I325" s="13" t="n"/>
      <c r="J325" s="13" t="n"/>
      <c r="K325" s="13" t="n"/>
      <c r="L325" s="13" t="n"/>
      <c r="M325" s="13" t="n"/>
    </row>
    <row r="326">
      <c r="A326" s="13" t="n"/>
      <c r="B326" s="35" t="n"/>
      <c r="C326" s="13" t="n"/>
      <c r="D326" s="13" t="n"/>
      <c r="E326" s="13" t="n"/>
      <c r="F326" s="38" t="n"/>
      <c r="G326" s="39">
        <f>IF($F326="","",IF($F326&gt;=9,"Promotor",IF($F326&gt;=7,"Pasiv","Detractor")))</f>
        <v/>
      </c>
      <c r="H326" s="13" t="n"/>
      <c r="I326" s="13" t="n"/>
      <c r="J326" s="13" t="n"/>
      <c r="K326" s="13" t="n"/>
      <c r="L326" s="13" t="n"/>
      <c r="M326" s="13" t="n"/>
    </row>
    <row r="327">
      <c r="A327" s="13" t="n"/>
      <c r="B327" s="35" t="n"/>
      <c r="C327" s="13" t="n"/>
      <c r="D327" s="13" t="n"/>
      <c r="E327" s="13" t="n"/>
      <c r="F327" s="38" t="n"/>
      <c r="G327" s="39">
        <f>IF($F327="","",IF($F327&gt;=9,"Promotor",IF($F327&gt;=7,"Pasiv","Detractor")))</f>
        <v/>
      </c>
      <c r="H327" s="13" t="n"/>
      <c r="I327" s="13" t="n"/>
      <c r="J327" s="13" t="n"/>
      <c r="K327" s="13" t="n"/>
      <c r="L327" s="13" t="n"/>
      <c r="M327" s="13" t="n"/>
    </row>
    <row r="328">
      <c r="A328" s="13" t="n"/>
      <c r="B328" s="35" t="n"/>
      <c r="C328" s="13" t="n"/>
      <c r="D328" s="13" t="n"/>
      <c r="E328" s="13" t="n"/>
      <c r="F328" s="38" t="n"/>
      <c r="G328" s="39">
        <f>IF($F328="","",IF($F328&gt;=9,"Promotor",IF($F328&gt;=7,"Pasiv","Detractor")))</f>
        <v/>
      </c>
      <c r="H328" s="13" t="n"/>
      <c r="I328" s="13" t="n"/>
      <c r="J328" s="13" t="n"/>
      <c r="K328" s="13" t="n"/>
      <c r="L328" s="13" t="n"/>
      <c r="M328" s="13" t="n"/>
    </row>
    <row r="329">
      <c r="A329" s="13" t="n"/>
      <c r="B329" s="35" t="n"/>
      <c r="C329" s="13" t="n"/>
      <c r="D329" s="13" t="n"/>
      <c r="E329" s="13" t="n"/>
      <c r="F329" s="38" t="n"/>
      <c r="G329" s="39">
        <f>IF($F329="","",IF($F329&gt;=9,"Promotor",IF($F329&gt;=7,"Pasiv","Detractor")))</f>
        <v/>
      </c>
      <c r="H329" s="13" t="n"/>
      <c r="I329" s="13" t="n"/>
      <c r="J329" s="13" t="n"/>
      <c r="K329" s="13" t="n"/>
      <c r="L329" s="13" t="n"/>
      <c r="M329" s="13" t="n"/>
    </row>
    <row r="330">
      <c r="A330" s="13" t="n"/>
      <c r="B330" s="35" t="n"/>
      <c r="C330" s="13" t="n"/>
      <c r="D330" s="13" t="n"/>
      <c r="E330" s="13" t="n"/>
      <c r="F330" s="38" t="n"/>
      <c r="G330" s="39">
        <f>IF($F330="","",IF($F330&gt;=9,"Promotor",IF($F330&gt;=7,"Pasiv","Detractor")))</f>
        <v/>
      </c>
      <c r="H330" s="13" t="n"/>
      <c r="I330" s="13" t="n"/>
      <c r="J330" s="13" t="n"/>
      <c r="K330" s="13" t="n"/>
      <c r="L330" s="13" t="n"/>
      <c r="M330" s="13" t="n"/>
    </row>
    <row r="331">
      <c r="A331" s="13" t="n"/>
      <c r="B331" s="35" t="n"/>
      <c r="C331" s="13" t="n"/>
      <c r="D331" s="13" t="n"/>
      <c r="E331" s="13" t="n"/>
      <c r="F331" s="38" t="n"/>
      <c r="G331" s="39">
        <f>IF($F331="","",IF($F331&gt;=9,"Promotor",IF($F331&gt;=7,"Pasiv","Detractor")))</f>
        <v/>
      </c>
      <c r="H331" s="13" t="n"/>
      <c r="I331" s="13" t="n"/>
      <c r="J331" s="13" t="n"/>
      <c r="K331" s="13" t="n"/>
      <c r="L331" s="13" t="n"/>
      <c r="M331" s="13" t="n"/>
    </row>
    <row r="332">
      <c r="A332" s="13" t="n"/>
      <c r="B332" s="35" t="n"/>
      <c r="C332" s="13" t="n"/>
      <c r="D332" s="13" t="n"/>
      <c r="E332" s="13" t="n"/>
      <c r="F332" s="38" t="n"/>
      <c r="G332" s="39">
        <f>IF($F332="","",IF($F332&gt;=9,"Promotor",IF($F332&gt;=7,"Pasiv","Detractor")))</f>
        <v/>
      </c>
      <c r="H332" s="13" t="n"/>
      <c r="I332" s="13" t="n"/>
      <c r="J332" s="13" t="n"/>
      <c r="K332" s="13" t="n"/>
      <c r="L332" s="13" t="n"/>
      <c r="M332" s="13" t="n"/>
    </row>
    <row r="333">
      <c r="A333" s="13" t="n"/>
      <c r="B333" s="35" t="n"/>
      <c r="C333" s="13" t="n"/>
      <c r="D333" s="13" t="n"/>
      <c r="E333" s="13" t="n"/>
      <c r="F333" s="38" t="n"/>
      <c r="G333" s="39">
        <f>IF($F333="","",IF($F333&gt;=9,"Promotor",IF($F333&gt;=7,"Pasiv","Detractor")))</f>
        <v/>
      </c>
      <c r="H333" s="13" t="n"/>
      <c r="I333" s="13" t="n"/>
      <c r="J333" s="13" t="n"/>
      <c r="K333" s="13" t="n"/>
      <c r="L333" s="13" t="n"/>
      <c r="M333" s="13" t="n"/>
    </row>
    <row r="334">
      <c r="A334" s="13" t="n"/>
      <c r="B334" s="35" t="n"/>
      <c r="C334" s="13" t="n"/>
      <c r="D334" s="13" t="n"/>
      <c r="E334" s="13" t="n"/>
      <c r="F334" s="38" t="n"/>
      <c r="G334" s="39">
        <f>IF($F334="","",IF($F334&gt;=9,"Promotor",IF($F334&gt;=7,"Pasiv","Detractor")))</f>
        <v/>
      </c>
      <c r="H334" s="13" t="n"/>
      <c r="I334" s="13" t="n"/>
      <c r="J334" s="13" t="n"/>
      <c r="K334" s="13" t="n"/>
      <c r="L334" s="13" t="n"/>
      <c r="M334" s="13" t="n"/>
    </row>
    <row r="335">
      <c r="A335" s="13" t="n"/>
      <c r="B335" s="35" t="n"/>
      <c r="C335" s="13" t="n"/>
      <c r="D335" s="13" t="n"/>
      <c r="E335" s="13" t="n"/>
      <c r="F335" s="38" t="n"/>
      <c r="G335" s="39">
        <f>IF($F335="","",IF($F335&gt;=9,"Promotor",IF($F335&gt;=7,"Pasiv","Detractor")))</f>
        <v/>
      </c>
      <c r="H335" s="13" t="n"/>
      <c r="I335" s="13" t="n"/>
      <c r="J335" s="13" t="n"/>
      <c r="K335" s="13" t="n"/>
      <c r="L335" s="13" t="n"/>
      <c r="M335" s="13" t="n"/>
    </row>
    <row r="336">
      <c r="A336" s="13" t="n"/>
      <c r="B336" s="35" t="n"/>
      <c r="C336" s="13" t="n"/>
      <c r="D336" s="13" t="n"/>
      <c r="E336" s="13" t="n"/>
      <c r="F336" s="38" t="n"/>
      <c r="G336" s="39">
        <f>IF($F336="","",IF($F336&gt;=9,"Promotor",IF($F336&gt;=7,"Pasiv","Detractor")))</f>
        <v/>
      </c>
      <c r="H336" s="13" t="n"/>
      <c r="I336" s="13" t="n"/>
      <c r="J336" s="13" t="n"/>
      <c r="K336" s="13" t="n"/>
      <c r="L336" s="13" t="n"/>
      <c r="M336" s="13" t="n"/>
    </row>
    <row r="337">
      <c r="A337" s="13" t="n"/>
      <c r="B337" s="35" t="n"/>
      <c r="C337" s="13" t="n"/>
      <c r="D337" s="13" t="n"/>
      <c r="E337" s="13" t="n"/>
      <c r="F337" s="38" t="n"/>
      <c r="G337" s="39">
        <f>IF($F337="","",IF($F337&gt;=9,"Promotor",IF($F337&gt;=7,"Pasiv","Detractor")))</f>
        <v/>
      </c>
      <c r="H337" s="13" t="n"/>
      <c r="I337" s="13" t="n"/>
      <c r="J337" s="13" t="n"/>
      <c r="K337" s="13" t="n"/>
      <c r="L337" s="13" t="n"/>
      <c r="M337" s="13" t="n"/>
    </row>
    <row r="338">
      <c r="A338" s="13" t="n"/>
      <c r="B338" s="35" t="n"/>
      <c r="C338" s="13" t="n"/>
      <c r="D338" s="13" t="n"/>
      <c r="E338" s="13" t="n"/>
      <c r="F338" s="38" t="n"/>
      <c r="G338" s="39">
        <f>IF($F338="","",IF($F338&gt;=9,"Promotor",IF($F338&gt;=7,"Pasiv","Detractor")))</f>
        <v/>
      </c>
      <c r="H338" s="13" t="n"/>
      <c r="I338" s="13" t="n"/>
      <c r="J338" s="13" t="n"/>
      <c r="K338" s="13" t="n"/>
      <c r="L338" s="13" t="n"/>
      <c r="M338" s="13" t="n"/>
    </row>
    <row r="339">
      <c r="A339" s="13" t="n"/>
      <c r="B339" s="35" t="n"/>
      <c r="C339" s="13" t="n"/>
      <c r="D339" s="13" t="n"/>
      <c r="E339" s="13" t="n"/>
      <c r="F339" s="38" t="n"/>
      <c r="G339" s="39">
        <f>IF($F339="","",IF($F339&gt;=9,"Promotor",IF($F339&gt;=7,"Pasiv","Detractor")))</f>
        <v/>
      </c>
      <c r="H339" s="13" t="n"/>
      <c r="I339" s="13" t="n"/>
      <c r="J339" s="13" t="n"/>
      <c r="K339" s="13" t="n"/>
      <c r="L339" s="13" t="n"/>
      <c r="M339" s="13" t="n"/>
    </row>
    <row r="340">
      <c r="A340" s="13" t="n"/>
      <c r="B340" s="35" t="n"/>
      <c r="C340" s="13" t="n"/>
      <c r="D340" s="13" t="n"/>
      <c r="E340" s="13" t="n"/>
      <c r="F340" s="38" t="n"/>
      <c r="G340" s="39">
        <f>IF($F340="","",IF($F340&gt;=9,"Promotor",IF($F340&gt;=7,"Pasiv","Detractor")))</f>
        <v/>
      </c>
      <c r="H340" s="13" t="n"/>
      <c r="I340" s="13" t="n"/>
      <c r="J340" s="13" t="n"/>
      <c r="K340" s="13" t="n"/>
      <c r="L340" s="13" t="n"/>
      <c r="M340" s="13" t="n"/>
    </row>
    <row r="341">
      <c r="A341" s="13" t="n"/>
      <c r="B341" s="35" t="n"/>
      <c r="C341" s="13" t="n"/>
      <c r="D341" s="13" t="n"/>
      <c r="E341" s="13" t="n"/>
      <c r="F341" s="38" t="n"/>
      <c r="G341" s="39">
        <f>IF($F341="","",IF($F341&gt;=9,"Promotor",IF($F341&gt;=7,"Pasiv","Detractor")))</f>
        <v/>
      </c>
      <c r="H341" s="13" t="n"/>
      <c r="I341" s="13" t="n"/>
      <c r="J341" s="13" t="n"/>
      <c r="K341" s="13" t="n"/>
      <c r="L341" s="13" t="n"/>
      <c r="M341" s="13" t="n"/>
    </row>
    <row r="342">
      <c r="A342" s="13" t="n"/>
      <c r="B342" s="35" t="n"/>
      <c r="C342" s="13" t="n"/>
      <c r="D342" s="13" t="n"/>
      <c r="E342" s="13" t="n"/>
      <c r="F342" s="38" t="n"/>
      <c r="G342" s="39">
        <f>IF($F342="","",IF($F342&gt;=9,"Promotor",IF($F342&gt;=7,"Pasiv","Detractor")))</f>
        <v/>
      </c>
      <c r="H342" s="13" t="n"/>
      <c r="I342" s="13" t="n"/>
      <c r="J342" s="13" t="n"/>
      <c r="K342" s="13" t="n"/>
      <c r="L342" s="13" t="n"/>
      <c r="M342" s="13" t="n"/>
    </row>
    <row r="343">
      <c r="A343" s="13" t="n"/>
      <c r="B343" s="35" t="n"/>
      <c r="C343" s="13" t="n"/>
      <c r="D343" s="13" t="n"/>
      <c r="E343" s="13" t="n"/>
      <c r="F343" s="38" t="n"/>
      <c r="G343" s="39">
        <f>IF($F343="","",IF($F343&gt;=9,"Promotor",IF($F343&gt;=7,"Pasiv","Detractor")))</f>
        <v/>
      </c>
      <c r="H343" s="13" t="n"/>
      <c r="I343" s="13" t="n"/>
      <c r="J343" s="13" t="n"/>
      <c r="K343" s="13" t="n"/>
      <c r="L343" s="13" t="n"/>
      <c r="M343" s="13" t="n"/>
    </row>
    <row r="344">
      <c r="A344" s="13" t="n"/>
      <c r="B344" s="35" t="n"/>
      <c r="C344" s="13" t="n"/>
      <c r="D344" s="13" t="n"/>
      <c r="E344" s="13" t="n"/>
      <c r="F344" s="38" t="n"/>
      <c r="G344" s="39">
        <f>IF($F344="","",IF($F344&gt;=9,"Promotor",IF($F344&gt;=7,"Pasiv","Detractor")))</f>
        <v/>
      </c>
      <c r="H344" s="13" t="n"/>
      <c r="I344" s="13" t="n"/>
      <c r="J344" s="13" t="n"/>
      <c r="K344" s="13" t="n"/>
      <c r="L344" s="13" t="n"/>
      <c r="M344" s="13" t="n"/>
    </row>
    <row r="345">
      <c r="A345" s="13" t="n"/>
      <c r="B345" s="35" t="n"/>
      <c r="C345" s="13" t="n"/>
      <c r="D345" s="13" t="n"/>
      <c r="E345" s="13" t="n"/>
      <c r="F345" s="38" t="n"/>
      <c r="G345" s="39">
        <f>IF($F345="","",IF($F345&gt;=9,"Promotor",IF($F345&gt;=7,"Pasiv","Detractor")))</f>
        <v/>
      </c>
      <c r="H345" s="13" t="n"/>
      <c r="I345" s="13" t="n"/>
      <c r="J345" s="13" t="n"/>
      <c r="K345" s="13" t="n"/>
      <c r="L345" s="13" t="n"/>
      <c r="M345" s="13" t="n"/>
    </row>
    <row r="346">
      <c r="A346" s="13" t="n"/>
      <c r="B346" s="35" t="n"/>
      <c r="C346" s="13" t="n"/>
      <c r="D346" s="13" t="n"/>
      <c r="E346" s="13" t="n"/>
      <c r="F346" s="38" t="n"/>
      <c r="G346" s="39">
        <f>IF($F346="","",IF($F346&gt;=9,"Promotor",IF($F346&gt;=7,"Pasiv","Detractor")))</f>
        <v/>
      </c>
      <c r="H346" s="13" t="n"/>
      <c r="I346" s="13" t="n"/>
      <c r="J346" s="13" t="n"/>
      <c r="K346" s="13" t="n"/>
      <c r="L346" s="13" t="n"/>
      <c r="M346" s="13" t="n"/>
    </row>
    <row r="347">
      <c r="A347" s="13" t="n"/>
      <c r="B347" s="35" t="n"/>
      <c r="C347" s="13" t="n"/>
      <c r="D347" s="13" t="n"/>
      <c r="E347" s="13" t="n"/>
      <c r="F347" s="38" t="n"/>
      <c r="G347" s="39">
        <f>IF($F347="","",IF($F347&gt;=9,"Promotor",IF($F347&gt;=7,"Pasiv","Detractor")))</f>
        <v/>
      </c>
      <c r="H347" s="13" t="n"/>
      <c r="I347" s="13" t="n"/>
      <c r="J347" s="13" t="n"/>
      <c r="K347" s="13" t="n"/>
      <c r="L347" s="13" t="n"/>
      <c r="M347" s="13" t="n"/>
    </row>
    <row r="348">
      <c r="A348" s="13" t="n"/>
      <c r="B348" s="35" t="n"/>
      <c r="C348" s="13" t="n"/>
      <c r="D348" s="13" t="n"/>
      <c r="E348" s="13" t="n"/>
      <c r="F348" s="38" t="n"/>
      <c r="G348" s="39">
        <f>IF($F348="","",IF($F348&gt;=9,"Promotor",IF($F348&gt;=7,"Pasiv","Detractor")))</f>
        <v/>
      </c>
      <c r="H348" s="13" t="n"/>
      <c r="I348" s="13" t="n"/>
      <c r="J348" s="13" t="n"/>
      <c r="K348" s="13" t="n"/>
      <c r="L348" s="13" t="n"/>
      <c r="M348" s="13" t="n"/>
    </row>
    <row r="349">
      <c r="A349" s="13" t="n"/>
      <c r="B349" s="35" t="n"/>
      <c r="C349" s="13" t="n"/>
      <c r="D349" s="13" t="n"/>
      <c r="E349" s="13" t="n"/>
      <c r="F349" s="38" t="n"/>
      <c r="G349" s="39">
        <f>IF($F349="","",IF($F349&gt;=9,"Promotor",IF($F349&gt;=7,"Pasiv","Detractor")))</f>
        <v/>
      </c>
      <c r="H349" s="13" t="n"/>
      <c r="I349" s="13" t="n"/>
      <c r="J349" s="13" t="n"/>
      <c r="K349" s="13" t="n"/>
      <c r="L349" s="13" t="n"/>
      <c r="M349" s="13" t="n"/>
    </row>
    <row r="350">
      <c r="A350" s="13" t="n"/>
      <c r="B350" s="35" t="n"/>
      <c r="C350" s="13" t="n"/>
      <c r="D350" s="13" t="n"/>
      <c r="E350" s="13" t="n"/>
      <c r="F350" s="38" t="n"/>
      <c r="G350" s="39">
        <f>IF($F350="","",IF($F350&gt;=9,"Promotor",IF($F350&gt;=7,"Pasiv","Detractor")))</f>
        <v/>
      </c>
      <c r="H350" s="13" t="n"/>
      <c r="I350" s="13" t="n"/>
      <c r="J350" s="13" t="n"/>
      <c r="K350" s="13" t="n"/>
      <c r="L350" s="13" t="n"/>
      <c r="M350" s="13" t="n"/>
    </row>
    <row r="351">
      <c r="A351" s="13" t="n"/>
      <c r="B351" s="35" t="n"/>
      <c r="C351" s="13" t="n"/>
      <c r="D351" s="13" t="n"/>
      <c r="E351" s="13" t="n"/>
      <c r="F351" s="38" t="n"/>
      <c r="G351" s="39">
        <f>IF($F351="","",IF($F351&gt;=9,"Promotor",IF($F351&gt;=7,"Pasiv","Detractor")))</f>
        <v/>
      </c>
      <c r="H351" s="13" t="n"/>
      <c r="I351" s="13" t="n"/>
      <c r="J351" s="13" t="n"/>
      <c r="K351" s="13" t="n"/>
      <c r="L351" s="13" t="n"/>
      <c r="M351" s="13" t="n"/>
    </row>
    <row r="352">
      <c r="A352" s="13" t="n"/>
      <c r="B352" s="35" t="n"/>
      <c r="C352" s="13" t="n"/>
      <c r="D352" s="13" t="n"/>
      <c r="E352" s="13" t="n"/>
      <c r="F352" s="38" t="n"/>
      <c r="G352" s="39">
        <f>IF($F352="","",IF($F352&gt;=9,"Promotor",IF($F352&gt;=7,"Pasiv","Detractor")))</f>
        <v/>
      </c>
      <c r="H352" s="13" t="n"/>
      <c r="I352" s="13" t="n"/>
      <c r="J352" s="13" t="n"/>
      <c r="K352" s="13" t="n"/>
      <c r="L352" s="13" t="n"/>
      <c r="M352" s="13" t="n"/>
    </row>
    <row r="353">
      <c r="A353" s="13" t="n"/>
      <c r="B353" s="35" t="n"/>
      <c r="C353" s="13" t="n"/>
      <c r="D353" s="13" t="n"/>
      <c r="E353" s="13" t="n"/>
      <c r="F353" s="38" t="n"/>
      <c r="G353" s="39">
        <f>IF($F353="","",IF($F353&gt;=9,"Promotor",IF($F353&gt;=7,"Pasiv","Detractor")))</f>
        <v/>
      </c>
      <c r="H353" s="13" t="n"/>
      <c r="I353" s="13" t="n"/>
      <c r="J353" s="13" t="n"/>
      <c r="K353" s="13" t="n"/>
      <c r="L353" s="13" t="n"/>
      <c r="M353" s="13" t="n"/>
    </row>
    <row r="354">
      <c r="A354" s="13" t="n"/>
      <c r="B354" s="35" t="n"/>
      <c r="C354" s="13" t="n"/>
      <c r="D354" s="13" t="n"/>
      <c r="E354" s="13" t="n"/>
      <c r="F354" s="38" t="n"/>
      <c r="G354" s="39">
        <f>IF($F354="","",IF($F354&gt;=9,"Promotor",IF($F354&gt;=7,"Pasiv","Detractor")))</f>
        <v/>
      </c>
      <c r="H354" s="13" t="n"/>
      <c r="I354" s="13" t="n"/>
      <c r="J354" s="13" t="n"/>
      <c r="K354" s="13" t="n"/>
      <c r="L354" s="13" t="n"/>
      <c r="M354" s="13" t="n"/>
    </row>
    <row r="355">
      <c r="A355" s="13" t="n"/>
      <c r="B355" s="35" t="n"/>
      <c r="C355" s="13" t="n"/>
      <c r="D355" s="13" t="n"/>
      <c r="E355" s="13" t="n"/>
      <c r="F355" s="38" t="n"/>
      <c r="G355" s="39">
        <f>IF($F355="","",IF($F355&gt;=9,"Promotor",IF($F355&gt;=7,"Pasiv","Detractor")))</f>
        <v/>
      </c>
      <c r="H355" s="13" t="n"/>
      <c r="I355" s="13" t="n"/>
      <c r="J355" s="13" t="n"/>
      <c r="K355" s="13" t="n"/>
      <c r="L355" s="13" t="n"/>
      <c r="M355" s="13" t="n"/>
    </row>
    <row r="356">
      <c r="A356" s="13" t="n"/>
      <c r="B356" s="35" t="n"/>
      <c r="C356" s="13" t="n"/>
      <c r="D356" s="13" t="n"/>
      <c r="E356" s="13" t="n"/>
      <c r="F356" s="38" t="n"/>
      <c r="G356" s="39">
        <f>IF($F356="","",IF($F356&gt;=9,"Promotor",IF($F356&gt;=7,"Pasiv","Detractor")))</f>
        <v/>
      </c>
      <c r="H356" s="13" t="n"/>
      <c r="I356" s="13" t="n"/>
      <c r="J356" s="13" t="n"/>
      <c r="K356" s="13" t="n"/>
      <c r="L356" s="13" t="n"/>
      <c r="M356" s="13" t="n"/>
    </row>
    <row r="357">
      <c r="A357" s="13" t="n"/>
      <c r="B357" s="35" t="n"/>
      <c r="C357" s="13" t="n"/>
      <c r="D357" s="13" t="n"/>
      <c r="E357" s="13" t="n"/>
      <c r="F357" s="38" t="n"/>
      <c r="G357" s="39">
        <f>IF($F357="","",IF($F357&gt;=9,"Promotor",IF($F357&gt;=7,"Pasiv","Detractor")))</f>
        <v/>
      </c>
      <c r="H357" s="13" t="n"/>
      <c r="I357" s="13" t="n"/>
      <c r="J357" s="13" t="n"/>
      <c r="K357" s="13" t="n"/>
      <c r="L357" s="13" t="n"/>
      <c r="M357" s="13" t="n"/>
    </row>
    <row r="358">
      <c r="A358" s="13" t="n"/>
      <c r="B358" s="35" t="n"/>
      <c r="C358" s="13" t="n"/>
      <c r="D358" s="13" t="n"/>
      <c r="E358" s="13" t="n"/>
      <c r="F358" s="38" t="n"/>
      <c r="G358" s="39">
        <f>IF($F358="","",IF($F358&gt;=9,"Promotor",IF($F358&gt;=7,"Pasiv","Detractor")))</f>
        <v/>
      </c>
      <c r="H358" s="13" t="n"/>
      <c r="I358" s="13" t="n"/>
      <c r="J358" s="13" t="n"/>
      <c r="K358" s="13" t="n"/>
      <c r="L358" s="13" t="n"/>
      <c r="M358" s="13" t="n"/>
    </row>
    <row r="359">
      <c r="A359" s="13" t="n"/>
      <c r="B359" s="35" t="n"/>
      <c r="C359" s="13" t="n"/>
      <c r="D359" s="13" t="n"/>
      <c r="E359" s="13" t="n"/>
      <c r="F359" s="38" t="n"/>
      <c r="G359" s="39">
        <f>IF($F359="","",IF($F359&gt;=9,"Promotor",IF($F359&gt;=7,"Pasiv","Detractor")))</f>
        <v/>
      </c>
      <c r="H359" s="13" t="n"/>
      <c r="I359" s="13" t="n"/>
      <c r="J359" s="13" t="n"/>
      <c r="K359" s="13" t="n"/>
      <c r="L359" s="13" t="n"/>
      <c r="M359" s="13" t="n"/>
    </row>
    <row r="360">
      <c r="A360" s="13" t="n"/>
      <c r="B360" s="35" t="n"/>
      <c r="C360" s="13" t="n"/>
      <c r="D360" s="13" t="n"/>
      <c r="E360" s="13" t="n"/>
      <c r="F360" s="38" t="n"/>
      <c r="G360" s="39">
        <f>IF($F360="","",IF($F360&gt;=9,"Promotor",IF($F360&gt;=7,"Pasiv","Detractor")))</f>
        <v/>
      </c>
      <c r="H360" s="13" t="n"/>
      <c r="I360" s="13" t="n"/>
      <c r="J360" s="13" t="n"/>
      <c r="K360" s="13" t="n"/>
      <c r="L360" s="13" t="n"/>
      <c r="M360" s="13" t="n"/>
    </row>
    <row r="361">
      <c r="A361" s="13" t="n"/>
      <c r="B361" s="35" t="n"/>
      <c r="C361" s="13" t="n"/>
      <c r="D361" s="13" t="n"/>
      <c r="E361" s="13" t="n"/>
      <c r="F361" s="38" t="n"/>
      <c r="G361" s="39">
        <f>IF($F361="","",IF($F361&gt;=9,"Promotor",IF($F361&gt;=7,"Pasiv","Detractor")))</f>
        <v/>
      </c>
      <c r="H361" s="13" t="n"/>
      <c r="I361" s="13" t="n"/>
      <c r="J361" s="13" t="n"/>
      <c r="K361" s="13" t="n"/>
      <c r="L361" s="13" t="n"/>
      <c r="M361" s="13" t="n"/>
    </row>
    <row r="362">
      <c r="A362" s="13" t="n"/>
      <c r="B362" s="35" t="n"/>
      <c r="C362" s="13" t="n"/>
      <c r="D362" s="13" t="n"/>
      <c r="E362" s="13" t="n"/>
      <c r="F362" s="38" t="n"/>
      <c r="G362" s="39">
        <f>IF($F362="","",IF($F362&gt;=9,"Promotor",IF($F362&gt;=7,"Pasiv","Detractor")))</f>
        <v/>
      </c>
      <c r="H362" s="13" t="n"/>
      <c r="I362" s="13" t="n"/>
      <c r="J362" s="13" t="n"/>
      <c r="K362" s="13" t="n"/>
      <c r="L362" s="13" t="n"/>
      <c r="M362" s="13" t="n"/>
    </row>
    <row r="363">
      <c r="A363" s="13" t="n"/>
      <c r="B363" s="35" t="n"/>
      <c r="C363" s="13" t="n"/>
      <c r="D363" s="13" t="n"/>
      <c r="E363" s="13" t="n"/>
      <c r="F363" s="38" t="n"/>
      <c r="G363" s="39">
        <f>IF($F363="","",IF($F363&gt;=9,"Promotor",IF($F363&gt;=7,"Pasiv","Detractor")))</f>
        <v/>
      </c>
      <c r="H363" s="13" t="n"/>
      <c r="I363" s="13" t="n"/>
      <c r="J363" s="13" t="n"/>
      <c r="K363" s="13" t="n"/>
      <c r="L363" s="13" t="n"/>
      <c r="M363" s="13" t="n"/>
    </row>
    <row r="364">
      <c r="A364" s="13" t="n"/>
      <c r="B364" s="35" t="n"/>
      <c r="C364" s="13" t="n"/>
      <c r="D364" s="13" t="n"/>
      <c r="E364" s="13" t="n"/>
      <c r="F364" s="38" t="n"/>
      <c r="G364" s="39">
        <f>IF($F364="","",IF($F364&gt;=9,"Promotor",IF($F364&gt;=7,"Pasiv","Detractor")))</f>
        <v/>
      </c>
      <c r="H364" s="13" t="n"/>
      <c r="I364" s="13" t="n"/>
      <c r="J364" s="13" t="n"/>
      <c r="K364" s="13" t="n"/>
      <c r="L364" s="13" t="n"/>
      <c r="M364" s="13" t="n"/>
    </row>
    <row r="365">
      <c r="A365" s="13" t="n"/>
      <c r="B365" s="35" t="n"/>
      <c r="C365" s="13" t="n"/>
      <c r="D365" s="13" t="n"/>
      <c r="E365" s="13" t="n"/>
      <c r="F365" s="38" t="n"/>
      <c r="G365" s="39">
        <f>IF($F365="","",IF($F365&gt;=9,"Promotor",IF($F365&gt;=7,"Pasiv","Detractor")))</f>
        <v/>
      </c>
      <c r="H365" s="13" t="n"/>
      <c r="I365" s="13" t="n"/>
      <c r="J365" s="13" t="n"/>
      <c r="K365" s="13" t="n"/>
      <c r="L365" s="13" t="n"/>
      <c r="M365" s="13" t="n"/>
    </row>
    <row r="366">
      <c r="A366" s="13" t="n"/>
      <c r="B366" s="35" t="n"/>
      <c r="C366" s="13" t="n"/>
      <c r="D366" s="13" t="n"/>
      <c r="E366" s="13" t="n"/>
      <c r="F366" s="38" t="n"/>
      <c r="G366" s="39">
        <f>IF($F366="","",IF($F366&gt;=9,"Promotor",IF($F366&gt;=7,"Pasiv","Detractor")))</f>
        <v/>
      </c>
      <c r="H366" s="13" t="n"/>
      <c r="I366" s="13" t="n"/>
      <c r="J366" s="13" t="n"/>
      <c r="K366" s="13" t="n"/>
      <c r="L366" s="13" t="n"/>
      <c r="M366" s="13" t="n"/>
    </row>
    <row r="367">
      <c r="A367" s="13" t="n"/>
      <c r="B367" s="35" t="n"/>
      <c r="C367" s="13" t="n"/>
      <c r="D367" s="13" t="n"/>
      <c r="E367" s="13" t="n"/>
      <c r="F367" s="38" t="n"/>
      <c r="G367" s="39">
        <f>IF($F367="","",IF($F367&gt;=9,"Promotor",IF($F367&gt;=7,"Pasiv","Detractor")))</f>
        <v/>
      </c>
      <c r="H367" s="13" t="n"/>
      <c r="I367" s="13" t="n"/>
      <c r="J367" s="13" t="n"/>
      <c r="K367" s="13" t="n"/>
      <c r="L367" s="13" t="n"/>
      <c r="M367" s="13" t="n"/>
    </row>
    <row r="368">
      <c r="A368" s="13" t="n"/>
      <c r="B368" s="35" t="n"/>
      <c r="C368" s="13" t="n"/>
      <c r="D368" s="13" t="n"/>
      <c r="E368" s="13" t="n"/>
      <c r="F368" s="38" t="n"/>
      <c r="G368" s="39">
        <f>IF($F368="","",IF($F368&gt;=9,"Promotor",IF($F368&gt;=7,"Pasiv","Detractor")))</f>
        <v/>
      </c>
      <c r="H368" s="13" t="n"/>
      <c r="I368" s="13" t="n"/>
      <c r="J368" s="13" t="n"/>
      <c r="K368" s="13" t="n"/>
      <c r="L368" s="13" t="n"/>
      <c r="M368" s="13" t="n"/>
    </row>
    <row r="369">
      <c r="A369" s="13" t="n"/>
      <c r="B369" s="35" t="n"/>
      <c r="C369" s="13" t="n"/>
      <c r="D369" s="13" t="n"/>
      <c r="E369" s="13" t="n"/>
      <c r="F369" s="38" t="n"/>
      <c r="G369" s="39">
        <f>IF($F369="","",IF($F369&gt;=9,"Promotor",IF($F369&gt;=7,"Pasiv","Detractor")))</f>
        <v/>
      </c>
      <c r="H369" s="13" t="n"/>
      <c r="I369" s="13" t="n"/>
      <c r="J369" s="13" t="n"/>
      <c r="K369" s="13" t="n"/>
      <c r="L369" s="13" t="n"/>
      <c r="M369" s="13" t="n"/>
    </row>
    <row r="370">
      <c r="A370" s="13" t="n"/>
      <c r="B370" s="35" t="n"/>
      <c r="C370" s="13" t="n"/>
      <c r="D370" s="13" t="n"/>
      <c r="E370" s="13" t="n"/>
      <c r="F370" s="38" t="n"/>
      <c r="G370" s="39">
        <f>IF($F370="","",IF($F370&gt;=9,"Promotor",IF($F370&gt;=7,"Pasiv","Detractor")))</f>
        <v/>
      </c>
      <c r="H370" s="13" t="n"/>
      <c r="I370" s="13" t="n"/>
      <c r="J370" s="13" t="n"/>
      <c r="K370" s="13" t="n"/>
      <c r="L370" s="13" t="n"/>
      <c r="M370" s="13" t="n"/>
    </row>
    <row r="371">
      <c r="A371" s="13" t="n"/>
      <c r="B371" s="35" t="n"/>
      <c r="C371" s="13" t="n"/>
      <c r="D371" s="13" t="n"/>
      <c r="E371" s="13" t="n"/>
      <c r="F371" s="38" t="n"/>
      <c r="G371" s="39">
        <f>IF($F371="","",IF($F371&gt;=9,"Promotor",IF($F371&gt;=7,"Pasiv","Detractor")))</f>
        <v/>
      </c>
      <c r="H371" s="13" t="n"/>
      <c r="I371" s="13" t="n"/>
      <c r="J371" s="13" t="n"/>
      <c r="K371" s="13" t="n"/>
      <c r="L371" s="13" t="n"/>
      <c r="M371" s="13" t="n"/>
    </row>
    <row r="372">
      <c r="A372" s="13" t="n"/>
      <c r="B372" s="35" t="n"/>
      <c r="C372" s="13" t="n"/>
      <c r="D372" s="13" t="n"/>
      <c r="E372" s="13" t="n"/>
      <c r="F372" s="38" t="n"/>
      <c r="G372" s="39">
        <f>IF($F372="","",IF($F372&gt;=9,"Promotor",IF($F372&gt;=7,"Pasiv","Detractor")))</f>
        <v/>
      </c>
      <c r="H372" s="13" t="n"/>
      <c r="I372" s="13" t="n"/>
      <c r="J372" s="13" t="n"/>
      <c r="K372" s="13" t="n"/>
      <c r="L372" s="13" t="n"/>
      <c r="M372" s="13" t="n"/>
    </row>
    <row r="373">
      <c r="A373" s="13" t="n"/>
      <c r="B373" s="35" t="n"/>
      <c r="C373" s="13" t="n"/>
      <c r="D373" s="13" t="n"/>
      <c r="E373" s="13" t="n"/>
      <c r="F373" s="38" t="n"/>
      <c r="G373" s="39">
        <f>IF($F373="","",IF($F373&gt;=9,"Promotor",IF($F373&gt;=7,"Pasiv","Detractor")))</f>
        <v/>
      </c>
      <c r="H373" s="13" t="n"/>
      <c r="I373" s="13" t="n"/>
      <c r="J373" s="13" t="n"/>
      <c r="K373" s="13" t="n"/>
      <c r="L373" s="13" t="n"/>
      <c r="M373" s="13" t="n"/>
    </row>
    <row r="374">
      <c r="A374" s="13" t="n"/>
      <c r="B374" s="35" t="n"/>
      <c r="C374" s="13" t="n"/>
      <c r="D374" s="13" t="n"/>
      <c r="E374" s="13" t="n"/>
      <c r="F374" s="38" t="n"/>
      <c r="G374" s="39">
        <f>IF($F374="","",IF($F374&gt;=9,"Promotor",IF($F374&gt;=7,"Pasiv","Detractor")))</f>
        <v/>
      </c>
      <c r="H374" s="13" t="n"/>
      <c r="I374" s="13" t="n"/>
      <c r="J374" s="13" t="n"/>
      <c r="K374" s="13" t="n"/>
      <c r="L374" s="13" t="n"/>
      <c r="M374" s="13" t="n"/>
    </row>
    <row r="375">
      <c r="A375" s="13" t="n"/>
      <c r="B375" s="35" t="n"/>
      <c r="C375" s="13" t="n"/>
      <c r="D375" s="13" t="n"/>
      <c r="E375" s="13" t="n"/>
      <c r="F375" s="38" t="n"/>
      <c r="G375" s="39">
        <f>IF($F375="","",IF($F375&gt;=9,"Promotor",IF($F375&gt;=7,"Pasiv","Detractor")))</f>
        <v/>
      </c>
      <c r="H375" s="13" t="n"/>
      <c r="I375" s="13" t="n"/>
      <c r="J375" s="13" t="n"/>
      <c r="K375" s="13" t="n"/>
      <c r="L375" s="13" t="n"/>
      <c r="M375" s="13" t="n"/>
    </row>
    <row r="376">
      <c r="A376" s="13" t="n"/>
      <c r="B376" s="35" t="n"/>
      <c r="C376" s="13" t="n"/>
      <c r="D376" s="13" t="n"/>
      <c r="E376" s="13" t="n"/>
      <c r="F376" s="38" t="n"/>
      <c r="G376" s="39">
        <f>IF($F376="","",IF($F376&gt;=9,"Promotor",IF($F376&gt;=7,"Pasiv","Detractor")))</f>
        <v/>
      </c>
      <c r="H376" s="13" t="n"/>
      <c r="I376" s="13" t="n"/>
      <c r="J376" s="13" t="n"/>
      <c r="K376" s="13" t="n"/>
      <c r="L376" s="13" t="n"/>
      <c r="M376" s="13" t="n"/>
    </row>
    <row r="377">
      <c r="A377" s="13" t="n"/>
      <c r="B377" s="35" t="n"/>
      <c r="C377" s="13" t="n"/>
      <c r="D377" s="13" t="n"/>
      <c r="E377" s="13" t="n"/>
      <c r="F377" s="38" t="n"/>
      <c r="G377" s="39">
        <f>IF($F377="","",IF($F377&gt;=9,"Promotor",IF($F377&gt;=7,"Pasiv","Detractor")))</f>
        <v/>
      </c>
      <c r="H377" s="13" t="n"/>
      <c r="I377" s="13" t="n"/>
      <c r="J377" s="13" t="n"/>
      <c r="K377" s="13" t="n"/>
      <c r="L377" s="13" t="n"/>
      <c r="M377" s="13" t="n"/>
    </row>
    <row r="378">
      <c r="A378" s="13" t="n"/>
      <c r="B378" s="35" t="n"/>
      <c r="C378" s="13" t="n"/>
      <c r="D378" s="13" t="n"/>
      <c r="E378" s="13" t="n"/>
      <c r="F378" s="38" t="n"/>
      <c r="G378" s="39">
        <f>IF($F378="","",IF($F378&gt;=9,"Promotor",IF($F378&gt;=7,"Pasiv","Detractor")))</f>
        <v/>
      </c>
      <c r="H378" s="13" t="n"/>
      <c r="I378" s="13" t="n"/>
      <c r="J378" s="13" t="n"/>
      <c r="K378" s="13" t="n"/>
      <c r="L378" s="13" t="n"/>
      <c r="M378" s="13" t="n"/>
    </row>
    <row r="379">
      <c r="A379" s="13" t="n"/>
      <c r="B379" s="35" t="n"/>
      <c r="C379" s="13" t="n"/>
      <c r="D379" s="13" t="n"/>
      <c r="E379" s="13" t="n"/>
      <c r="F379" s="38" t="n"/>
      <c r="G379" s="39">
        <f>IF($F379="","",IF($F379&gt;=9,"Promotor",IF($F379&gt;=7,"Pasiv","Detractor")))</f>
        <v/>
      </c>
      <c r="H379" s="13" t="n"/>
      <c r="I379" s="13" t="n"/>
      <c r="J379" s="13" t="n"/>
      <c r="K379" s="13" t="n"/>
      <c r="L379" s="13" t="n"/>
      <c r="M379" s="13" t="n"/>
    </row>
    <row r="380">
      <c r="A380" s="13" t="n"/>
      <c r="B380" s="35" t="n"/>
      <c r="C380" s="13" t="n"/>
      <c r="D380" s="13" t="n"/>
      <c r="E380" s="13" t="n"/>
      <c r="F380" s="38" t="n"/>
      <c r="G380" s="39">
        <f>IF($F380="","",IF($F380&gt;=9,"Promotor",IF($F380&gt;=7,"Pasiv","Detractor")))</f>
        <v/>
      </c>
      <c r="H380" s="13" t="n"/>
      <c r="I380" s="13" t="n"/>
      <c r="J380" s="13" t="n"/>
      <c r="K380" s="13" t="n"/>
      <c r="L380" s="13" t="n"/>
      <c r="M380" s="13" t="n"/>
    </row>
    <row r="381">
      <c r="A381" s="13" t="n"/>
      <c r="B381" s="35" t="n"/>
      <c r="C381" s="13" t="n"/>
      <c r="D381" s="13" t="n"/>
      <c r="E381" s="13" t="n"/>
      <c r="F381" s="38" t="n"/>
      <c r="G381" s="39">
        <f>IF($F381="","",IF($F381&gt;=9,"Promotor",IF($F381&gt;=7,"Pasiv","Detractor")))</f>
        <v/>
      </c>
      <c r="H381" s="13" t="n"/>
      <c r="I381" s="13" t="n"/>
      <c r="J381" s="13" t="n"/>
      <c r="K381" s="13" t="n"/>
      <c r="L381" s="13" t="n"/>
      <c r="M381" s="13" t="n"/>
    </row>
    <row r="382">
      <c r="A382" s="13" t="n"/>
      <c r="B382" s="35" t="n"/>
      <c r="C382" s="13" t="n"/>
      <c r="D382" s="13" t="n"/>
      <c r="E382" s="13" t="n"/>
      <c r="F382" s="38" t="n"/>
      <c r="G382" s="39">
        <f>IF($F382="","",IF($F382&gt;=9,"Promotor",IF($F382&gt;=7,"Pasiv","Detractor")))</f>
        <v/>
      </c>
      <c r="H382" s="13" t="n"/>
      <c r="I382" s="13" t="n"/>
      <c r="J382" s="13" t="n"/>
      <c r="K382" s="13" t="n"/>
      <c r="L382" s="13" t="n"/>
      <c r="M382" s="13" t="n"/>
    </row>
    <row r="383">
      <c r="A383" s="13" t="n"/>
      <c r="B383" s="35" t="n"/>
      <c r="C383" s="13" t="n"/>
      <c r="D383" s="13" t="n"/>
      <c r="E383" s="13" t="n"/>
      <c r="F383" s="38" t="n"/>
      <c r="G383" s="39">
        <f>IF($F383="","",IF($F383&gt;=9,"Promotor",IF($F383&gt;=7,"Pasiv","Detractor")))</f>
        <v/>
      </c>
      <c r="H383" s="13" t="n"/>
      <c r="I383" s="13" t="n"/>
      <c r="J383" s="13" t="n"/>
      <c r="K383" s="13" t="n"/>
      <c r="L383" s="13" t="n"/>
      <c r="M383" s="13" t="n"/>
    </row>
    <row r="384">
      <c r="A384" s="13" t="n"/>
      <c r="B384" s="35" t="n"/>
      <c r="C384" s="13" t="n"/>
      <c r="D384" s="13" t="n"/>
      <c r="E384" s="13" t="n"/>
      <c r="F384" s="38" t="n"/>
      <c r="G384" s="39">
        <f>IF($F384="","",IF($F384&gt;=9,"Promotor",IF($F384&gt;=7,"Pasiv","Detractor")))</f>
        <v/>
      </c>
      <c r="H384" s="13" t="n"/>
      <c r="I384" s="13" t="n"/>
      <c r="J384" s="13" t="n"/>
      <c r="K384" s="13" t="n"/>
      <c r="L384" s="13" t="n"/>
      <c r="M384" s="13" t="n"/>
    </row>
    <row r="385">
      <c r="A385" s="13" t="n"/>
      <c r="B385" s="35" t="n"/>
      <c r="C385" s="13" t="n"/>
      <c r="D385" s="13" t="n"/>
      <c r="E385" s="13" t="n"/>
      <c r="F385" s="38" t="n"/>
      <c r="G385" s="39">
        <f>IF($F385="","",IF($F385&gt;=9,"Promotor",IF($F385&gt;=7,"Pasiv","Detractor")))</f>
        <v/>
      </c>
      <c r="H385" s="13" t="n"/>
      <c r="I385" s="13" t="n"/>
      <c r="J385" s="13" t="n"/>
      <c r="K385" s="13" t="n"/>
      <c r="L385" s="13" t="n"/>
      <c r="M385" s="13" t="n"/>
    </row>
    <row r="386">
      <c r="A386" s="13" t="n"/>
      <c r="B386" s="35" t="n"/>
      <c r="C386" s="13" t="n"/>
      <c r="D386" s="13" t="n"/>
      <c r="E386" s="13" t="n"/>
      <c r="F386" s="38" t="n"/>
      <c r="G386" s="39">
        <f>IF($F386="","",IF($F386&gt;=9,"Promotor",IF($F386&gt;=7,"Pasiv","Detractor")))</f>
        <v/>
      </c>
      <c r="H386" s="13" t="n"/>
      <c r="I386" s="13" t="n"/>
      <c r="J386" s="13" t="n"/>
      <c r="K386" s="13" t="n"/>
      <c r="L386" s="13" t="n"/>
      <c r="M386" s="13" t="n"/>
    </row>
    <row r="387">
      <c r="A387" s="13" t="n"/>
      <c r="B387" s="35" t="n"/>
      <c r="C387" s="13" t="n"/>
      <c r="D387" s="13" t="n"/>
      <c r="E387" s="13" t="n"/>
      <c r="F387" s="38" t="n"/>
      <c r="G387" s="39">
        <f>IF($F387="","",IF($F387&gt;=9,"Promotor",IF($F387&gt;=7,"Pasiv","Detractor")))</f>
        <v/>
      </c>
      <c r="H387" s="13" t="n"/>
      <c r="I387" s="13" t="n"/>
      <c r="J387" s="13" t="n"/>
      <c r="K387" s="13" t="n"/>
      <c r="L387" s="13" t="n"/>
      <c r="M387" s="13" t="n"/>
    </row>
    <row r="388">
      <c r="A388" s="13" t="n"/>
      <c r="B388" s="35" t="n"/>
      <c r="C388" s="13" t="n"/>
      <c r="D388" s="13" t="n"/>
      <c r="E388" s="13" t="n"/>
      <c r="F388" s="38" t="n"/>
      <c r="G388" s="39">
        <f>IF($F388="","",IF($F388&gt;=9,"Promotor",IF($F388&gt;=7,"Pasiv","Detractor")))</f>
        <v/>
      </c>
      <c r="H388" s="13" t="n"/>
      <c r="I388" s="13" t="n"/>
      <c r="J388" s="13" t="n"/>
      <c r="K388" s="13" t="n"/>
      <c r="L388" s="13" t="n"/>
      <c r="M388" s="13" t="n"/>
    </row>
    <row r="389">
      <c r="A389" s="13" t="n"/>
      <c r="B389" s="35" t="n"/>
      <c r="C389" s="13" t="n"/>
      <c r="D389" s="13" t="n"/>
      <c r="E389" s="13" t="n"/>
      <c r="F389" s="38" t="n"/>
      <c r="G389" s="39">
        <f>IF($F389="","",IF($F389&gt;=9,"Promotor",IF($F389&gt;=7,"Pasiv","Detractor")))</f>
        <v/>
      </c>
      <c r="H389" s="13" t="n"/>
      <c r="I389" s="13" t="n"/>
      <c r="J389" s="13" t="n"/>
      <c r="K389" s="13" t="n"/>
      <c r="L389" s="13" t="n"/>
      <c r="M389" s="13" t="n"/>
    </row>
    <row r="390">
      <c r="A390" s="13" t="n"/>
      <c r="B390" s="35" t="n"/>
      <c r="C390" s="13" t="n"/>
      <c r="D390" s="13" t="n"/>
      <c r="E390" s="13" t="n"/>
      <c r="F390" s="38" t="n"/>
      <c r="G390" s="39">
        <f>IF($F390="","",IF($F390&gt;=9,"Promotor",IF($F390&gt;=7,"Pasiv","Detractor")))</f>
        <v/>
      </c>
      <c r="H390" s="13" t="n"/>
      <c r="I390" s="13" t="n"/>
      <c r="J390" s="13" t="n"/>
      <c r="K390" s="13" t="n"/>
      <c r="L390" s="13" t="n"/>
      <c r="M390" s="13" t="n"/>
    </row>
    <row r="391">
      <c r="A391" s="13" t="n"/>
      <c r="B391" s="35" t="n"/>
      <c r="C391" s="13" t="n"/>
      <c r="D391" s="13" t="n"/>
      <c r="E391" s="13" t="n"/>
      <c r="F391" s="38" t="n"/>
      <c r="G391" s="39">
        <f>IF($F391="","",IF($F391&gt;=9,"Promotor",IF($F391&gt;=7,"Pasiv","Detractor")))</f>
        <v/>
      </c>
      <c r="H391" s="13" t="n"/>
      <c r="I391" s="13" t="n"/>
      <c r="J391" s="13" t="n"/>
      <c r="K391" s="13" t="n"/>
      <c r="L391" s="13" t="n"/>
      <c r="M391" s="13" t="n"/>
    </row>
    <row r="392">
      <c r="A392" s="13" t="n"/>
      <c r="B392" s="35" t="n"/>
      <c r="C392" s="13" t="n"/>
      <c r="D392" s="13" t="n"/>
      <c r="E392" s="13" t="n"/>
      <c r="F392" s="38" t="n"/>
      <c r="G392" s="39">
        <f>IF($F392="","",IF($F392&gt;=9,"Promotor",IF($F392&gt;=7,"Pasiv","Detractor")))</f>
        <v/>
      </c>
      <c r="H392" s="13" t="n"/>
      <c r="I392" s="13" t="n"/>
      <c r="J392" s="13" t="n"/>
      <c r="K392" s="13" t="n"/>
      <c r="L392" s="13" t="n"/>
      <c r="M392" s="13" t="n"/>
    </row>
    <row r="393">
      <c r="A393" s="13" t="n"/>
      <c r="B393" s="35" t="n"/>
      <c r="C393" s="13" t="n"/>
      <c r="D393" s="13" t="n"/>
      <c r="E393" s="13" t="n"/>
      <c r="F393" s="38" t="n"/>
      <c r="G393" s="39">
        <f>IF($F393="","",IF($F393&gt;=9,"Promotor",IF($F393&gt;=7,"Pasiv","Detractor")))</f>
        <v/>
      </c>
      <c r="H393" s="13" t="n"/>
      <c r="I393" s="13" t="n"/>
      <c r="J393" s="13" t="n"/>
      <c r="K393" s="13" t="n"/>
      <c r="L393" s="13" t="n"/>
      <c r="M393" s="13" t="n"/>
    </row>
    <row r="394">
      <c r="A394" s="13" t="n"/>
      <c r="B394" s="35" t="n"/>
      <c r="C394" s="13" t="n"/>
      <c r="D394" s="13" t="n"/>
      <c r="E394" s="13" t="n"/>
      <c r="F394" s="38" t="n"/>
      <c r="G394" s="39">
        <f>IF($F394="","",IF($F394&gt;=9,"Promotor",IF($F394&gt;=7,"Pasiv","Detractor")))</f>
        <v/>
      </c>
      <c r="H394" s="13" t="n"/>
      <c r="I394" s="13" t="n"/>
      <c r="J394" s="13" t="n"/>
      <c r="K394" s="13" t="n"/>
      <c r="L394" s="13" t="n"/>
      <c r="M394" s="13" t="n"/>
    </row>
    <row r="395">
      <c r="A395" s="13" t="n"/>
      <c r="B395" s="35" t="n"/>
      <c r="C395" s="13" t="n"/>
      <c r="D395" s="13" t="n"/>
      <c r="E395" s="13" t="n"/>
      <c r="F395" s="38" t="n"/>
      <c r="G395" s="39">
        <f>IF($F395="","",IF($F395&gt;=9,"Promotor",IF($F395&gt;=7,"Pasiv","Detractor")))</f>
        <v/>
      </c>
      <c r="H395" s="13" t="n"/>
      <c r="I395" s="13" t="n"/>
      <c r="J395" s="13" t="n"/>
      <c r="K395" s="13" t="n"/>
      <c r="L395" s="13" t="n"/>
      <c r="M395" s="13" t="n"/>
    </row>
    <row r="396">
      <c r="A396" s="13" t="n"/>
      <c r="B396" s="35" t="n"/>
      <c r="C396" s="13" t="n"/>
      <c r="D396" s="13" t="n"/>
      <c r="E396" s="13" t="n"/>
      <c r="F396" s="38" t="n"/>
      <c r="G396" s="39">
        <f>IF($F396="","",IF($F396&gt;=9,"Promotor",IF($F396&gt;=7,"Pasiv","Detractor")))</f>
        <v/>
      </c>
      <c r="H396" s="13" t="n"/>
      <c r="I396" s="13" t="n"/>
      <c r="J396" s="13" t="n"/>
      <c r="K396" s="13" t="n"/>
      <c r="L396" s="13" t="n"/>
      <c r="M396" s="13" t="n"/>
    </row>
    <row r="397">
      <c r="A397" s="13" t="n"/>
      <c r="B397" s="35" t="n"/>
      <c r="C397" s="13" t="n"/>
      <c r="D397" s="13" t="n"/>
      <c r="E397" s="13" t="n"/>
      <c r="F397" s="38" t="n"/>
      <c r="G397" s="39">
        <f>IF($F397="","",IF($F397&gt;=9,"Promotor",IF($F397&gt;=7,"Pasiv","Detractor")))</f>
        <v/>
      </c>
      <c r="H397" s="13" t="n"/>
      <c r="I397" s="13" t="n"/>
      <c r="J397" s="13" t="n"/>
      <c r="K397" s="13" t="n"/>
      <c r="L397" s="13" t="n"/>
      <c r="M397" s="13" t="n"/>
    </row>
    <row r="398">
      <c r="A398" s="13" t="n"/>
      <c r="B398" s="35" t="n"/>
      <c r="C398" s="13" t="n"/>
      <c r="D398" s="13" t="n"/>
      <c r="E398" s="13" t="n"/>
      <c r="F398" s="38" t="n"/>
      <c r="G398" s="39">
        <f>IF($F398="","",IF($F398&gt;=9,"Promotor",IF($F398&gt;=7,"Pasiv","Detractor")))</f>
        <v/>
      </c>
      <c r="H398" s="13" t="n"/>
      <c r="I398" s="13" t="n"/>
      <c r="J398" s="13" t="n"/>
      <c r="K398" s="13" t="n"/>
      <c r="L398" s="13" t="n"/>
      <c r="M398" s="13" t="n"/>
    </row>
    <row r="399">
      <c r="A399" s="13" t="n"/>
      <c r="B399" s="35" t="n"/>
      <c r="C399" s="13" t="n"/>
      <c r="D399" s="13" t="n"/>
      <c r="E399" s="13" t="n"/>
      <c r="F399" s="38" t="n"/>
      <c r="G399" s="39">
        <f>IF($F399="","",IF($F399&gt;=9,"Promotor",IF($F399&gt;=7,"Pasiv","Detractor")))</f>
        <v/>
      </c>
      <c r="H399" s="13" t="n"/>
      <c r="I399" s="13" t="n"/>
      <c r="J399" s="13" t="n"/>
      <c r="K399" s="13" t="n"/>
      <c r="L399" s="13" t="n"/>
      <c r="M399" s="13" t="n"/>
    </row>
    <row r="400">
      <c r="A400" s="13" t="n"/>
      <c r="B400" s="35" t="n"/>
      <c r="C400" s="13" t="n"/>
      <c r="D400" s="13" t="n"/>
      <c r="E400" s="13" t="n"/>
      <c r="F400" s="38" t="n"/>
      <c r="G400" s="39">
        <f>IF($F400="","",IF($F400&gt;=9,"Promotor",IF($F400&gt;=7,"Pasiv","Detractor")))</f>
        <v/>
      </c>
      <c r="H400" s="13" t="n"/>
      <c r="I400" s="13" t="n"/>
      <c r="J400" s="13" t="n"/>
      <c r="K400" s="13" t="n"/>
      <c r="L400" s="13" t="n"/>
      <c r="M400" s="13" t="n"/>
    </row>
    <row r="401">
      <c r="A401" s="13" t="n"/>
      <c r="B401" s="35" t="n"/>
      <c r="C401" s="13" t="n"/>
      <c r="D401" s="13" t="n"/>
      <c r="E401" s="13" t="n"/>
      <c r="F401" s="38" t="n"/>
      <c r="G401" s="39">
        <f>IF($F401="","",IF($F401&gt;=9,"Promotor",IF($F401&gt;=7,"Pasiv","Detractor")))</f>
        <v/>
      </c>
      <c r="H401" s="13" t="n"/>
      <c r="I401" s="13" t="n"/>
      <c r="J401" s="13" t="n"/>
      <c r="K401" s="13" t="n"/>
      <c r="L401" s="13" t="n"/>
      <c r="M401" s="13" t="n"/>
    </row>
    <row r="402">
      <c r="A402" s="13" t="n"/>
      <c r="B402" s="35" t="n"/>
      <c r="C402" s="13" t="n"/>
      <c r="D402" s="13" t="n"/>
      <c r="E402" s="13" t="n"/>
      <c r="F402" s="38" t="n"/>
      <c r="G402" s="39">
        <f>IF($F402="","",IF($F402&gt;=9,"Promotor",IF($F402&gt;=7,"Pasiv","Detractor")))</f>
        <v/>
      </c>
      <c r="H402" s="13" t="n"/>
      <c r="I402" s="13" t="n"/>
      <c r="J402" s="13" t="n"/>
      <c r="K402" s="13" t="n"/>
      <c r="L402" s="13" t="n"/>
      <c r="M402" s="13" t="n"/>
    </row>
    <row r="403">
      <c r="A403" s="13" t="n"/>
      <c r="B403" s="35" t="n"/>
      <c r="C403" s="13" t="n"/>
      <c r="D403" s="13" t="n"/>
      <c r="E403" s="13" t="n"/>
      <c r="F403" s="38" t="n"/>
      <c r="G403" s="39">
        <f>IF($F403="","",IF($F403&gt;=9,"Promotor",IF($F403&gt;=7,"Pasiv","Detractor")))</f>
        <v/>
      </c>
      <c r="H403" s="13" t="n"/>
      <c r="I403" s="13" t="n"/>
      <c r="J403" s="13" t="n"/>
      <c r="K403" s="13" t="n"/>
      <c r="L403" s="13" t="n"/>
      <c r="M403" s="13" t="n"/>
    </row>
    <row r="404">
      <c r="A404" s="13" t="n"/>
      <c r="B404" s="35" t="n"/>
      <c r="C404" s="13" t="n"/>
      <c r="D404" s="13" t="n"/>
      <c r="E404" s="13" t="n"/>
      <c r="F404" s="38" t="n"/>
      <c r="G404" s="39">
        <f>IF($F404="","",IF($F404&gt;=9,"Promotor",IF($F404&gt;=7,"Pasiv","Detractor")))</f>
        <v/>
      </c>
      <c r="H404" s="13" t="n"/>
      <c r="I404" s="13" t="n"/>
      <c r="J404" s="13" t="n"/>
      <c r="K404" s="13" t="n"/>
      <c r="L404" s="13" t="n"/>
      <c r="M404" s="13" t="n"/>
    </row>
    <row r="405">
      <c r="A405" s="13" t="n"/>
      <c r="B405" s="35" t="n"/>
      <c r="C405" s="13" t="n"/>
      <c r="D405" s="13" t="n"/>
      <c r="E405" s="13" t="n"/>
      <c r="F405" s="38" t="n"/>
      <c r="G405" s="39">
        <f>IF($F405="","",IF($F405&gt;=9,"Promotor",IF($F405&gt;=7,"Pasiv","Detractor")))</f>
        <v/>
      </c>
      <c r="H405" s="13" t="n"/>
      <c r="I405" s="13" t="n"/>
      <c r="J405" s="13" t="n"/>
      <c r="K405" s="13" t="n"/>
      <c r="L405" s="13" t="n"/>
      <c r="M405" s="13" t="n"/>
    </row>
    <row r="406">
      <c r="A406" s="13" t="n"/>
      <c r="B406" s="35" t="n"/>
      <c r="C406" s="13" t="n"/>
      <c r="D406" s="13" t="n"/>
      <c r="E406" s="13" t="n"/>
      <c r="F406" s="38" t="n"/>
      <c r="G406" s="39">
        <f>IF($F406="","",IF($F406&gt;=9,"Promotor",IF($F406&gt;=7,"Pasiv","Detractor")))</f>
        <v/>
      </c>
      <c r="H406" s="13" t="n"/>
      <c r="I406" s="13" t="n"/>
      <c r="J406" s="13" t="n"/>
      <c r="K406" s="13" t="n"/>
      <c r="L406" s="13" t="n"/>
      <c r="M406" s="13" t="n"/>
    </row>
    <row r="407">
      <c r="A407" s="13" t="n"/>
      <c r="B407" s="35" t="n"/>
      <c r="C407" s="13" t="n"/>
      <c r="D407" s="13" t="n"/>
      <c r="E407" s="13" t="n"/>
      <c r="F407" s="38" t="n"/>
      <c r="G407" s="39">
        <f>IF($F407="","",IF($F407&gt;=9,"Promotor",IF($F407&gt;=7,"Pasiv","Detractor")))</f>
        <v/>
      </c>
      <c r="H407" s="13" t="n"/>
      <c r="I407" s="13" t="n"/>
      <c r="J407" s="13" t="n"/>
      <c r="K407" s="13" t="n"/>
      <c r="L407" s="13" t="n"/>
      <c r="M407" s="13" t="n"/>
    </row>
    <row r="408">
      <c r="A408" s="13" t="n"/>
      <c r="B408" s="35" t="n"/>
      <c r="C408" s="13" t="n"/>
      <c r="D408" s="13" t="n"/>
      <c r="E408" s="13" t="n"/>
      <c r="F408" s="38" t="n"/>
      <c r="G408" s="39">
        <f>IF($F408="","",IF($F408&gt;=9,"Promotor",IF($F408&gt;=7,"Pasiv","Detractor")))</f>
        <v/>
      </c>
      <c r="H408" s="13" t="n"/>
      <c r="I408" s="13" t="n"/>
      <c r="J408" s="13" t="n"/>
      <c r="K408" s="13" t="n"/>
      <c r="L408" s="13" t="n"/>
      <c r="M408" s="13" t="n"/>
    </row>
    <row r="409">
      <c r="A409" s="13" t="n"/>
      <c r="B409" s="35" t="n"/>
      <c r="C409" s="13" t="n"/>
      <c r="D409" s="13" t="n"/>
      <c r="E409" s="13" t="n"/>
      <c r="F409" s="38" t="n"/>
      <c r="G409" s="39">
        <f>IF($F409="","",IF($F409&gt;=9,"Promotor",IF($F409&gt;=7,"Pasiv","Detractor")))</f>
        <v/>
      </c>
      <c r="H409" s="13" t="n"/>
      <c r="I409" s="13" t="n"/>
      <c r="J409" s="13" t="n"/>
      <c r="K409" s="13" t="n"/>
      <c r="L409" s="13" t="n"/>
      <c r="M409" s="13" t="n"/>
    </row>
    <row r="410">
      <c r="A410" s="13" t="n"/>
      <c r="B410" s="35" t="n"/>
      <c r="C410" s="13" t="n"/>
      <c r="D410" s="13" t="n"/>
      <c r="E410" s="13" t="n"/>
      <c r="F410" s="38" t="n"/>
      <c r="G410" s="39">
        <f>IF($F410="","",IF($F410&gt;=9,"Promotor",IF($F410&gt;=7,"Pasiv","Detractor")))</f>
        <v/>
      </c>
      <c r="H410" s="13" t="n"/>
      <c r="I410" s="13" t="n"/>
      <c r="J410" s="13" t="n"/>
      <c r="K410" s="13" t="n"/>
      <c r="L410" s="13" t="n"/>
      <c r="M410" s="13" t="n"/>
    </row>
    <row r="411">
      <c r="A411" s="13" t="n"/>
      <c r="B411" s="35" t="n"/>
      <c r="C411" s="13" t="n"/>
      <c r="D411" s="13" t="n"/>
      <c r="E411" s="13" t="n"/>
      <c r="F411" s="38" t="n"/>
      <c r="G411" s="39">
        <f>IF($F411="","",IF($F411&gt;=9,"Promotor",IF($F411&gt;=7,"Pasiv","Detractor")))</f>
        <v/>
      </c>
      <c r="H411" s="13" t="n"/>
      <c r="I411" s="13" t="n"/>
      <c r="J411" s="13" t="n"/>
      <c r="K411" s="13" t="n"/>
      <c r="L411" s="13" t="n"/>
      <c r="M411" s="13" t="n"/>
    </row>
    <row r="412">
      <c r="A412" s="13" t="n"/>
      <c r="B412" s="35" t="n"/>
      <c r="C412" s="13" t="n"/>
      <c r="D412" s="13" t="n"/>
      <c r="E412" s="13" t="n"/>
      <c r="F412" s="38" t="n"/>
      <c r="G412" s="39">
        <f>IF($F412="","",IF($F412&gt;=9,"Promotor",IF($F412&gt;=7,"Pasiv","Detractor")))</f>
        <v/>
      </c>
      <c r="H412" s="13" t="n"/>
      <c r="I412" s="13" t="n"/>
      <c r="J412" s="13" t="n"/>
      <c r="K412" s="13" t="n"/>
      <c r="L412" s="13" t="n"/>
      <c r="M412" s="13" t="n"/>
    </row>
    <row r="413">
      <c r="A413" s="13" t="n"/>
      <c r="B413" s="35" t="n"/>
      <c r="C413" s="13" t="n"/>
      <c r="D413" s="13" t="n"/>
      <c r="E413" s="13" t="n"/>
      <c r="F413" s="38" t="n"/>
      <c r="G413" s="39">
        <f>IF($F413="","",IF($F413&gt;=9,"Promotor",IF($F413&gt;=7,"Pasiv","Detractor")))</f>
        <v/>
      </c>
      <c r="H413" s="13" t="n"/>
      <c r="I413" s="13" t="n"/>
      <c r="J413" s="13" t="n"/>
      <c r="K413" s="13" t="n"/>
      <c r="L413" s="13" t="n"/>
      <c r="M413" s="13" t="n"/>
    </row>
    <row r="414">
      <c r="A414" s="13" t="n"/>
      <c r="B414" s="35" t="n"/>
      <c r="C414" s="13" t="n"/>
      <c r="D414" s="13" t="n"/>
      <c r="E414" s="13" t="n"/>
      <c r="F414" s="38" t="n"/>
      <c r="G414" s="39">
        <f>IF($F414="","",IF($F414&gt;=9,"Promotor",IF($F414&gt;=7,"Pasiv","Detractor")))</f>
        <v/>
      </c>
      <c r="H414" s="13" t="n"/>
      <c r="I414" s="13" t="n"/>
      <c r="J414" s="13" t="n"/>
      <c r="K414" s="13" t="n"/>
      <c r="L414" s="13" t="n"/>
      <c r="M414" s="13" t="n"/>
    </row>
    <row r="415">
      <c r="A415" s="13" t="n"/>
      <c r="B415" s="35" t="n"/>
      <c r="C415" s="13" t="n"/>
      <c r="D415" s="13" t="n"/>
      <c r="E415" s="13" t="n"/>
      <c r="F415" s="38" t="n"/>
      <c r="G415" s="39">
        <f>IF($F415="","",IF($F415&gt;=9,"Promotor",IF($F415&gt;=7,"Pasiv","Detractor")))</f>
        <v/>
      </c>
      <c r="H415" s="13" t="n"/>
      <c r="I415" s="13" t="n"/>
      <c r="J415" s="13" t="n"/>
      <c r="K415" s="13" t="n"/>
      <c r="L415" s="13" t="n"/>
      <c r="M415" s="13" t="n"/>
    </row>
    <row r="416">
      <c r="A416" s="13" t="n"/>
      <c r="B416" s="35" t="n"/>
      <c r="C416" s="13" t="n"/>
      <c r="D416" s="13" t="n"/>
      <c r="E416" s="13" t="n"/>
      <c r="F416" s="38" t="n"/>
      <c r="G416" s="39">
        <f>IF($F416="","",IF($F416&gt;=9,"Promotor",IF($F416&gt;=7,"Pasiv","Detractor")))</f>
        <v/>
      </c>
      <c r="H416" s="13" t="n"/>
      <c r="I416" s="13" t="n"/>
      <c r="J416" s="13" t="n"/>
      <c r="K416" s="13" t="n"/>
      <c r="L416" s="13" t="n"/>
      <c r="M416" s="13" t="n"/>
    </row>
    <row r="417">
      <c r="A417" s="13" t="n"/>
      <c r="B417" s="35" t="n"/>
      <c r="C417" s="13" t="n"/>
      <c r="D417" s="13" t="n"/>
      <c r="E417" s="13" t="n"/>
      <c r="F417" s="38" t="n"/>
      <c r="G417" s="39">
        <f>IF($F417="","",IF($F417&gt;=9,"Promotor",IF($F417&gt;=7,"Pasiv","Detractor")))</f>
        <v/>
      </c>
      <c r="H417" s="13" t="n"/>
      <c r="I417" s="13" t="n"/>
      <c r="J417" s="13" t="n"/>
      <c r="K417" s="13" t="n"/>
      <c r="L417" s="13" t="n"/>
      <c r="M417" s="13" t="n"/>
    </row>
    <row r="418">
      <c r="A418" s="13" t="n"/>
      <c r="B418" s="35" t="n"/>
      <c r="C418" s="13" t="n"/>
      <c r="D418" s="13" t="n"/>
      <c r="E418" s="13" t="n"/>
      <c r="F418" s="38" t="n"/>
      <c r="G418" s="39">
        <f>IF($F418="","",IF($F418&gt;=9,"Promotor",IF($F418&gt;=7,"Pasiv","Detractor")))</f>
        <v/>
      </c>
      <c r="H418" s="13" t="n"/>
      <c r="I418" s="13" t="n"/>
      <c r="J418" s="13" t="n"/>
      <c r="K418" s="13" t="n"/>
      <c r="L418" s="13" t="n"/>
      <c r="M418" s="13" t="n"/>
    </row>
    <row r="419">
      <c r="A419" s="13" t="n"/>
      <c r="B419" s="35" t="n"/>
      <c r="C419" s="13" t="n"/>
      <c r="D419" s="13" t="n"/>
      <c r="E419" s="13" t="n"/>
      <c r="F419" s="38" t="n"/>
      <c r="G419" s="39">
        <f>IF($F419="","",IF($F419&gt;=9,"Promotor",IF($F419&gt;=7,"Pasiv","Detractor")))</f>
        <v/>
      </c>
      <c r="H419" s="13" t="n"/>
      <c r="I419" s="13" t="n"/>
      <c r="J419" s="13" t="n"/>
      <c r="K419" s="13" t="n"/>
      <c r="L419" s="13" t="n"/>
      <c r="M419" s="13" t="n"/>
    </row>
    <row r="420">
      <c r="A420" s="13" t="n"/>
      <c r="B420" s="35" t="n"/>
      <c r="C420" s="13" t="n"/>
      <c r="D420" s="13" t="n"/>
      <c r="E420" s="13" t="n"/>
      <c r="F420" s="38" t="n"/>
      <c r="G420" s="39">
        <f>IF($F420="","",IF($F420&gt;=9,"Promotor",IF($F420&gt;=7,"Pasiv","Detractor")))</f>
        <v/>
      </c>
      <c r="H420" s="13" t="n"/>
      <c r="I420" s="13" t="n"/>
      <c r="J420" s="13" t="n"/>
      <c r="K420" s="13" t="n"/>
      <c r="L420" s="13" t="n"/>
      <c r="M420" s="13" t="n"/>
    </row>
    <row r="421">
      <c r="A421" s="13" t="n"/>
      <c r="B421" s="35" t="n"/>
      <c r="C421" s="13" t="n"/>
      <c r="D421" s="13" t="n"/>
      <c r="E421" s="13" t="n"/>
      <c r="F421" s="38" t="n"/>
      <c r="G421" s="39">
        <f>IF($F421="","",IF($F421&gt;=9,"Promotor",IF($F421&gt;=7,"Pasiv","Detractor")))</f>
        <v/>
      </c>
      <c r="H421" s="13" t="n"/>
      <c r="I421" s="13" t="n"/>
      <c r="J421" s="13" t="n"/>
      <c r="K421" s="13" t="n"/>
      <c r="L421" s="13" t="n"/>
      <c r="M421" s="13" t="n"/>
    </row>
    <row r="422">
      <c r="A422" s="13" t="n"/>
      <c r="B422" s="35" t="n"/>
      <c r="C422" s="13" t="n"/>
      <c r="D422" s="13" t="n"/>
      <c r="E422" s="13" t="n"/>
      <c r="F422" s="38" t="n"/>
      <c r="G422" s="39">
        <f>IF($F422="","",IF($F422&gt;=9,"Promotor",IF($F422&gt;=7,"Pasiv","Detractor")))</f>
        <v/>
      </c>
      <c r="H422" s="13" t="n"/>
      <c r="I422" s="13" t="n"/>
      <c r="J422" s="13" t="n"/>
      <c r="K422" s="13" t="n"/>
      <c r="L422" s="13" t="n"/>
      <c r="M422" s="13" t="n"/>
    </row>
    <row r="423">
      <c r="A423" s="13" t="n"/>
      <c r="B423" s="35" t="n"/>
      <c r="C423" s="13" t="n"/>
      <c r="D423" s="13" t="n"/>
      <c r="E423" s="13" t="n"/>
      <c r="F423" s="38" t="n"/>
      <c r="G423" s="39">
        <f>IF($F423="","",IF($F423&gt;=9,"Promotor",IF($F423&gt;=7,"Pasiv","Detractor")))</f>
        <v/>
      </c>
      <c r="H423" s="13" t="n"/>
      <c r="I423" s="13" t="n"/>
      <c r="J423" s="13" t="n"/>
      <c r="K423" s="13" t="n"/>
      <c r="L423" s="13" t="n"/>
      <c r="M423" s="13" t="n"/>
    </row>
    <row r="424">
      <c r="A424" s="13" t="n"/>
      <c r="B424" s="35" t="n"/>
      <c r="C424" s="13" t="n"/>
      <c r="D424" s="13" t="n"/>
      <c r="E424" s="13" t="n"/>
      <c r="F424" s="38" t="n"/>
      <c r="G424" s="39">
        <f>IF($F424="","",IF($F424&gt;=9,"Promotor",IF($F424&gt;=7,"Pasiv","Detractor")))</f>
        <v/>
      </c>
      <c r="H424" s="13" t="n"/>
      <c r="I424" s="13" t="n"/>
      <c r="J424" s="13" t="n"/>
      <c r="K424" s="13" t="n"/>
      <c r="L424" s="13" t="n"/>
      <c r="M424" s="13" t="n"/>
    </row>
    <row r="425">
      <c r="A425" s="13" t="n"/>
      <c r="B425" s="35" t="n"/>
      <c r="C425" s="13" t="n"/>
      <c r="D425" s="13" t="n"/>
      <c r="E425" s="13" t="n"/>
      <c r="F425" s="38" t="n"/>
      <c r="G425" s="39">
        <f>IF($F425="","",IF($F425&gt;=9,"Promotor",IF($F425&gt;=7,"Pasiv","Detractor")))</f>
        <v/>
      </c>
      <c r="H425" s="13" t="n"/>
      <c r="I425" s="13" t="n"/>
      <c r="J425" s="13" t="n"/>
      <c r="K425" s="13" t="n"/>
      <c r="L425" s="13" t="n"/>
      <c r="M425" s="13" t="n"/>
    </row>
    <row r="426">
      <c r="A426" s="13" t="n"/>
      <c r="B426" s="35" t="n"/>
      <c r="C426" s="13" t="n"/>
      <c r="D426" s="13" t="n"/>
      <c r="E426" s="13" t="n"/>
      <c r="F426" s="38" t="n"/>
      <c r="G426" s="39">
        <f>IF($F426="","",IF($F426&gt;=9,"Promotor",IF($F426&gt;=7,"Pasiv","Detractor")))</f>
        <v/>
      </c>
      <c r="H426" s="13" t="n"/>
      <c r="I426" s="13" t="n"/>
      <c r="J426" s="13" t="n"/>
      <c r="K426" s="13" t="n"/>
      <c r="L426" s="13" t="n"/>
      <c r="M426" s="13" t="n"/>
    </row>
    <row r="427">
      <c r="A427" s="13" t="n"/>
      <c r="B427" s="35" t="n"/>
      <c r="C427" s="13" t="n"/>
      <c r="D427" s="13" t="n"/>
      <c r="E427" s="13" t="n"/>
      <c r="F427" s="38" t="n"/>
      <c r="G427" s="39">
        <f>IF($F427="","",IF($F427&gt;=9,"Promotor",IF($F427&gt;=7,"Pasiv","Detractor")))</f>
        <v/>
      </c>
      <c r="H427" s="13" t="n"/>
      <c r="I427" s="13" t="n"/>
      <c r="J427" s="13" t="n"/>
      <c r="K427" s="13" t="n"/>
      <c r="L427" s="13" t="n"/>
      <c r="M427" s="13" t="n"/>
    </row>
    <row r="428">
      <c r="A428" s="13" t="n"/>
      <c r="B428" s="35" t="n"/>
      <c r="C428" s="13" t="n"/>
      <c r="D428" s="13" t="n"/>
      <c r="E428" s="13" t="n"/>
      <c r="F428" s="38" t="n"/>
      <c r="G428" s="39">
        <f>IF($F428="","",IF($F428&gt;=9,"Promotor",IF($F428&gt;=7,"Pasiv","Detractor")))</f>
        <v/>
      </c>
      <c r="H428" s="13" t="n"/>
      <c r="I428" s="13" t="n"/>
      <c r="J428" s="13" t="n"/>
      <c r="K428" s="13" t="n"/>
      <c r="L428" s="13" t="n"/>
      <c r="M428" s="13" t="n"/>
    </row>
    <row r="429">
      <c r="A429" s="13" t="n"/>
      <c r="B429" s="35" t="n"/>
      <c r="C429" s="13" t="n"/>
      <c r="D429" s="13" t="n"/>
      <c r="E429" s="13" t="n"/>
      <c r="F429" s="38" t="n"/>
      <c r="G429" s="39">
        <f>IF($F429="","",IF($F429&gt;=9,"Promotor",IF($F429&gt;=7,"Pasiv","Detractor")))</f>
        <v/>
      </c>
      <c r="H429" s="13" t="n"/>
      <c r="I429" s="13" t="n"/>
      <c r="J429" s="13" t="n"/>
      <c r="K429" s="13" t="n"/>
      <c r="L429" s="13" t="n"/>
      <c r="M429" s="13" t="n"/>
    </row>
    <row r="430">
      <c r="A430" s="13" t="n"/>
      <c r="B430" s="35" t="n"/>
      <c r="C430" s="13" t="n"/>
      <c r="D430" s="13" t="n"/>
      <c r="E430" s="13" t="n"/>
      <c r="F430" s="38" t="n"/>
      <c r="G430" s="39">
        <f>IF($F430="","",IF($F430&gt;=9,"Promotor",IF($F430&gt;=7,"Pasiv","Detractor")))</f>
        <v/>
      </c>
      <c r="H430" s="13" t="n"/>
      <c r="I430" s="13" t="n"/>
      <c r="J430" s="13" t="n"/>
      <c r="K430" s="13" t="n"/>
      <c r="L430" s="13" t="n"/>
      <c r="M430" s="13" t="n"/>
    </row>
    <row r="431">
      <c r="A431" s="13" t="n"/>
      <c r="B431" s="35" t="n"/>
      <c r="C431" s="13" t="n"/>
      <c r="D431" s="13" t="n"/>
      <c r="E431" s="13" t="n"/>
      <c r="F431" s="38" t="n"/>
      <c r="G431" s="39">
        <f>IF($F431="","",IF($F431&gt;=9,"Promotor",IF($F431&gt;=7,"Pasiv","Detractor")))</f>
        <v/>
      </c>
      <c r="H431" s="13" t="n"/>
      <c r="I431" s="13" t="n"/>
      <c r="J431" s="13" t="n"/>
      <c r="K431" s="13" t="n"/>
      <c r="L431" s="13" t="n"/>
      <c r="M431" s="13" t="n"/>
    </row>
    <row r="432">
      <c r="A432" s="13" t="n"/>
      <c r="B432" s="35" t="n"/>
      <c r="C432" s="13" t="n"/>
      <c r="D432" s="13" t="n"/>
      <c r="E432" s="13" t="n"/>
      <c r="F432" s="38" t="n"/>
      <c r="G432" s="39">
        <f>IF($F432="","",IF($F432&gt;=9,"Promotor",IF($F432&gt;=7,"Pasiv","Detractor")))</f>
        <v/>
      </c>
      <c r="H432" s="13" t="n"/>
      <c r="I432" s="13" t="n"/>
      <c r="J432" s="13" t="n"/>
      <c r="K432" s="13" t="n"/>
      <c r="L432" s="13" t="n"/>
      <c r="M432" s="13" t="n"/>
    </row>
    <row r="433">
      <c r="A433" s="13" t="n"/>
      <c r="B433" s="35" t="n"/>
      <c r="C433" s="13" t="n"/>
      <c r="D433" s="13" t="n"/>
      <c r="E433" s="13" t="n"/>
      <c r="F433" s="38" t="n"/>
      <c r="G433" s="39">
        <f>IF($F433="","",IF($F433&gt;=9,"Promotor",IF($F433&gt;=7,"Pasiv","Detractor")))</f>
        <v/>
      </c>
      <c r="H433" s="13" t="n"/>
      <c r="I433" s="13" t="n"/>
      <c r="J433" s="13" t="n"/>
      <c r="K433" s="13" t="n"/>
      <c r="L433" s="13" t="n"/>
      <c r="M433" s="13" t="n"/>
    </row>
    <row r="434">
      <c r="A434" s="13" t="n"/>
      <c r="B434" s="35" t="n"/>
      <c r="C434" s="13" t="n"/>
      <c r="D434" s="13" t="n"/>
      <c r="E434" s="13" t="n"/>
      <c r="F434" s="38" t="n"/>
      <c r="G434" s="39">
        <f>IF($F434="","",IF($F434&gt;=9,"Promotor",IF($F434&gt;=7,"Pasiv","Detractor")))</f>
        <v/>
      </c>
      <c r="H434" s="13" t="n"/>
      <c r="I434" s="13" t="n"/>
      <c r="J434" s="13" t="n"/>
      <c r="K434" s="13" t="n"/>
      <c r="L434" s="13" t="n"/>
      <c r="M434" s="13" t="n"/>
    </row>
    <row r="435">
      <c r="A435" s="13" t="n"/>
      <c r="B435" s="35" t="n"/>
      <c r="C435" s="13" t="n"/>
      <c r="D435" s="13" t="n"/>
      <c r="E435" s="13" t="n"/>
      <c r="F435" s="38" t="n"/>
      <c r="G435" s="39">
        <f>IF($F435="","",IF($F435&gt;=9,"Promotor",IF($F435&gt;=7,"Pasiv","Detractor")))</f>
        <v/>
      </c>
      <c r="H435" s="13" t="n"/>
      <c r="I435" s="13" t="n"/>
      <c r="J435" s="13" t="n"/>
      <c r="K435" s="13" t="n"/>
      <c r="L435" s="13" t="n"/>
      <c r="M435" s="13" t="n"/>
    </row>
    <row r="436">
      <c r="A436" s="13" t="n"/>
      <c r="B436" s="35" t="n"/>
      <c r="C436" s="13" t="n"/>
      <c r="D436" s="13" t="n"/>
      <c r="E436" s="13" t="n"/>
      <c r="F436" s="38" t="n"/>
      <c r="G436" s="39">
        <f>IF($F436="","",IF($F436&gt;=9,"Promotor",IF($F436&gt;=7,"Pasiv","Detractor")))</f>
        <v/>
      </c>
      <c r="H436" s="13" t="n"/>
      <c r="I436" s="13" t="n"/>
      <c r="J436" s="13" t="n"/>
      <c r="K436" s="13" t="n"/>
      <c r="L436" s="13" t="n"/>
      <c r="M436" s="13" t="n"/>
    </row>
    <row r="437">
      <c r="A437" s="13" t="n"/>
      <c r="B437" s="35" t="n"/>
      <c r="C437" s="13" t="n"/>
      <c r="D437" s="13" t="n"/>
      <c r="E437" s="13" t="n"/>
      <c r="F437" s="38" t="n"/>
      <c r="G437" s="39">
        <f>IF($F437="","",IF($F437&gt;=9,"Promotor",IF($F437&gt;=7,"Pasiv","Detractor")))</f>
        <v/>
      </c>
      <c r="H437" s="13" t="n"/>
      <c r="I437" s="13" t="n"/>
      <c r="J437" s="13" t="n"/>
      <c r="K437" s="13" t="n"/>
      <c r="L437" s="13" t="n"/>
      <c r="M437" s="13" t="n"/>
    </row>
    <row r="438">
      <c r="A438" s="13" t="n"/>
      <c r="B438" s="35" t="n"/>
      <c r="C438" s="13" t="n"/>
      <c r="D438" s="13" t="n"/>
      <c r="E438" s="13" t="n"/>
      <c r="F438" s="38" t="n"/>
      <c r="G438" s="39">
        <f>IF($F438="","",IF($F438&gt;=9,"Promotor",IF($F438&gt;=7,"Pasiv","Detractor")))</f>
        <v/>
      </c>
      <c r="H438" s="13" t="n"/>
      <c r="I438" s="13" t="n"/>
      <c r="J438" s="13" t="n"/>
      <c r="K438" s="13" t="n"/>
      <c r="L438" s="13" t="n"/>
      <c r="M438" s="13" t="n"/>
    </row>
    <row r="439">
      <c r="A439" s="13" t="n"/>
      <c r="B439" s="35" t="n"/>
      <c r="C439" s="13" t="n"/>
      <c r="D439" s="13" t="n"/>
      <c r="E439" s="13" t="n"/>
      <c r="F439" s="38" t="n"/>
      <c r="G439" s="39">
        <f>IF($F439="","",IF($F439&gt;=9,"Promotor",IF($F439&gt;=7,"Pasiv","Detractor")))</f>
        <v/>
      </c>
      <c r="H439" s="13" t="n"/>
      <c r="I439" s="13" t="n"/>
      <c r="J439" s="13" t="n"/>
      <c r="K439" s="13" t="n"/>
      <c r="L439" s="13" t="n"/>
      <c r="M439" s="13" t="n"/>
    </row>
    <row r="440">
      <c r="A440" s="13" t="n"/>
      <c r="B440" s="35" t="n"/>
      <c r="C440" s="13" t="n"/>
      <c r="D440" s="13" t="n"/>
      <c r="E440" s="13" t="n"/>
      <c r="F440" s="38" t="n"/>
      <c r="G440" s="39">
        <f>IF($F440="","",IF($F440&gt;=9,"Promotor",IF($F440&gt;=7,"Pasiv","Detractor")))</f>
        <v/>
      </c>
      <c r="H440" s="13" t="n"/>
      <c r="I440" s="13" t="n"/>
      <c r="J440" s="13" t="n"/>
      <c r="K440" s="13" t="n"/>
      <c r="L440" s="13" t="n"/>
      <c r="M440" s="13" t="n"/>
    </row>
    <row r="441">
      <c r="A441" s="13" t="n"/>
      <c r="B441" s="35" t="n"/>
      <c r="C441" s="13" t="n"/>
      <c r="D441" s="13" t="n"/>
      <c r="E441" s="13" t="n"/>
      <c r="F441" s="38" t="n"/>
      <c r="G441" s="39">
        <f>IF($F441="","",IF($F441&gt;=9,"Promotor",IF($F441&gt;=7,"Pasiv","Detractor")))</f>
        <v/>
      </c>
      <c r="H441" s="13" t="n"/>
      <c r="I441" s="13" t="n"/>
      <c r="J441" s="13" t="n"/>
      <c r="K441" s="13" t="n"/>
      <c r="L441" s="13" t="n"/>
      <c r="M441" s="13" t="n"/>
    </row>
    <row r="442">
      <c r="A442" s="13" t="n"/>
      <c r="B442" s="35" t="n"/>
      <c r="C442" s="13" t="n"/>
      <c r="D442" s="13" t="n"/>
      <c r="E442" s="13" t="n"/>
      <c r="F442" s="38" t="n"/>
      <c r="G442" s="39">
        <f>IF($F442="","",IF($F442&gt;=9,"Promotor",IF($F442&gt;=7,"Pasiv","Detractor")))</f>
        <v/>
      </c>
      <c r="H442" s="13" t="n"/>
      <c r="I442" s="13" t="n"/>
      <c r="J442" s="13" t="n"/>
      <c r="K442" s="13" t="n"/>
      <c r="L442" s="13" t="n"/>
      <c r="M442" s="13" t="n"/>
    </row>
    <row r="443">
      <c r="A443" s="13" t="n"/>
      <c r="B443" s="35" t="n"/>
      <c r="C443" s="13" t="n"/>
      <c r="D443" s="13" t="n"/>
      <c r="E443" s="13" t="n"/>
      <c r="F443" s="38" t="n"/>
      <c r="G443" s="39">
        <f>IF($F443="","",IF($F443&gt;=9,"Promotor",IF($F443&gt;=7,"Pasiv","Detractor")))</f>
        <v/>
      </c>
      <c r="H443" s="13" t="n"/>
      <c r="I443" s="13" t="n"/>
      <c r="J443" s="13" t="n"/>
      <c r="K443" s="13" t="n"/>
      <c r="L443" s="13" t="n"/>
      <c r="M443" s="13" t="n"/>
    </row>
    <row r="444">
      <c r="A444" s="13" t="n"/>
      <c r="B444" s="35" t="n"/>
      <c r="C444" s="13" t="n"/>
      <c r="D444" s="13" t="n"/>
      <c r="E444" s="13" t="n"/>
      <c r="F444" s="38" t="n"/>
      <c r="G444" s="39">
        <f>IF($F444="","",IF($F444&gt;=9,"Promotor",IF($F444&gt;=7,"Pasiv","Detractor")))</f>
        <v/>
      </c>
      <c r="H444" s="13" t="n"/>
      <c r="I444" s="13" t="n"/>
      <c r="J444" s="13" t="n"/>
      <c r="K444" s="13" t="n"/>
      <c r="L444" s="13" t="n"/>
      <c r="M444" s="13" t="n"/>
    </row>
    <row r="445">
      <c r="A445" s="13" t="n"/>
      <c r="B445" s="35" t="n"/>
      <c r="C445" s="13" t="n"/>
      <c r="D445" s="13" t="n"/>
      <c r="E445" s="13" t="n"/>
      <c r="F445" s="38" t="n"/>
      <c r="G445" s="39">
        <f>IF($F445="","",IF($F445&gt;=9,"Promotor",IF($F445&gt;=7,"Pasiv","Detractor")))</f>
        <v/>
      </c>
      <c r="H445" s="13" t="n"/>
      <c r="I445" s="13" t="n"/>
      <c r="J445" s="13" t="n"/>
      <c r="K445" s="13" t="n"/>
      <c r="L445" s="13" t="n"/>
      <c r="M445" s="13" t="n"/>
    </row>
    <row r="446">
      <c r="A446" s="13" t="n"/>
      <c r="B446" s="35" t="n"/>
      <c r="C446" s="13" t="n"/>
      <c r="D446" s="13" t="n"/>
      <c r="E446" s="13" t="n"/>
      <c r="F446" s="38" t="n"/>
      <c r="G446" s="39">
        <f>IF($F446="","",IF($F446&gt;=9,"Promotor",IF($F446&gt;=7,"Pasiv","Detractor")))</f>
        <v/>
      </c>
      <c r="H446" s="13" t="n"/>
      <c r="I446" s="13" t="n"/>
      <c r="J446" s="13" t="n"/>
      <c r="K446" s="13" t="n"/>
      <c r="L446" s="13" t="n"/>
      <c r="M446" s="13" t="n"/>
    </row>
    <row r="447">
      <c r="A447" s="13" t="n"/>
      <c r="B447" s="35" t="n"/>
      <c r="C447" s="13" t="n"/>
      <c r="D447" s="13" t="n"/>
      <c r="E447" s="13" t="n"/>
      <c r="F447" s="38" t="n"/>
      <c r="G447" s="39">
        <f>IF($F447="","",IF($F447&gt;=9,"Promotor",IF($F447&gt;=7,"Pasiv","Detractor")))</f>
        <v/>
      </c>
      <c r="H447" s="13" t="n"/>
      <c r="I447" s="13" t="n"/>
      <c r="J447" s="13" t="n"/>
      <c r="K447" s="13" t="n"/>
      <c r="L447" s="13" t="n"/>
      <c r="M447" s="13" t="n"/>
    </row>
    <row r="448">
      <c r="A448" s="13" t="n"/>
      <c r="B448" s="35" t="n"/>
      <c r="C448" s="13" t="n"/>
      <c r="D448" s="13" t="n"/>
      <c r="E448" s="13" t="n"/>
      <c r="F448" s="38" t="n"/>
      <c r="G448" s="39">
        <f>IF($F448="","",IF($F448&gt;=9,"Promotor",IF($F448&gt;=7,"Pasiv","Detractor")))</f>
        <v/>
      </c>
      <c r="H448" s="13" t="n"/>
      <c r="I448" s="13" t="n"/>
      <c r="J448" s="13" t="n"/>
      <c r="K448" s="13" t="n"/>
      <c r="L448" s="13" t="n"/>
      <c r="M448" s="13" t="n"/>
    </row>
    <row r="449">
      <c r="A449" s="13" t="n"/>
      <c r="B449" s="35" t="n"/>
      <c r="C449" s="13" t="n"/>
      <c r="D449" s="13" t="n"/>
      <c r="E449" s="13" t="n"/>
      <c r="F449" s="38" t="n"/>
      <c r="G449" s="39">
        <f>IF($F449="","",IF($F449&gt;=9,"Promotor",IF($F449&gt;=7,"Pasiv","Detractor")))</f>
        <v/>
      </c>
      <c r="H449" s="13" t="n"/>
      <c r="I449" s="13" t="n"/>
      <c r="J449" s="13" t="n"/>
      <c r="K449" s="13" t="n"/>
      <c r="L449" s="13" t="n"/>
      <c r="M449" s="13" t="n"/>
    </row>
    <row r="450">
      <c r="A450" s="13" t="n"/>
      <c r="B450" s="35" t="n"/>
      <c r="C450" s="13" t="n"/>
      <c r="D450" s="13" t="n"/>
      <c r="E450" s="13" t="n"/>
      <c r="F450" s="38" t="n"/>
      <c r="G450" s="39">
        <f>IF($F450="","",IF($F450&gt;=9,"Promotor",IF($F450&gt;=7,"Pasiv","Detractor")))</f>
        <v/>
      </c>
      <c r="H450" s="13" t="n"/>
      <c r="I450" s="13" t="n"/>
      <c r="J450" s="13" t="n"/>
      <c r="K450" s="13" t="n"/>
      <c r="L450" s="13" t="n"/>
      <c r="M450" s="13" t="n"/>
    </row>
    <row r="451">
      <c r="A451" s="13" t="n"/>
      <c r="B451" s="35" t="n"/>
      <c r="C451" s="13" t="n"/>
      <c r="D451" s="13" t="n"/>
      <c r="E451" s="13" t="n"/>
      <c r="F451" s="38" t="n"/>
      <c r="G451" s="39">
        <f>IF($F451="","",IF($F451&gt;=9,"Promotor",IF($F451&gt;=7,"Pasiv","Detractor")))</f>
        <v/>
      </c>
      <c r="H451" s="13" t="n"/>
      <c r="I451" s="13" t="n"/>
      <c r="J451" s="13" t="n"/>
      <c r="K451" s="13" t="n"/>
      <c r="L451" s="13" t="n"/>
      <c r="M451" s="13" t="n"/>
    </row>
    <row r="452">
      <c r="A452" s="13" t="n"/>
      <c r="B452" s="35" t="n"/>
      <c r="C452" s="13" t="n"/>
      <c r="D452" s="13" t="n"/>
      <c r="E452" s="13" t="n"/>
      <c r="F452" s="38" t="n"/>
      <c r="G452" s="39">
        <f>IF($F452="","",IF($F452&gt;=9,"Promotor",IF($F452&gt;=7,"Pasiv","Detractor")))</f>
        <v/>
      </c>
      <c r="H452" s="13" t="n"/>
      <c r="I452" s="13" t="n"/>
      <c r="J452" s="13" t="n"/>
      <c r="K452" s="13" t="n"/>
      <c r="L452" s="13" t="n"/>
      <c r="M452" s="13" t="n"/>
    </row>
    <row r="453">
      <c r="A453" s="13" t="n"/>
      <c r="B453" s="35" t="n"/>
      <c r="C453" s="13" t="n"/>
      <c r="D453" s="13" t="n"/>
      <c r="E453" s="13" t="n"/>
      <c r="F453" s="38" t="n"/>
      <c r="G453" s="39">
        <f>IF($F453="","",IF($F453&gt;=9,"Promotor",IF($F453&gt;=7,"Pasiv","Detractor")))</f>
        <v/>
      </c>
      <c r="H453" s="13" t="n"/>
      <c r="I453" s="13" t="n"/>
      <c r="J453" s="13" t="n"/>
      <c r="K453" s="13" t="n"/>
      <c r="L453" s="13" t="n"/>
      <c r="M453" s="13" t="n"/>
    </row>
    <row r="454">
      <c r="A454" s="13" t="n"/>
      <c r="B454" s="35" t="n"/>
      <c r="C454" s="13" t="n"/>
      <c r="D454" s="13" t="n"/>
      <c r="E454" s="13" t="n"/>
      <c r="F454" s="38" t="n"/>
      <c r="G454" s="39">
        <f>IF($F454="","",IF($F454&gt;=9,"Promotor",IF($F454&gt;=7,"Pasiv","Detractor")))</f>
        <v/>
      </c>
      <c r="H454" s="13" t="n"/>
      <c r="I454" s="13" t="n"/>
      <c r="J454" s="13" t="n"/>
      <c r="K454" s="13" t="n"/>
      <c r="L454" s="13" t="n"/>
      <c r="M454" s="13" t="n"/>
    </row>
    <row r="455">
      <c r="A455" s="13" t="n"/>
      <c r="B455" s="35" t="n"/>
      <c r="C455" s="13" t="n"/>
      <c r="D455" s="13" t="n"/>
      <c r="E455" s="13" t="n"/>
      <c r="F455" s="38" t="n"/>
      <c r="G455" s="39">
        <f>IF($F455="","",IF($F455&gt;=9,"Promotor",IF($F455&gt;=7,"Pasiv","Detractor")))</f>
        <v/>
      </c>
      <c r="H455" s="13" t="n"/>
      <c r="I455" s="13" t="n"/>
      <c r="J455" s="13" t="n"/>
      <c r="K455" s="13" t="n"/>
      <c r="L455" s="13" t="n"/>
      <c r="M455" s="13" t="n"/>
    </row>
    <row r="456">
      <c r="A456" s="13" t="n"/>
      <c r="B456" s="35" t="n"/>
      <c r="C456" s="13" t="n"/>
      <c r="D456" s="13" t="n"/>
      <c r="E456" s="13" t="n"/>
      <c r="F456" s="38" t="n"/>
      <c r="G456" s="39">
        <f>IF($F456="","",IF($F456&gt;=9,"Promotor",IF($F456&gt;=7,"Pasiv","Detractor")))</f>
        <v/>
      </c>
      <c r="H456" s="13" t="n"/>
      <c r="I456" s="13" t="n"/>
      <c r="J456" s="13" t="n"/>
      <c r="K456" s="13" t="n"/>
      <c r="L456" s="13" t="n"/>
      <c r="M456" s="13" t="n"/>
    </row>
    <row r="457">
      <c r="A457" s="13" t="n"/>
      <c r="B457" s="35" t="n"/>
      <c r="C457" s="13" t="n"/>
      <c r="D457" s="13" t="n"/>
      <c r="E457" s="13" t="n"/>
      <c r="F457" s="38" t="n"/>
      <c r="G457" s="39">
        <f>IF($F457="","",IF($F457&gt;=9,"Promotor",IF($F457&gt;=7,"Pasiv","Detractor")))</f>
        <v/>
      </c>
      <c r="H457" s="13" t="n"/>
      <c r="I457" s="13" t="n"/>
      <c r="J457" s="13" t="n"/>
      <c r="K457" s="13" t="n"/>
      <c r="L457" s="13" t="n"/>
      <c r="M457" s="13" t="n"/>
    </row>
    <row r="458">
      <c r="A458" s="13" t="n"/>
      <c r="B458" s="35" t="n"/>
      <c r="C458" s="13" t="n"/>
      <c r="D458" s="13" t="n"/>
      <c r="E458" s="13" t="n"/>
      <c r="F458" s="38" t="n"/>
      <c r="G458" s="39">
        <f>IF($F458="","",IF($F458&gt;=9,"Promotor",IF($F458&gt;=7,"Pasiv","Detractor")))</f>
        <v/>
      </c>
      <c r="H458" s="13" t="n"/>
      <c r="I458" s="13" t="n"/>
      <c r="J458" s="13" t="n"/>
      <c r="K458" s="13" t="n"/>
      <c r="L458" s="13" t="n"/>
      <c r="M458" s="13" t="n"/>
    </row>
    <row r="459">
      <c r="A459" s="13" t="n"/>
      <c r="B459" s="35" t="n"/>
      <c r="C459" s="13" t="n"/>
      <c r="D459" s="13" t="n"/>
      <c r="E459" s="13" t="n"/>
      <c r="F459" s="38" t="n"/>
      <c r="G459" s="39">
        <f>IF($F459="","",IF($F459&gt;=9,"Promotor",IF($F459&gt;=7,"Pasiv","Detractor")))</f>
        <v/>
      </c>
      <c r="H459" s="13" t="n"/>
      <c r="I459" s="13" t="n"/>
      <c r="J459" s="13" t="n"/>
      <c r="K459" s="13" t="n"/>
      <c r="L459" s="13" t="n"/>
      <c r="M459" s="13" t="n"/>
    </row>
    <row r="460">
      <c r="A460" s="13" t="n"/>
      <c r="B460" s="35" t="n"/>
      <c r="C460" s="13" t="n"/>
      <c r="D460" s="13" t="n"/>
      <c r="E460" s="13" t="n"/>
      <c r="F460" s="38" t="n"/>
      <c r="G460" s="39">
        <f>IF($F460="","",IF($F460&gt;=9,"Promotor",IF($F460&gt;=7,"Pasiv","Detractor")))</f>
        <v/>
      </c>
      <c r="H460" s="13" t="n"/>
      <c r="I460" s="13" t="n"/>
      <c r="J460" s="13" t="n"/>
      <c r="K460" s="13" t="n"/>
      <c r="L460" s="13" t="n"/>
      <c r="M460" s="13" t="n"/>
    </row>
    <row r="461">
      <c r="A461" s="13" t="n"/>
      <c r="B461" s="35" t="n"/>
      <c r="C461" s="13" t="n"/>
      <c r="D461" s="13" t="n"/>
      <c r="E461" s="13" t="n"/>
      <c r="F461" s="38" t="n"/>
      <c r="G461" s="39">
        <f>IF($F461="","",IF($F461&gt;=9,"Promotor",IF($F461&gt;=7,"Pasiv","Detractor")))</f>
        <v/>
      </c>
      <c r="H461" s="13" t="n"/>
      <c r="I461" s="13" t="n"/>
      <c r="J461" s="13" t="n"/>
      <c r="K461" s="13" t="n"/>
      <c r="L461" s="13" t="n"/>
      <c r="M461" s="13" t="n"/>
    </row>
    <row r="462">
      <c r="A462" s="13" t="n"/>
      <c r="B462" s="35" t="n"/>
      <c r="C462" s="13" t="n"/>
      <c r="D462" s="13" t="n"/>
      <c r="E462" s="13" t="n"/>
      <c r="F462" s="38" t="n"/>
      <c r="G462" s="39">
        <f>IF($F462="","",IF($F462&gt;=9,"Promotor",IF($F462&gt;=7,"Pasiv","Detractor")))</f>
        <v/>
      </c>
      <c r="H462" s="13" t="n"/>
      <c r="I462" s="13" t="n"/>
      <c r="J462" s="13" t="n"/>
      <c r="K462" s="13" t="n"/>
      <c r="L462" s="13" t="n"/>
      <c r="M462" s="13" t="n"/>
    </row>
    <row r="463">
      <c r="A463" s="13" t="n"/>
      <c r="B463" s="35" t="n"/>
      <c r="C463" s="13" t="n"/>
      <c r="D463" s="13" t="n"/>
      <c r="E463" s="13" t="n"/>
      <c r="F463" s="38" t="n"/>
      <c r="G463" s="39">
        <f>IF($F463="","",IF($F463&gt;=9,"Promotor",IF($F463&gt;=7,"Pasiv","Detractor")))</f>
        <v/>
      </c>
      <c r="H463" s="13" t="n"/>
      <c r="I463" s="13" t="n"/>
      <c r="J463" s="13" t="n"/>
      <c r="K463" s="13" t="n"/>
      <c r="L463" s="13" t="n"/>
      <c r="M463" s="13" t="n"/>
    </row>
    <row r="464">
      <c r="A464" s="13" t="n"/>
      <c r="B464" s="35" t="n"/>
      <c r="C464" s="13" t="n"/>
      <c r="D464" s="13" t="n"/>
      <c r="E464" s="13" t="n"/>
      <c r="F464" s="38" t="n"/>
      <c r="G464" s="39">
        <f>IF($F464="","",IF($F464&gt;=9,"Promotor",IF($F464&gt;=7,"Pasiv","Detractor")))</f>
        <v/>
      </c>
      <c r="H464" s="13" t="n"/>
      <c r="I464" s="13" t="n"/>
      <c r="J464" s="13" t="n"/>
      <c r="K464" s="13" t="n"/>
      <c r="L464" s="13" t="n"/>
      <c r="M464" s="13" t="n"/>
    </row>
    <row r="465">
      <c r="A465" s="13" t="n"/>
      <c r="B465" s="35" t="n"/>
      <c r="C465" s="13" t="n"/>
      <c r="D465" s="13" t="n"/>
      <c r="E465" s="13" t="n"/>
      <c r="F465" s="38" t="n"/>
      <c r="G465" s="39">
        <f>IF($F465="","",IF($F465&gt;=9,"Promotor",IF($F465&gt;=7,"Pasiv","Detractor")))</f>
        <v/>
      </c>
      <c r="H465" s="13" t="n"/>
      <c r="I465" s="13" t="n"/>
      <c r="J465" s="13" t="n"/>
      <c r="K465" s="13" t="n"/>
      <c r="L465" s="13" t="n"/>
      <c r="M465" s="13" t="n"/>
    </row>
    <row r="466">
      <c r="A466" s="13" t="n"/>
      <c r="B466" s="35" t="n"/>
      <c r="C466" s="13" t="n"/>
      <c r="D466" s="13" t="n"/>
      <c r="E466" s="13" t="n"/>
      <c r="F466" s="38" t="n"/>
      <c r="G466" s="39">
        <f>IF($F466="","",IF($F466&gt;=9,"Promotor",IF($F466&gt;=7,"Pasiv","Detractor")))</f>
        <v/>
      </c>
      <c r="H466" s="13" t="n"/>
      <c r="I466" s="13" t="n"/>
      <c r="J466" s="13" t="n"/>
      <c r="K466" s="13" t="n"/>
      <c r="L466" s="13" t="n"/>
      <c r="M466" s="13" t="n"/>
    </row>
    <row r="467">
      <c r="A467" s="13" t="n"/>
      <c r="B467" s="35" t="n"/>
      <c r="C467" s="13" t="n"/>
      <c r="D467" s="13" t="n"/>
      <c r="E467" s="13" t="n"/>
      <c r="F467" s="38" t="n"/>
      <c r="G467" s="39">
        <f>IF($F467="","",IF($F467&gt;=9,"Promotor",IF($F467&gt;=7,"Pasiv","Detractor")))</f>
        <v/>
      </c>
      <c r="H467" s="13" t="n"/>
      <c r="I467" s="13" t="n"/>
      <c r="J467" s="13" t="n"/>
      <c r="K467" s="13" t="n"/>
      <c r="L467" s="13" t="n"/>
      <c r="M467" s="13" t="n"/>
    </row>
    <row r="468">
      <c r="A468" s="13" t="n"/>
      <c r="B468" s="35" t="n"/>
      <c r="C468" s="13" t="n"/>
      <c r="D468" s="13" t="n"/>
      <c r="E468" s="13" t="n"/>
      <c r="F468" s="38" t="n"/>
      <c r="G468" s="39">
        <f>IF($F468="","",IF($F468&gt;=9,"Promotor",IF($F468&gt;=7,"Pasiv","Detractor")))</f>
        <v/>
      </c>
      <c r="H468" s="13" t="n"/>
      <c r="I468" s="13" t="n"/>
      <c r="J468" s="13" t="n"/>
      <c r="K468" s="13" t="n"/>
      <c r="L468" s="13" t="n"/>
      <c r="M468" s="13" t="n"/>
    </row>
    <row r="469">
      <c r="A469" s="13" t="n"/>
      <c r="B469" s="35" t="n"/>
      <c r="C469" s="13" t="n"/>
      <c r="D469" s="13" t="n"/>
      <c r="E469" s="13" t="n"/>
      <c r="F469" s="38" t="n"/>
      <c r="G469" s="39">
        <f>IF($F469="","",IF($F469&gt;=9,"Promotor",IF($F469&gt;=7,"Pasiv","Detractor")))</f>
        <v/>
      </c>
      <c r="H469" s="13" t="n"/>
      <c r="I469" s="13" t="n"/>
      <c r="J469" s="13" t="n"/>
      <c r="K469" s="13" t="n"/>
      <c r="L469" s="13" t="n"/>
      <c r="M469" s="13" t="n"/>
    </row>
    <row r="470">
      <c r="A470" s="13" t="n"/>
      <c r="B470" s="35" t="n"/>
      <c r="C470" s="13" t="n"/>
      <c r="D470" s="13" t="n"/>
      <c r="E470" s="13" t="n"/>
      <c r="F470" s="38" t="n"/>
      <c r="G470" s="39">
        <f>IF($F470="","",IF($F470&gt;=9,"Promotor",IF($F470&gt;=7,"Pasiv","Detractor")))</f>
        <v/>
      </c>
      <c r="H470" s="13" t="n"/>
      <c r="I470" s="13" t="n"/>
      <c r="J470" s="13" t="n"/>
      <c r="K470" s="13" t="n"/>
      <c r="L470" s="13" t="n"/>
      <c r="M470" s="13" t="n"/>
    </row>
    <row r="471">
      <c r="A471" s="13" t="n"/>
      <c r="B471" s="35" t="n"/>
      <c r="C471" s="13" t="n"/>
      <c r="D471" s="13" t="n"/>
      <c r="E471" s="13" t="n"/>
      <c r="F471" s="38" t="n"/>
      <c r="G471" s="39">
        <f>IF($F471="","",IF($F471&gt;=9,"Promotor",IF($F471&gt;=7,"Pasiv","Detractor")))</f>
        <v/>
      </c>
      <c r="H471" s="13" t="n"/>
      <c r="I471" s="13" t="n"/>
      <c r="J471" s="13" t="n"/>
      <c r="K471" s="13" t="n"/>
      <c r="L471" s="13" t="n"/>
      <c r="M471" s="13" t="n"/>
    </row>
    <row r="472">
      <c r="A472" s="13" t="n"/>
      <c r="B472" s="35" t="n"/>
      <c r="C472" s="13" t="n"/>
      <c r="D472" s="13" t="n"/>
      <c r="E472" s="13" t="n"/>
      <c r="F472" s="38" t="n"/>
      <c r="G472" s="39">
        <f>IF($F472="","",IF($F472&gt;=9,"Promotor",IF($F472&gt;=7,"Pasiv","Detractor")))</f>
        <v/>
      </c>
      <c r="H472" s="13" t="n"/>
      <c r="I472" s="13" t="n"/>
      <c r="J472" s="13" t="n"/>
      <c r="K472" s="13" t="n"/>
      <c r="L472" s="13" t="n"/>
      <c r="M472" s="13" t="n"/>
    </row>
    <row r="473">
      <c r="A473" s="13" t="n"/>
      <c r="B473" s="35" t="n"/>
      <c r="C473" s="13" t="n"/>
      <c r="D473" s="13" t="n"/>
      <c r="E473" s="13" t="n"/>
      <c r="F473" s="38" t="n"/>
      <c r="G473" s="39">
        <f>IF($F473="","",IF($F473&gt;=9,"Promotor",IF($F473&gt;=7,"Pasiv","Detractor")))</f>
        <v/>
      </c>
      <c r="H473" s="13" t="n"/>
      <c r="I473" s="13" t="n"/>
      <c r="J473" s="13" t="n"/>
      <c r="K473" s="13" t="n"/>
      <c r="L473" s="13" t="n"/>
      <c r="M473" s="13" t="n"/>
    </row>
    <row r="474">
      <c r="A474" s="13" t="n"/>
      <c r="B474" s="35" t="n"/>
      <c r="C474" s="13" t="n"/>
      <c r="D474" s="13" t="n"/>
      <c r="E474" s="13" t="n"/>
      <c r="F474" s="38" t="n"/>
      <c r="G474" s="39">
        <f>IF($F474="","",IF($F474&gt;=9,"Promotor",IF($F474&gt;=7,"Pasiv","Detractor")))</f>
        <v/>
      </c>
      <c r="H474" s="13" t="n"/>
      <c r="I474" s="13" t="n"/>
      <c r="J474" s="13" t="n"/>
      <c r="K474" s="13" t="n"/>
      <c r="L474" s="13" t="n"/>
      <c r="M474" s="13" t="n"/>
    </row>
    <row r="475">
      <c r="A475" s="13" t="n"/>
      <c r="B475" s="35" t="n"/>
      <c r="C475" s="13" t="n"/>
      <c r="D475" s="13" t="n"/>
      <c r="E475" s="13" t="n"/>
      <c r="F475" s="38" t="n"/>
      <c r="G475" s="39">
        <f>IF($F475="","",IF($F475&gt;=9,"Promotor",IF($F475&gt;=7,"Pasiv","Detractor")))</f>
        <v/>
      </c>
      <c r="H475" s="13" t="n"/>
      <c r="I475" s="13" t="n"/>
      <c r="J475" s="13" t="n"/>
      <c r="K475" s="13" t="n"/>
      <c r="L475" s="13" t="n"/>
      <c r="M475" s="13" t="n"/>
    </row>
    <row r="476">
      <c r="A476" s="13" t="n"/>
      <c r="B476" s="35" t="n"/>
      <c r="C476" s="13" t="n"/>
      <c r="D476" s="13" t="n"/>
      <c r="E476" s="13" t="n"/>
      <c r="F476" s="38" t="n"/>
      <c r="G476" s="39">
        <f>IF($F476="","",IF($F476&gt;=9,"Promotor",IF($F476&gt;=7,"Pasiv","Detractor")))</f>
        <v/>
      </c>
      <c r="H476" s="13" t="n"/>
      <c r="I476" s="13" t="n"/>
      <c r="J476" s="13" t="n"/>
      <c r="K476" s="13" t="n"/>
      <c r="L476" s="13" t="n"/>
      <c r="M476" s="13" t="n"/>
    </row>
    <row r="477">
      <c r="A477" s="13" t="n"/>
      <c r="B477" s="35" t="n"/>
      <c r="C477" s="13" t="n"/>
      <c r="D477" s="13" t="n"/>
      <c r="E477" s="13" t="n"/>
      <c r="F477" s="38" t="n"/>
      <c r="G477" s="39">
        <f>IF($F477="","",IF($F477&gt;=9,"Promotor",IF($F477&gt;=7,"Pasiv","Detractor")))</f>
        <v/>
      </c>
      <c r="H477" s="13" t="n"/>
      <c r="I477" s="13" t="n"/>
      <c r="J477" s="13" t="n"/>
      <c r="K477" s="13" t="n"/>
      <c r="L477" s="13" t="n"/>
      <c r="M477" s="13" t="n"/>
    </row>
    <row r="478">
      <c r="A478" s="13" t="n"/>
      <c r="B478" s="35" t="n"/>
      <c r="C478" s="13" t="n"/>
      <c r="D478" s="13" t="n"/>
      <c r="E478" s="13" t="n"/>
      <c r="F478" s="38" t="n"/>
      <c r="G478" s="39">
        <f>IF($F478="","",IF($F478&gt;=9,"Promotor",IF($F478&gt;=7,"Pasiv","Detractor")))</f>
        <v/>
      </c>
      <c r="H478" s="13" t="n"/>
      <c r="I478" s="13" t="n"/>
      <c r="J478" s="13" t="n"/>
      <c r="K478" s="13" t="n"/>
      <c r="L478" s="13" t="n"/>
      <c r="M478" s="13" t="n"/>
    </row>
    <row r="479">
      <c r="A479" s="13" t="n"/>
      <c r="B479" s="35" t="n"/>
      <c r="C479" s="13" t="n"/>
      <c r="D479" s="13" t="n"/>
      <c r="E479" s="13" t="n"/>
      <c r="F479" s="38" t="n"/>
      <c r="G479" s="39">
        <f>IF($F479="","",IF($F479&gt;=9,"Promotor",IF($F479&gt;=7,"Pasiv","Detractor")))</f>
        <v/>
      </c>
      <c r="H479" s="13" t="n"/>
      <c r="I479" s="13" t="n"/>
      <c r="J479" s="13" t="n"/>
      <c r="K479" s="13" t="n"/>
      <c r="L479" s="13" t="n"/>
      <c r="M479" s="13" t="n"/>
    </row>
    <row r="480">
      <c r="A480" s="13" t="n"/>
      <c r="B480" s="35" t="n"/>
      <c r="C480" s="13" t="n"/>
      <c r="D480" s="13" t="n"/>
      <c r="E480" s="13" t="n"/>
      <c r="F480" s="38" t="n"/>
      <c r="G480" s="39">
        <f>IF($F480="","",IF($F480&gt;=9,"Promotor",IF($F480&gt;=7,"Pasiv","Detractor")))</f>
        <v/>
      </c>
      <c r="H480" s="13" t="n"/>
      <c r="I480" s="13" t="n"/>
      <c r="J480" s="13" t="n"/>
      <c r="K480" s="13" t="n"/>
      <c r="L480" s="13" t="n"/>
      <c r="M480" s="13" t="n"/>
    </row>
    <row r="481">
      <c r="A481" s="13" t="n"/>
      <c r="B481" s="35" t="n"/>
      <c r="C481" s="13" t="n"/>
      <c r="D481" s="13" t="n"/>
      <c r="E481" s="13" t="n"/>
      <c r="F481" s="38" t="n"/>
      <c r="G481" s="39">
        <f>IF($F481="","",IF($F481&gt;=9,"Promotor",IF($F481&gt;=7,"Pasiv","Detractor")))</f>
        <v/>
      </c>
      <c r="H481" s="13" t="n"/>
      <c r="I481" s="13" t="n"/>
      <c r="J481" s="13" t="n"/>
      <c r="K481" s="13" t="n"/>
      <c r="L481" s="13" t="n"/>
      <c r="M481" s="13" t="n"/>
    </row>
    <row r="482">
      <c r="A482" s="13" t="n"/>
      <c r="B482" s="35" t="n"/>
      <c r="C482" s="13" t="n"/>
      <c r="D482" s="13" t="n"/>
      <c r="E482" s="13" t="n"/>
      <c r="F482" s="38" t="n"/>
      <c r="G482" s="39">
        <f>IF($F482="","",IF($F482&gt;=9,"Promotor",IF($F482&gt;=7,"Pasiv","Detractor")))</f>
        <v/>
      </c>
      <c r="H482" s="13" t="n"/>
      <c r="I482" s="13" t="n"/>
      <c r="J482" s="13" t="n"/>
      <c r="K482" s="13" t="n"/>
      <c r="L482" s="13" t="n"/>
      <c r="M482" s="13" t="n"/>
    </row>
    <row r="483">
      <c r="A483" s="13" t="n"/>
      <c r="B483" s="35" t="n"/>
      <c r="C483" s="13" t="n"/>
      <c r="D483" s="13" t="n"/>
      <c r="E483" s="13" t="n"/>
      <c r="F483" s="38" t="n"/>
      <c r="G483" s="39">
        <f>IF($F483="","",IF($F483&gt;=9,"Promotor",IF($F483&gt;=7,"Pasiv","Detractor")))</f>
        <v/>
      </c>
      <c r="H483" s="13" t="n"/>
      <c r="I483" s="13" t="n"/>
      <c r="J483" s="13" t="n"/>
      <c r="K483" s="13" t="n"/>
      <c r="L483" s="13" t="n"/>
      <c r="M483" s="13" t="n"/>
    </row>
    <row r="484">
      <c r="A484" s="13" t="n"/>
      <c r="B484" s="35" t="n"/>
      <c r="C484" s="13" t="n"/>
      <c r="D484" s="13" t="n"/>
      <c r="E484" s="13" t="n"/>
      <c r="F484" s="38" t="n"/>
      <c r="G484" s="39">
        <f>IF($F484="","",IF($F484&gt;=9,"Promotor",IF($F484&gt;=7,"Pasiv","Detractor")))</f>
        <v/>
      </c>
      <c r="H484" s="13" t="n"/>
      <c r="I484" s="13" t="n"/>
      <c r="J484" s="13" t="n"/>
      <c r="K484" s="13" t="n"/>
      <c r="L484" s="13" t="n"/>
      <c r="M484" s="13" t="n"/>
    </row>
    <row r="485">
      <c r="A485" s="13" t="n"/>
      <c r="B485" s="35" t="n"/>
      <c r="C485" s="13" t="n"/>
      <c r="D485" s="13" t="n"/>
      <c r="E485" s="13" t="n"/>
      <c r="F485" s="38" t="n"/>
      <c r="G485" s="39">
        <f>IF($F485="","",IF($F485&gt;=9,"Promotor",IF($F485&gt;=7,"Pasiv","Detractor")))</f>
        <v/>
      </c>
      <c r="H485" s="13" t="n"/>
      <c r="I485" s="13" t="n"/>
      <c r="J485" s="13" t="n"/>
      <c r="K485" s="13" t="n"/>
      <c r="L485" s="13" t="n"/>
      <c r="M485" s="13" t="n"/>
    </row>
    <row r="486">
      <c r="A486" s="13" t="n"/>
      <c r="B486" s="35" t="n"/>
      <c r="C486" s="13" t="n"/>
      <c r="D486" s="13" t="n"/>
      <c r="E486" s="13" t="n"/>
      <c r="F486" s="38" t="n"/>
      <c r="G486" s="39">
        <f>IF($F486="","",IF($F486&gt;=9,"Promotor",IF($F486&gt;=7,"Pasiv","Detractor")))</f>
        <v/>
      </c>
      <c r="H486" s="13" t="n"/>
      <c r="I486" s="13" t="n"/>
      <c r="J486" s="13" t="n"/>
      <c r="K486" s="13" t="n"/>
      <c r="L486" s="13" t="n"/>
      <c r="M486" s="13" t="n"/>
    </row>
    <row r="487">
      <c r="A487" s="13" t="n"/>
      <c r="B487" s="35" t="n"/>
      <c r="C487" s="13" t="n"/>
      <c r="D487" s="13" t="n"/>
      <c r="E487" s="13" t="n"/>
      <c r="F487" s="38" t="n"/>
      <c r="G487" s="39">
        <f>IF($F487="","",IF($F487&gt;=9,"Promotor",IF($F487&gt;=7,"Pasiv","Detractor")))</f>
        <v/>
      </c>
      <c r="H487" s="13" t="n"/>
      <c r="I487" s="13" t="n"/>
      <c r="J487" s="13" t="n"/>
      <c r="K487" s="13" t="n"/>
      <c r="L487" s="13" t="n"/>
      <c r="M487" s="13" t="n"/>
    </row>
    <row r="488">
      <c r="A488" s="13" t="n"/>
      <c r="B488" s="35" t="n"/>
      <c r="C488" s="13" t="n"/>
      <c r="D488" s="13" t="n"/>
      <c r="E488" s="13" t="n"/>
      <c r="F488" s="38" t="n"/>
      <c r="G488" s="39">
        <f>IF($F488="","",IF($F488&gt;=9,"Promotor",IF($F488&gt;=7,"Pasiv","Detractor")))</f>
        <v/>
      </c>
      <c r="H488" s="13" t="n"/>
      <c r="I488" s="13" t="n"/>
      <c r="J488" s="13" t="n"/>
      <c r="K488" s="13" t="n"/>
      <c r="L488" s="13" t="n"/>
      <c r="M488" s="13" t="n"/>
    </row>
    <row r="489">
      <c r="A489" s="13" t="n"/>
      <c r="B489" s="35" t="n"/>
      <c r="C489" s="13" t="n"/>
      <c r="D489" s="13" t="n"/>
      <c r="E489" s="13" t="n"/>
      <c r="F489" s="38" t="n"/>
      <c r="G489" s="39">
        <f>IF($F489="","",IF($F489&gt;=9,"Promotor",IF($F489&gt;=7,"Pasiv","Detractor")))</f>
        <v/>
      </c>
      <c r="H489" s="13" t="n"/>
      <c r="I489" s="13" t="n"/>
      <c r="J489" s="13" t="n"/>
      <c r="K489" s="13" t="n"/>
      <c r="L489" s="13" t="n"/>
      <c r="M489" s="13" t="n"/>
    </row>
    <row r="490">
      <c r="A490" s="13" t="n"/>
      <c r="B490" s="35" t="n"/>
      <c r="C490" s="13" t="n"/>
      <c r="D490" s="13" t="n"/>
      <c r="E490" s="13" t="n"/>
      <c r="F490" s="38" t="n"/>
      <c r="G490" s="39">
        <f>IF($F490="","",IF($F490&gt;=9,"Promotor",IF($F490&gt;=7,"Pasiv","Detractor")))</f>
        <v/>
      </c>
      <c r="H490" s="13" t="n"/>
      <c r="I490" s="13" t="n"/>
      <c r="J490" s="13" t="n"/>
      <c r="K490" s="13" t="n"/>
      <c r="L490" s="13" t="n"/>
      <c r="M490" s="13" t="n"/>
    </row>
    <row r="491">
      <c r="A491" s="13" t="n"/>
      <c r="B491" s="35" t="n"/>
      <c r="C491" s="13" t="n"/>
      <c r="D491" s="13" t="n"/>
      <c r="E491" s="13" t="n"/>
      <c r="F491" s="38" t="n"/>
      <c r="G491" s="39">
        <f>IF($F491="","",IF($F491&gt;=9,"Promotor",IF($F491&gt;=7,"Pasiv","Detractor")))</f>
        <v/>
      </c>
      <c r="H491" s="13" t="n"/>
      <c r="I491" s="13" t="n"/>
      <c r="J491" s="13" t="n"/>
      <c r="K491" s="13" t="n"/>
      <c r="L491" s="13" t="n"/>
      <c r="M491" s="13" t="n"/>
    </row>
    <row r="492">
      <c r="A492" s="13" t="n"/>
      <c r="B492" s="35" t="n"/>
      <c r="C492" s="13" t="n"/>
      <c r="D492" s="13" t="n"/>
      <c r="E492" s="13" t="n"/>
      <c r="F492" s="38" t="n"/>
      <c r="G492" s="39">
        <f>IF($F492="","",IF($F492&gt;=9,"Promotor",IF($F492&gt;=7,"Pasiv","Detractor")))</f>
        <v/>
      </c>
      <c r="H492" s="13" t="n"/>
      <c r="I492" s="13" t="n"/>
      <c r="J492" s="13" t="n"/>
      <c r="K492" s="13" t="n"/>
      <c r="L492" s="13" t="n"/>
      <c r="M492" s="13" t="n"/>
    </row>
    <row r="493">
      <c r="A493" s="13" t="n"/>
      <c r="B493" s="35" t="n"/>
      <c r="C493" s="13" t="n"/>
      <c r="D493" s="13" t="n"/>
      <c r="E493" s="13" t="n"/>
      <c r="F493" s="38" t="n"/>
      <c r="G493" s="39">
        <f>IF($F493="","",IF($F493&gt;=9,"Promotor",IF($F493&gt;=7,"Pasiv","Detractor")))</f>
        <v/>
      </c>
      <c r="H493" s="13" t="n"/>
      <c r="I493" s="13" t="n"/>
      <c r="J493" s="13" t="n"/>
      <c r="K493" s="13" t="n"/>
      <c r="L493" s="13" t="n"/>
      <c r="M493" s="13" t="n"/>
    </row>
    <row r="494">
      <c r="A494" s="13" t="n"/>
      <c r="B494" s="35" t="n"/>
      <c r="C494" s="13" t="n"/>
      <c r="D494" s="13" t="n"/>
      <c r="E494" s="13" t="n"/>
      <c r="F494" s="38" t="n"/>
      <c r="G494" s="39">
        <f>IF($F494="","",IF($F494&gt;=9,"Promotor",IF($F494&gt;=7,"Pasiv","Detractor")))</f>
        <v/>
      </c>
      <c r="H494" s="13" t="n"/>
      <c r="I494" s="13" t="n"/>
      <c r="J494" s="13" t="n"/>
      <c r="K494" s="13" t="n"/>
      <c r="L494" s="13" t="n"/>
      <c r="M494" s="13" t="n"/>
    </row>
    <row r="495">
      <c r="A495" s="13" t="n"/>
      <c r="B495" s="35" t="n"/>
      <c r="C495" s="13" t="n"/>
      <c r="D495" s="13" t="n"/>
      <c r="E495" s="13" t="n"/>
      <c r="F495" s="38" t="n"/>
      <c r="G495" s="39">
        <f>IF($F495="","",IF($F495&gt;=9,"Promotor",IF($F495&gt;=7,"Pasiv","Detractor")))</f>
        <v/>
      </c>
      <c r="H495" s="13" t="n"/>
      <c r="I495" s="13" t="n"/>
      <c r="J495" s="13" t="n"/>
      <c r="K495" s="13" t="n"/>
      <c r="L495" s="13" t="n"/>
      <c r="M495" s="13" t="n"/>
    </row>
    <row r="496">
      <c r="A496" s="13" t="n"/>
      <c r="B496" s="35" t="n"/>
      <c r="C496" s="13" t="n"/>
      <c r="D496" s="13" t="n"/>
      <c r="E496" s="13" t="n"/>
      <c r="F496" s="38" t="n"/>
      <c r="G496" s="39">
        <f>IF($F496="","",IF($F496&gt;=9,"Promotor",IF($F496&gt;=7,"Pasiv","Detractor")))</f>
        <v/>
      </c>
      <c r="H496" s="13" t="n"/>
      <c r="I496" s="13" t="n"/>
      <c r="J496" s="13" t="n"/>
      <c r="K496" s="13" t="n"/>
      <c r="L496" s="13" t="n"/>
      <c r="M496" s="13" t="n"/>
    </row>
    <row r="497">
      <c r="A497" s="13" t="n"/>
      <c r="B497" s="35" t="n"/>
      <c r="C497" s="13" t="n"/>
      <c r="D497" s="13" t="n"/>
      <c r="E497" s="13" t="n"/>
      <c r="F497" s="38" t="n"/>
      <c r="G497" s="39">
        <f>IF($F497="","",IF($F497&gt;=9,"Promotor",IF($F497&gt;=7,"Pasiv","Detractor")))</f>
        <v/>
      </c>
      <c r="H497" s="13" t="n"/>
      <c r="I497" s="13" t="n"/>
      <c r="J497" s="13" t="n"/>
      <c r="K497" s="13" t="n"/>
      <c r="L497" s="13" t="n"/>
      <c r="M497" s="13" t="n"/>
    </row>
    <row r="498">
      <c r="A498" s="13" t="n"/>
      <c r="B498" s="35" t="n"/>
      <c r="C498" s="13" t="n"/>
      <c r="D498" s="13" t="n"/>
      <c r="E498" s="13" t="n"/>
      <c r="F498" s="38" t="n"/>
      <c r="G498" s="39">
        <f>IF($F498="","",IF($F498&gt;=9,"Promotor",IF($F498&gt;=7,"Pasiv","Detractor")))</f>
        <v/>
      </c>
      <c r="H498" s="13" t="n"/>
      <c r="I498" s="13" t="n"/>
      <c r="J498" s="13" t="n"/>
      <c r="K498" s="13" t="n"/>
      <c r="L498" s="13" t="n"/>
      <c r="M498" s="13" t="n"/>
    </row>
    <row r="499">
      <c r="A499" s="13" t="n"/>
      <c r="B499" s="35" t="n"/>
      <c r="C499" s="13" t="n"/>
      <c r="D499" s="13" t="n"/>
      <c r="E499" s="13" t="n"/>
      <c r="F499" s="38" t="n"/>
      <c r="G499" s="39">
        <f>IF($F499="","",IF($F499&gt;=9,"Promotor",IF($F499&gt;=7,"Pasiv","Detractor")))</f>
        <v/>
      </c>
      <c r="H499" s="13" t="n"/>
      <c r="I499" s="13" t="n"/>
      <c r="J499" s="13" t="n"/>
      <c r="K499" s="13" t="n"/>
      <c r="L499" s="13" t="n"/>
      <c r="M499" s="13" t="n"/>
    </row>
    <row r="500">
      <c r="A500" s="13" t="n"/>
      <c r="B500" s="35" t="n"/>
      <c r="C500" s="13" t="n"/>
      <c r="D500" s="13" t="n"/>
      <c r="E500" s="13" t="n"/>
      <c r="F500" s="38" t="n"/>
      <c r="G500" s="39">
        <f>IF($F500="","",IF($F500&gt;=9,"Promotor",IF($F500&gt;=7,"Pasiv","Detractor")))</f>
        <v/>
      </c>
      <c r="H500" s="13" t="n"/>
      <c r="I500" s="13" t="n"/>
      <c r="J500" s="13" t="n"/>
      <c r="K500" s="13" t="n"/>
      <c r="L500" s="13" t="n"/>
      <c r="M500" s="13" t="n"/>
    </row>
    <row r="501">
      <c r="A501" s="13" t="n"/>
      <c r="B501" s="35" t="n"/>
      <c r="C501" s="13" t="n"/>
      <c r="D501" s="13" t="n"/>
      <c r="E501" s="13" t="n"/>
      <c r="F501" s="38" t="n"/>
      <c r="G501" s="39">
        <f>IF($F501="","",IF($F501&gt;=9,"Promotor",IF($F501&gt;=7,"Pasiv","Detractor")))</f>
        <v/>
      </c>
      <c r="H501" s="13" t="n"/>
      <c r="I501" s="13" t="n"/>
      <c r="J501" s="13" t="n"/>
      <c r="K501" s="13" t="n"/>
      <c r="L501" s="13" t="n"/>
      <c r="M501" s="13" t="n"/>
    </row>
    <row r="502">
      <c r="A502" s="13" t="n"/>
      <c r="B502" s="35" t="n"/>
      <c r="C502" s="13" t="n"/>
      <c r="D502" s="13" t="n"/>
      <c r="E502" s="13" t="n"/>
      <c r="F502" s="38" t="n"/>
      <c r="G502" s="39">
        <f>IF($F502="","",IF($F502&gt;=9,"Promotor",IF($F502&gt;=7,"Pasiv","Detractor")))</f>
        <v/>
      </c>
      <c r="H502" s="13" t="n"/>
      <c r="I502" s="13" t="n"/>
      <c r="J502" s="13" t="n"/>
      <c r="K502" s="13" t="n"/>
      <c r="L502" s="13" t="n"/>
      <c r="M502" s="13" t="n"/>
    </row>
    <row r="503">
      <c r="A503" s="13" t="n"/>
      <c r="B503" s="35" t="n"/>
      <c r="C503" s="13" t="n"/>
      <c r="D503" s="13" t="n"/>
      <c r="E503" s="13" t="n"/>
      <c r="F503" s="38" t="n"/>
      <c r="G503" s="39">
        <f>IF($F503="","",IF($F503&gt;=9,"Promotor",IF($F503&gt;=7,"Pasiv","Detractor")))</f>
        <v/>
      </c>
      <c r="H503" s="13" t="n"/>
      <c r="I503" s="13" t="n"/>
      <c r="J503" s="13" t="n"/>
      <c r="K503" s="13" t="n"/>
      <c r="L503" s="13" t="n"/>
      <c r="M503" s="13" t="n"/>
    </row>
    <row r="504">
      <c r="A504" s="13" t="n"/>
      <c r="B504" s="35" t="n"/>
      <c r="C504" s="13" t="n"/>
      <c r="D504" s="13" t="n"/>
      <c r="E504" s="13" t="n"/>
      <c r="F504" s="38" t="n"/>
      <c r="G504" s="39">
        <f>IF($F504="","",IF($F504&gt;=9,"Promotor",IF($F504&gt;=7,"Pasiv","Detractor")))</f>
        <v/>
      </c>
      <c r="H504" s="13" t="n"/>
      <c r="I504" s="13" t="n"/>
      <c r="J504" s="13" t="n"/>
      <c r="K504" s="13" t="n"/>
      <c r="L504" s="13" t="n"/>
      <c r="M504" s="13" t="n"/>
    </row>
  </sheetData>
  <autoFilter ref="A4:M504"/>
  <dataValidations count="2">
    <dataValidation sqref="I5:I504" showDropDown="0" showInputMessage="0" showErrorMessage="0" allowBlank="1" errorTitle="Valoare neacceptată" error="Valoare în afara listei permise. Alege din listă sau completează lista de valori." type="list">
      <formula1>='90_LISTE'!$P$2:$P$9</formula1>
    </dataValidation>
    <dataValidation sqref="M5:M504" showDropDown="0" showInputMessage="0" showErrorMessage="0" allowBlank="1" errorTitle="Valoare neacceptată" error="Valoare în afara listei permise. Alege din listă sau completează lista de valori." type="list">
      <formula1>='90_LISTE'!$S$2:$S$5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9" customWidth="1" min="3" max="3"/>
    <col width="15" customWidth="1" min="4" max="4"/>
    <col width="11" customWidth="1" min="5" max="5"/>
    <col width="60" customWidth="1" min="6" max="6"/>
  </cols>
  <sheetData>
    <row r="1" ht="26" customHeight="1">
      <c r="A1" s="1" t="inlineStr">
        <is>
          <t>20 — KPI (perioada curentă vs. perioada de comparație)</t>
        </is>
      </c>
    </row>
    <row r="2" ht="16" customHeight="1">
      <c r="A2" s="41" t="inlineStr">
        <is>
          <t>Toate valorile se recalculează din 09_PARAMETRI. Nu se scrie nimic în această foaie.</t>
        </is>
      </c>
    </row>
    <row r="3">
      <c r="B3" s="42">
        <f>'09_PARAMETRI'!$B$5</f>
        <v/>
      </c>
      <c r="C3" s="42">
        <f>'09_PARAMETRI'!$B$7</f>
        <v/>
      </c>
    </row>
    <row r="4" ht="32" customHeight="1">
      <c r="A4" s="15" t="inlineStr">
        <is>
          <t>KPI</t>
        </is>
      </c>
      <c r="B4" s="15" t="inlineStr">
        <is>
          <t>Perioada curentă</t>
        </is>
      </c>
      <c r="C4" s="15" t="inlineStr">
        <is>
          <t>Perioada comparativă</t>
        </is>
      </c>
      <c r="D4" s="15" t="inlineStr">
        <is>
          <t>Δ</t>
        </is>
      </c>
      <c r="E4" s="15" t="inlineStr">
        <is>
          <t>Δ %</t>
        </is>
      </c>
      <c r="F4" s="15" t="inlineStr">
        <is>
          <t>Ce înseamnă</t>
        </is>
      </c>
    </row>
    <row r="5" ht="18" customHeight="1">
      <c r="A5" s="21" t="inlineStr">
        <is>
          <t>VENIT ȘI PROFIT</t>
        </is>
      </c>
      <c r="B5" s="22" t="n"/>
      <c r="C5" s="22" t="n"/>
      <c r="D5" s="22" t="n"/>
      <c r="E5" s="22" t="n"/>
      <c r="F5" s="22" t="n"/>
    </row>
    <row r="6" ht="22" customHeight="1">
      <c r="A6" s="12" t="inlineStr">
        <is>
          <t>Venit net</t>
        </is>
      </c>
      <c r="B6" s="43">
        <f>SUMIFS('13_VANZARI'!$H$5:$H$1004,'13_VANZARI'!$A$5:$A$1004,"&gt;="&amp;'09_PARAMETRI'!$B$5,'13_VANZARI'!$A$5:$A$1004,"&lt;="&amp;'09_PARAMETRI'!$B$6)</f>
        <v/>
      </c>
      <c r="C6" s="24">
        <f>SUMIFS('13_VANZARI'!$H$5:$H$1004,'13_VANZARI'!$A$5:$A$1004,"&gt;="&amp;'09_PARAMETRI'!$B$7,'13_VANZARI'!$A$5:$A$1004,"&lt;="&amp;'09_PARAMETRI'!$B$8)</f>
        <v/>
      </c>
      <c r="D6" s="24">
        <f>IFERROR(IF(OR(B6="",C6=""),"",B6-C6),"")</f>
        <v/>
      </c>
      <c r="E6" s="25">
        <f>IFERROR(IF(OR(C6=0,C6=""),"",(B6-C6)/ABS(C6)),"")</f>
        <v/>
      </c>
      <c r="F6" s="44" t="inlineStr">
        <is>
          <t>Venitul total fără TVA din perioada selectată.</t>
        </is>
      </c>
    </row>
    <row r="7" ht="22" customHeight="1">
      <c r="A7" s="12" t="inlineStr">
        <is>
          <t>Profit brut</t>
        </is>
      </c>
      <c r="B7" s="43">
        <f>SUMIFS('13_VANZARI'!$K$5:$K$1004,'13_VANZARI'!$A$5:$A$1004,"&gt;="&amp;'09_PARAMETRI'!$B$5,'13_VANZARI'!$A$5:$A$1004,"&lt;="&amp;'09_PARAMETRI'!$B$6)</f>
        <v/>
      </c>
      <c r="C7" s="24">
        <f>SUMIFS('13_VANZARI'!$K$5:$K$1004,'13_VANZARI'!$A$5:$A$1004,"&gt;="&amp;'09_PARAMETRI'!$B$7,'13_VANZARI'!$A$5:$A$1004,"&lt;="&amp;'09_PARAMETRI'!$B$8)</f>
        <v/>
      </c>
      <c r="D7" s="24">
        <f>IFERROR(IF(OR(B7="",C7=""),"",B7-C7),"")</f>
        <v/>
      </c>
      <c r="E7" s="25">
        <f>IFERROR(IF(OR(C7=0,C7=""),"",(B7-C7)/ABS(C7)),"")</f>
        <v/>
      </c>
      <c r="F7" s="44" t="inlineStr">
        <is>
          <t>Venit net minus costurile directe.</t>
        </is>
      </c>
    </row>
    <row r="8" ht="22" customHeight="1">
      <c r="A8" s="12" t="inlineStr">
        <is>
          <t>Marjă brută %</t>
        </is>
      </c>
      <c r="B8" s="45">
        <f>IFERROR(SUMIFS('13_VANZARI'!$K$5:$K$1004,'13_VANZARI'!$A$5:$A$1004,"&gt;="&amp;'09_PARAMETRI'!$B$5,'13_VANZARI'!$A$5:$A$1004,"&lt;="&amp;'09_PARAMETRI'!$B$6)/SUMIFS('13_VANZARI'!$H$5:$H$1004,'13_VANZARI'!$A$5:$A$1004,"&gt;="&amp;'09_PARAMETRI'!$B$5,'13_VANZARI'!$A$5:$A$1004,"&lt;="&amp;'09_PARAMETRI'!$B$6),0)</f>
        <v/>
      </c>
      <c r="C8" s="25">
        <f>IFERROR(SUMIFS('13_VANZARI'!$K$5:$K$1004,'13_VANZARI'!$A$5:$A$1004,"&gt;="&amp;'09_PARAMETRI'!$B$7,'13_VANZARI'!$A$5:$A$1004,"&lt;="&amp;'09_PARAMETRI'!$B$8)/SUMIFS('13_VANZARI'!$H$5:$H$1004,'13_VANZARI'!$A$5:$A$1004,"&gt;="&amp;'09_PARAMETRI'!$B$7,'13_VANZARI'!$A$5:$A$1004,"&lt;="&amp;'09_PARAMETRI'!$B$8),0)</f>
        <v/>
      </c>
      <c r="D8" s="25">
        <f>IFERROR(IF(OR(B8="",C8=""),"",B8-C8),"")</f>
        <v/>
      </c>
      <c r="E8" s="46" t="inlineStr">
        <is>
          <t>—</t>
        </is>
      </c>
      <c r="F8" s="44" t="inlineStr">
        <is>
          <t>Profit brut / venit net. Compară cu pragul din 09_PARAMETRI.</t>
        </is>
      </c>
    </row>
    <row r="9" ht="22" customHeight="1">
      <c r="A9" s="12" t="inlineStr">
        <is>
          <t>Discount acordat</t>
        </is>
      </c>
      <c r="B9" s="43">
        <f>SUMIFS('13_VANZARI'!$I$5:$I$1004,'13_VANZARI'!$A$5:$A$1004,"&gt;="&amp;'09_PARAMETRI'!$B$5,'13_VANZARI'!$A$5:$A$1004,"&lt;="&amp;'09_PARAMETRI'!$B$6)</f>
        <v/>
      </c>
      <c r="C9" s="24">
        <f>SUMIFS('13_VANZARI'!$I$5:$I$1004,'13_VANZARI'!$A$5:$A$1004,"&gt;="&amp;'09_PARAMETRI'!$B$7,'13_VANZARI'!$A$5:$A$1004,"&lt;="&amp;'09_PARAMETRI'!$B$8)</f>
        <v/>
      </c>
      <c r="D9" s="24">
        <f>IFERROR(IF(OR(B9="",C9=""),"",B9-C9),"")</f>
        <v/>
      </c>
      <c r="E9" s="25">
        <f>IFERROR(IF(OR(C9=0,C9=""),"",(B9-C9)/ABS(C9)),"")</f>
        <v/>
      </c>
      <c r="F9" s="44" t="inlineStr">
        <is>
          <t>Cât s-a lăsat din preț. Creșterea lui erodează marja.</t>
        </is>
      </c>
    </row>
    <row r="10" ht="22" customHeight="1">
      <c r="A10" s="12" t="inlineStr">
        <is>
          <t>Unități vândute</t>
        </is>
      </c>
      <c r="B10" s="43">
        <f>SUMIFS('13_VANZARI'!$G$5:$G$1004,'13_VANZARI'!$A$5:$A$1004,"&gt;="&amp;'09_PARAMETRI'!$B$5,'13_VANZARI'!$A$5:$A$1004,"&lt;="&amp;'09_PARAMETRI'!$B$6)</f>
        <v/>
      </c>
      <c r="C10" s="24">
        <f>SUMIFS('13_VANZARI'!$G$5:$G$1004,'13_VANZARI'!$A$5:$A$1004,"&gt;="&amp;'09_PARAMETRI'!$B$7,'13_VANZARI'!$A$5:$A$1004,"&lt;="&amp;'09_PARAMETRI'!$B$8)</f>
        <v/>
      </c>
      <c r="D10" s="24">
        <f>IFERROR(IF(OR(B10="",C10=""),"",B10-C10),"")</f>
        <v/>
      </c>
      <c r="E10" s="25">
        <f>IFERROR(IF(OR(C10=0,C10=""),"",(B10-C10)/ABS(C10)),"")</f>
        <v/>
      </c>
      <c r="F10" s="44" t="inlineStr">
        <is>
          <t>Separă creșterea de volum de creșterea de preț.</t>
        </is>
      </c>
    </row>
    <row r="11" ht="22" customHeight="1">
      <c r="A11" s="12" t="inlineStr">
        <is>
          <t>Preț mediu / unitate</t>
        </is>
      </c>
      <c r="B11" s="47">
        <f>IFERROR(SUMIFS('13_VANZARI'!$H$5:$H$1004,'13_VANZARI'!$A$5:$A$1004,"&gt;="&amp;'09_PARAMETRI'!$B$5,'13_VANZARI'!$A$5:$A$1004,"&lt;="&amp;'09_PARAMETRI'!$B$6)/SUMIFS('13_VANZARI'!$G$5:$G$1004,'13_VANZARI'!$A$5:$A$1004,"&gt;="&amp;'09_PARAMETRI'!$B$5,'13_VANZARI'!$A$5:$A$1004,"&lt;="&amp;'09_PARAMETRI'!$B$6),0)</f>
        <v/>
      </c>
      <c r="C11" s="48">
        <f>IFERROR(SUMIFS('13_VANZARI'!$H$5:$H$1004,'13_VANZARI'!$A$5:$A$1004,"&gt;="&amp;'09_PARAMETRI'!$B$7,'13_VANZARI'!$A$5:$A$1004,"&lt;="&amp;'09_PARAMETRI'!$B$8)/SUMIFS('13_VANZARI'!$G$5:$G$1004,'13_VANZARI'!$A$5:$A$1004,"&gt;="&amp;'09_PARAMETRI'!$B$7,'13_VANZARI'!$A$5:$A$1004,"&lt;="&amp;'09_PARAMETRI'!$B$8),0)</f>
        <v/>
      </c>
      <c r="D11" s="48">
        <f>IFERROR(IF(OR(B11="",C11=""),"",B11-C11),"")</f>
        <v/>
      </c>
      <c r="E11" s="25">
        <f>IFERROR(IF(OR(C11=0,C11=""),"",(B11-C11)/ABS(C11)),"")</f>
        <v/>
      </c>
      <c r="F11" s="44" t="inlineStr">
        <is>
          <t>Venit net / unități. Arată dacă prețul crește sau se erodează.</t>
        </is>
      </c>
    </row>
    <row r="12" ht="18" customHeight="1">
      <c r="A12" s="21" t="inlineStr">
        <is>
          <t>CLIENȚI</t>
        </is>
      </c>
      <c r="B12" s="22" t="n"/>
      <c r="C12" s="22" t="n"/>
      <c r="D12" s="22" t="n"/>
      <c r="E12" s="22" t="n"/>
      <c r="F12" s="22" t="n"/>
    </row>
    <row r="13" ht="22" customHeight="1">
      <c r="A13" s="12" t="inlineStr">
        <is>
          <t>Clienți activi</t>
        </is>
      </c>
      <c r="B13" s="43">
        <f>SUMPRODUCT(('10_CLIENTI'!$A$5:$A$204&lt;&gt;"")*(SUMIFS('13_VANZARI'!$H$5:$H$1004,'13_VANZARI'!$D$5:$D$1004,'10_CLIENTI'!$A$5:$A$204,'13_VANZARI'!$A$5:$A$1004,"&gt;="&amp;'09_PARAMETRI'!$B$5,'13_VANZARI'!$A$5:$A$1004,"&lt;="&amp;'09_PARAMETRI'!$B$6)&lt;&gt;0))</f>
        <v/>
      </c>
      <c r="C13" s="24">
        <f>SUMPRODUCT(('10_CLIENTI'!$A$5:$A$204&lt;&gt;"")*(SUMIFS('13_VANZARI'!$H$5:$H$1004,'13_VANZARI'!$D$5:$D$1004,'10_CLIENTI'!$A$5:$A$204,'13_VANZARI'!$A$5:$A$1004,"&gt;="&amp;'09_PARAMETRI'!$B$7,'13_VANZARI'!$A$5:$A$1004,"&lt;="&amp;'09_PARAMETRI'!$B$8)&lt;&gt;0))</f>
        <v/>
      </c>
      <c r="D13" s="24">
        <f>IFERROR(IF(OR(B13="",C13=""),"",B13-C13),"")</f>
        <v/>
      </c>
      <c r="E13" s="25">
        <f>IFERROR(IF(OR(C13=0,C13=""),"",(B13-C13)/ABS(C13)),"")</f>
        <v/>
      </c>
      <c r="F13" s="44" t="inlineStr">
        <is>
          <t>Clienți cu cel puțin o tranzacție în perioadă.</t>
        </is>
      </c>
    </row>
    <row r="14" ht="22" customHeight="1">
      <c r="A14" s="12" t="inlineStr">
        <is>
          <t>Clienți noi</t>
        </is>
      </c>
      <c r="B14" s="43">
        <f>SUMPRODUCT(('10_CLIENTI'!$A$5:$A$204&lt;&gt;"")*(SUMIFS('13_VANZARI'!$H$5:$H$1004,'13_VANZARI'!$D$5:$D$1004,'10_CLIENTI'!$A$5:$A$204,'13_VANZARI'!$A$5:$A$1004,"&lt;"&amp;'09_PARAMETRI'!$B$5)=0)*(SUMIFS('13_VANZARI'!$H$5:$H$1004,'13_VANZARI'!$D$5:$D$1004,'10_CLIENTI'!$A$5:$A$204,'13_VANZARI'!$A$5:$A$1004,"&gt;="&amp;'09_PARAMETRI'!$B$5,'13_VANZARI'!$A$5:$A$1004,"&lt;="&amp;'09_PARAMETRI'!$B$6)&lt;&gt;0))</f>
        <v/>
      </c>
      <c r="C14" s="24">
        <f>SUMPRODUCT(('10_CLIENTI'!$A$5:$A$204&lt;&gt;"")*(SUMIFS('13_VANZARI'!$H$5:$H$1004,'13_VANZARI'!$D$5:$D$1004,'10_CLIENTI'!$A$5:$A$204,'13_VANZARI'!$A$5:$A$1004,"&lt;"&amp;'09_PARAMETRI'!$B$7)=0)*(SUMIFS('13_VANZARI'!$H$5:$H$1004,'13_VANZARI'!$D$5:$D$1004,'10_CLIENTI'!$A$5:$A$204,'13_VANZARI'!$A$5:$A$1004,"&gt;="&amp;'09_PARAMETRI'!$B$7,'13_VANZARI'!$A$5:$A$1004,"&lt;="&amp;'09_PARAMETRI'!$B$8)&lt;&gt;0))</f>
        <v/>
      </c>
      <c r="D14" s="24">
        <f>IFERROR(IF(OR(B14="",C14=""),"",B14-C14),"")</f>
        <v/>
      </c>
      <c r="E14" s="25">
        <f>IFERROR(IF(OR(C14=0,C14=""),"",(B14-C14)/ABS(C14)),"")</f>
        <v/>
      </c>
      <c r="F14" s="44" t="inlineStr">
        <is>
          <t>Clienți fără nicio achiziție înainte de perioada curentă.</t>
        </is>
      </c>
    </row>
    <row r="15" ht="22" customHeight="1">
      <c r="A15" s="12" t="inlineStr">
        <is>
          <t>Venit mediu / client</t>
        </is>
      </c>
      <c r="B15" s="43">
        <f>IFERROR(SUMIFS('13_VANZARI'!$H$5:$H$1004,'13_VANZARI'!$A$5:$A$1004,"&gt;="&amp;'09_PARAMETRI'!$B$5,'13_VANZARI'!$A$5:$A$1004,"&lt;="&amp;'09_PARAMETRI'!$B$6)/(SUMPRODUCT(('10_CLIENTI'!$A$5:$A$204&lt;&gt;"")*(SUMIFS('13_VANZARI'!$H$5:$H$1004,'13_VANZARI'!$D$5:$D$1004,'10_CLIENTI'!$A$5:$A$204,'13_VANZARI'!$A$5:$A$1004,"&gt;="&amp;'09_PARAMETRI'!$B$5,'13_VANZARI'!$A$5:$A$1004,"&lt;="&amp;'09_PARAMETRI'!$B$6)&lt;&gt;0))),0)</f>
        <v/>
      </c>
      <c r="C15" s="24">
        <f>IFERROR(SUMIFS('13_VANZARI'!$H$5:$H$1004,'13_VANZARI'!$A$5:$A$1004,"&gt;="&amp;'09_PARAMETRI'!$B$7,'13_VANZARI'!$A$5:$A$1004,"&lt;="&amp;'09_PARAMETRI'!$B$8)/(SUMPRODUCT(('10_CLIENTI'!$A$5:$A$204&lt;&gt;"")*(SUMIFS('13_VANZARI'!$H$5:$H$1004,'13_VANZARI'!$D$5:$D$1004,'10_CLIENTI'!$A$5:$A$204,'13_VANZARI'!$A$5:$A$1004,"&gt;="&amp;'09_PARAMETRI'!$B$7,'13_VANZARI'!$A$5:$A$1004,"&lt;="&amp;'09_PARAMETRI'!$B$8)&lt;&gt;0))),0)</f>
        <v/>
      </c>
      <c r="D15" s="24">
        <f>IFERROR(IF(OR(B15="",C15=""),"",B15-C15),"")</f>
        <v/>
      </c>
      <c r="E15" s="25">
        <f>IFERROR(IF(OR(C15=0,C15=""),"",(B15-C15)/ABS(C15)),"")</f>
        <v/>
      </c>
      <c r="F15" s="44" t="inlineStr">
        <is>
          <t>Arată dacă creșterea vine din clienți noi sau din adâncirea relației.</t>
        </is>
      </c>
    </row>
    <row r="16" ht="22" customHeight="1">
      <c r="A16" s="12" t="inlineStr">
        <is>
          <t>Număr de linii / facturi</t>
        </is>
      </c>
      <c r="B16" s="43">
        <f>SUMPRODUCT(('13_VANZARI'!$A$5:$A$1004&gt;='09_PARAMETRI'!$B$5)*('13_VANZARI'!$A$5:$A$1004&lt;='09_PARAMETRI'!$B$6)*('13_VANZARI'!$H$5:$H$1004&lt;&gt;""))</f>
        <v/>
      </c>
      <c r="C16" s="24">
        <f>SUMPRODUCT(('13_VANZARI'!$A$5:$A$1004&gt;='09_PARAMETRI'!$B$7)*('13_VANZARI'!$A$5:$A$1004&lt;='09_PARAMETRI'!$B$8)*('13_VANZARI'!$H$5:$H$1004&lt;&gt;""))</f>
        <v/>
      </c>
      <c r="D16" s="24">
        <f>IFERROR(IF(OR(B16="",C16=""),"",B16-C16),"")</f>
        <v/>
      </c>
      <c r="E16" s="25">
        <f>IFERROR(IF(OR(C16=0,C16=""),"",(B16-C16)/ABS(C16)),"")</f>
        <v/>
      </c>
      <c r="F16" s="44" t="inlineStr">
        <is>
          <t>Frecvența comenzilor.</t>
        </is>
      </c>
    </row>
    <row r="17" ht="22" customHeight="1">
      <c r="A17" s="12" t="inlineStr">
        <is>
          <t>Valoare medie per linie</t>
        </is>
      </c>
      <c r="B17" s="43">
        <f>IFERROR(SUMIFS('13_VANZARI'!$H$5:$H$1004,'13_VANZARI'!$A$5:$A$1004,"&gt;="&amp;'09_PARAMETRI'!$B$5,'13_VANZARI'!$A$5:$A$1004,"&lt;="&amp;'09_PARAMETRI'!$B$6)/(SUMPRODUCT(('13_VANZARI'!$A$5:$A$1004&gt;='09_PARAMETRI'!$B$5)*('13_VANZARI'!$A$5:$A$1004&lt;='09_PARAMETRI'!$B$6)*('13_VANZARI'!$H$5:$H$1004&lt;&gt;""))),0)</f>
        <v/>
      </c>
      <c r="C17" s="24">
        <f>IFERROR(SUMIFS('13_VANZARI'!$H$5:$H$1004,'13_VANZARI'!$A$5:$A$1004,"&gt;="&amp;'09_PARAMETRI'!$B$7,'13_VANZARI'!$A$5:$A$1004,"&lt;="&amp;'09_PARAMETRI'!$B$8)/(SUMPRODUCT(('13_VANZARI'!$A$5:$A$1004&gt;='09_PARAMETRI'!$B$7)*('13_VANZARI'!$A$5:$A$1004&lt;='09_PARAMETRI'!$B$8)*('13_VANZARI'!$H$5:$H$1004&lt;&gt;""))),0)</f>
        <v/>
      </c>
      <c r="D17" s="24">
        <f>IFERROR(IF(OR(B17="",C17=""),"",B17-C17),"")</f>
        <v/>
      </c>
      <c r="E17" s="25">
        <f>IFERROR(IF(OR(C17=0,C17=""),"",(B17-C17)/ABS(C17)),"")</f>
        <v/>
      </c>
      <c r="F17" s="44" t="inlineStr">
        <is>
          <t>Venit net / număr de linii.</t>
        </is>
      </c>
    </row>
    <row r="18" ht="22" customHeight="1">
      <c r="A18" s="12" t="inlineStr">
        <is>
          <t>Concentrare — cel mai mare client</t>
        </is>
      </c>
      <c r="B18" s="45">
        <f>IFERROR(SUMPRODUCT(MAX(('10_CLIENTI'!$A$5:$A$204&lt;&gt;"")*SUMIFS('13_VANZARI'!$H$5:$H$1004,'13_VANZARI'!$D$5:$D$1004,'10_CLIENTI'!$A$5:$A$204,'13_VANZARI'!$A$5:$A$1004,"&gt;="&amp;'09_PARAMETRI'!$B$5,'13_VANZARI'!$A$5:$A$1004,"&lt;="&amp;'09_PARAMETRI'!$B$6)))/SUMIFS('13_VANZARI'!$H$5:$H$1004,'13_VANZARI'!$A$5:$A$1004,"&gt;="&amp;'09_PARAMETRI'!$B$5,'13_VANZARI'!$A$5:$A$1004,"&lt;="&amp;'09_PARAMETRI'!$B$6),0)</f>
        <v/>
      </c>
      <c r="C18" s="25">
        <f>IFERROR(SUMPRODUCT(MAX(('10_CLIENTI'!$A$5:$A$204&lt;&gt;"")*SUMIFS('13_VANZARI'!$H$5:$H$1004,'13_VANZARI'!$D$5:$D$1004,'10_CLIENTI'!$A$5:$A$204,'13_VANZARI'!$A$5:$A$1004,"&gt;="&amp;'09_PARAMETRI'!$B$7,'13_VANZARI'!$A$5:$A$1004,"&lt;="&amp;'09_PARAMETRI'!$B$8)))/SUMIFS('13_VANZARI'!$H$5:$H$1004,'13_VANZARI'!$A$5:$A$1004,"&gt;="&amp;'09_PARAMETRI'!$B$7,'13_VANZARI'!$A$5:$A$1004,"&lt;="&amp;'09_PARAMETRI'!$B$8),0)</f>
        <v/>
      </c>
      <c r="D18" s="25">
        <f>IFERROR(IF(OR(B18="",C18=""),"",B18-C18),"")</f>
        <v/>
      </c>
      <c r="E18" s="46" t="inlineStr">
        <is>
          <t>—</t>
        </is>
      </c>
      <c r="F18" s="44" t="inlineStr">
        <is>
          <t>Ce procent din venit vine de la un singur client. Peste pragul setat = risc.</t>
        </is>
      </c>
    </row>
    <row r="19" ht="18" customHeight="1">
      <c r="A19" s="21" t="inlineStr">
        <is>
          <t>OAMENI</t>
        </is>
      </c>
      <c r="B19" s="22" t="n"/>
      <c r="C19" s="22" t="n"/>
      <c r="D19" s="22" t="n"/>
      <c r="E19" s="22" t="n"/>
      <c r="F19" s="22" t="n"/>
    </row>
    <row r="20" ht="22" customHeight="1">
      <c r="A20" s="12" t="inlineStr">
        <is>
          <t>FTE activ</t>
        </is>
      </c>
      <c r="B20" s="47">
        <f>SUMPRODUCT(('12_OAMENI'!$A$5:$A$64&lt;&gt;"")*('12_OAMENI'!$F$5:$F$64&lt;='09_PARAMETRI'!$B$6)*(('12_OAMENI'!$G$5:$G$64="")+('12_OAMENI'!$G$5:$G$64&gt;='09_PARAMETRI'!$B$5))*'12_OAMENI'!$E$5:$E$64)</f>
        <v/>
      </c>
      <c r="C20" s="48">
        <f>SUMPRODUCT(('12_OAMENI'!$A$5:$A$64&lt;&gt;"")*('12_OAMENI'!$F$5:$F$64&lt;='09_PARAMETRI'!$B$8)*(('12_OAMENI'!$G$5:$G$64="")+('12_OAMENI'!$G$5:$G$64&gt;='09_PARAMETRI'!$B$7))*'12_OAMENI'!$E$5:$E$64)</f>
        <v/>
      </c>
      <c r="D20" s="48">
        <f>IFERROR(IF(OR(B20="",C20=""),"",B20-C20),"")</f>
        <v/>
      </c>
      <c r="E20" s="25">
        <f>IFERROR(IF(OR(C20=0,C20=""),"",(B20-C20)/ABS(C20)),"")</f>
        <v/>
      </c>
      <c r="F20" s="44" t="inlineStr">
        <is>
          <t>Normă întreagă echivalentă, activă în perioadă.</t>
        </is>
      </c>
    </row>
    <row r="21" ht="22" customHeight="1">
      <c r="A21" s="12" t="inlineStr">
        <is>
          <t>Venit / FTE</t>
        </is>
      </c>
      <c r="B21" s="43">
        <f>IFERROR(SUMIFS('13_VANZARI'!$H$5:$H$1004,'13_VANZARI'!$A$5:$A$1004,"&gt;="&amp;'09_PARAMETRI'!$B$5,'13_VANZARI'!$A$5:$A$1004,"&lt;="&amp;'09_PARAMETRI'!$B$6)/(SUMPRODUCT(('12_OAMENI'!$A$5:$A$64&lt;&gt;"")*('12_OAMENI'!$F$5:$F$64&lt;='09_PARAMETRI'!$B$6)*(('12_OAMENI'!$G$5:$G$64="")+('12_OAMENI'!$G$5:$G$64&gt;='09_PARAMETRI'!$B$5))*'12_OAMENI'!$E$5:$E$64)),0)</f>
        <v/>
      </c>
      <c r="C21" s="24">
        <f>IFERROR(SUMIFS('13_VANZARI'!$H$5:$H$1004,'13_VANZARI'!$A$5:$A$1004,"&gt;="&amp;'09_PARAMETRI'!$B$7,'13_VANZARI'!$A$5:$A$1004,"&lt;="&amp;'09_PARAMETRI'!$B$8)/(SUMPRODUCT(('12_OAMENI'!$A$5:$A$64&lt;&gt;"")*('12_OAMENI'!$F$5:$F$64&lt;='09_PARAMETRI'!$B$8)*(('12_OAMENI'!$G$5:$G$64="")+('12_OAMENI'!$G$5:$G$64&gt;='09_PARAMETRI'!$B$7))*'12_OAMENI'!$E$5:$E$64)),0)</f>
        <v/>
      </c>
      <c r="D21" s="24">
        <f>IFERROR(IF(OR(B21="",C21=""),"",B21-C21),"")</f>
        <v/>
      </c>
      <c r="E21" s="25">
        <f>IFERROR(IF(OR(C21=0,C21=""),"",(B21-C21)/ABS(C21)),"")</f>
        <v/>
      </c>
      <c r="F21" s="44" t="inlineStr">
        <is>
          <t>Indicatorul principal de productivitate.</t>
        </is>
      </c>
    </row>
    <row r="22" ht="22" customHeight="1">
      <c r="A22" s="12" t="inlineStr">
        <is>
          <t>Profit brut / FTE</t>
        </is>
      </c>
      <c r="B22" s="43">
        <f>IFERROR(SUMIFS('13_VANZARI'!$K$5:$K$1004,'13_VANZARI'!$A$5:$A$1004,"&gt;="&amp;'09_PARAMETRI'!$B$5,'13_VANZARI'!$A$5:$A$1004,"&lt;="&amp;'09_PARAMETRI'!$B$6)/(SUMPRODUCT(('12_OAMENI'!$A$5:$A$64&lt;&gt;"")*('12_OAMENI'!$F$5:$F$64&lt;='09_PARAMETRI'!$B$6)*(('12_OAMENI'!$G$5:$G$64="")+('12_OAMENI'!$G$5:$G$64&gt;='09_PARAMETRI'!$B$5))*'12_OAMENI'!$E$5:$E$64)),0)</f>
        <v/>
      </c>
      <c r="C22" s="24">
        <f>IFERROR(SUMIFS('13_VANZARI'!$K$5:$K$1004,'13_VANZARI'!$A$5:$A$1004,"&gt;="&amp;'09_PARAMETRI'!$B$7,'13_VANZARI'!$A$5:$A$1004,"&lt;="&amp;'09_PARAMETRI'!$B$8)/(SUMPRODUCT(('12_OAMENI'!$A$5:$A$64&lt;&gt;"")*('12_OAMENI'!$F$5:$F$64&lt;='09_PARAMETRI'!$B$8)*(('12_OAMENI'!$G$5:$G$64="")+('12_OAMENI'!$G$5:$G$64&gt;='09_PARAMETRI'!$B$7))*'12_OAMENI'!$E$5:$E$64)),0)</f>
        <v/>
      </c>
      <c r="D22" s="24">
        <f>IFERROR(IF(OR(B22="",C22=""),"",B22-C22),"")</f>
        <v/>
      </c>
      <c r="E22" s="25">
        <f>IFERROR(IF(OR(C22=0,C22=""),"",(B22-C22)/ABS(C22)),"")</f>
        <v/>
      </c>
      <c r="F22" s="44" t="inlineStr">
        <is>
          <t>Productivitate ajustată cu marja.</t>
        </is>
      </c>
    </row>
    <row r="23" ht="18" customHeight="1">
      <c r="A23" s="21" t="inlineStr">
        <is>
          <t>EXPERIENȚA CLIENTULUI</t>
        </is>
      </c>
      <c r="B23" s="22" t="n"/>
      <c r="C23" s="22" t="n"/>
      <c r="D23" s="22" t="n"/>
      <c r="E23" s="22" t="n"/>
      <c r="F23" s="22" t="n"/>
    </row>
    <row r="24" ht="22" customHeight="1">
      <c r="A24" s="12" t="inlineStr">
        <is>
          <t>NPS</t>
        </is>
      </c>
      <c r="B24" s="49">
        <f>IFERROR(((COUNTIFS('15_NPS'!$B$5:$B$504,"&gt;="&amp;'09_PARAMETRI'!$B$5,'15_NPS'!$B$5:$B$504,"&lt;="&amp;'09_PARAMETRI'!$B$6,'15_NPS'!$F$5:$F$504,"&gt;=9"))-(COUNTIFS('15_NPS'!$B$5:$B$504,"&gt;="&amp;'09_PARAMETRI'!$B$5,'15_NPS'!$B$5:$B$504,"&lt;="&amp;'09_PARAMETRI'!$B$6,'15_NPS'!$F$5:$F$504,"&lt;=6")))/(SUMPRODUCT(('15_NPS'!$B$5:$B$504&gt;='09_PARAMETRI'!$B$5)*('15_NPS'!$B$5:$B$504&lt;='09_PARAMETRI'!$B$6)*('15_NPS'!$F$5:$F$504&lt;&gt;"")))*100,"")</f>
        <v/>
      </c>
      <c r="C24" s="50">
        <f>IFERROR(((COUNTIFS('15_NPS'!$B$5:$B$504,"&gt;="&amp;'09_PARAMETRI'!$B$7,'15_NPS'!$B$5:$B$504,"&lt;="&amp;'09_PARAMETRI'!$B$8,'15_NPS'!$F$5:$F$504,"&gt;=9"))-(COUNTIFS('15_NPS'!$B$5:$B$504,"&gt;="&amp;'09_PARAMETRI'!$B$7,'15_NPS'!$B$5:$B$504,"&lt;="&amp;'09_PARAMETRI'!$B$8,'15_NPS'!$F$5:$F$504,"&lt;=6")))/(SUMPRODUCT(('15_NPS'!$B$5:$B$504&gt;='09_PARAMETRI'!$B$7)*('15_NPS'!$B$5:$B$504&lt;='09_PARAMETRI'!$B$8)*('15_NPS'!$F$5:$F$504&lt;&gt;"")))*100,"")</f>
        <v/>
      </c>
      <c r="D24" s="50">
        <f>IFERROR(IF(OR(B24="",C24=""),"",B24-C24),"")</f>
        <v/>
      </c>
      <c r="E24" s="25">
        <f>IFERROR(IF(OR(C24=0,C24=""),"",(B24-C24)/ABS(C24)),"")</f>
        <v/>
      </c>
      <c r="F24" s="44" t="inlineStr">
        <is>
          <t>(% promotori − % detractori) × 100. Scala: −100 la +100.</t>
        </is>
      </c>
    </row>
    <row r="25" ht="22" customHeight="1">
      <c r="A25" s="12" t="inlineStr">
        <is>
          <t>Număr răspunsuri NPS</t>
        </is>
      </c>
      <c r="B25" s="43">
        <f>SUMPRODUCT(('15_NPS'!$B$5:$B$504&gt;='09_PARAMETRI'!$B$5)*('15_NPS'!$B$5:$B$504&lt;='09_PARAMETRI'!$B$6)*('15_NPS'!$F$5:$F$504&lt;&gt;""))</f>
        <v/>
      </c>
      <c r="C25" s="24">
        <f>SUMPRODUCT(('15_NPS'!$B$5:$B$504&gt;='09_PARAMETRI'!$B$7)*('15_NPS'!$B$5:$B$504&lt;='09_PARAMETRI'!$B$8)*('15_NPS'!$F$5:$F$504&lt;&gt;""))</f>
        <v/>
      </c>
      <c r="D25" s="24">
        <f>IFERROR(IF(OR(B25="",C25=""),"",B25-C25),"")</f>
        <v/>
      </c>
      <c r="E25" s="25">
        <f>IFERROR(IF(OR(C25=0,C25=""),"",(B25-C25)/ABS(C25)),"")</f>
        <v/>
      </c>
      <c r="F25" s="44" t="inlineStr">
        <is>
          <t>Sub 20 de răspunsuri, NPS-ul e orientativ, nu concluziv.</t>
        </is>
      </c>
    </row>
    <row r="26" ht="22" customHeight="1">
      <c r="A26" s="12" t="inlineStr">
        <is>
          <t>% Promotori</t>
        </is>
      </c>
      <c r="B26" s="45">
        <f>IFERROR((COUNTIFS('15_NPS'!$B$5:$B$504,"&gt;="&amp;'09_PARAMETRI'!$B$5,'15_NPS'!$B$5:$B$504,"&lt;="&amp;'09_PARAMETRI'!$B$6,'15_NPS'!$F$5:$F$504,"&gt;=9"))/(SUMPRODUCT(('15_NPS'!$B$5:$B$504&gt;='09_PARAMETRI'!$B$5)*('15_NPS'!$B$5:$B$504&lt;='09_PARAMETRI'!$B$6)*('15_NPS'!$F$5:$F$504&lt;&gt;""))),"")</f>
        <v/>
      </c>
      <c r="C26" s="25">
        <f>IFERROR((COUNTIFS('15_NPS'!$B$5:$B$504,"&gt;="&amp;'09_PARAMETRI'!$B$7,'15_NPS'!$B$5:$B$504,"&lt;="&amp;'09_PARAMETRI'!$B$8,'15_NPS'!$F$5:$F$504,"&gt;=9"))/(SUMPRODUCT(('15_NPS'!$B$5:$B$504&gt;='09_PARAMETRI'!$B$7)*('15_NPS'!$B$5:$B$504&lt;='09_PARAMETRI'!$B$8)*('15_NPS'!$F$5:$F$504&lt;&gt;""))),"")</f>
        <v/>
      </c>
      <c r="D26" s="25">
        <f>IFERROR(IF(OR(B26="",C26=""),"",B26-C26),"")</f>
        <v/>
      </c>
      <c r="E26" s="46" t="inlineStr">
        <is>
          <t>—</t>
        </is>
      </c>
      <c r="F26" s="44" t="inlineStr">
        <is>
          <t>Scor 9-10.</t>
        </is>
      </c>
    </row>
    <row r="27" ht="22" customHeight="1">
      <c r="A27" s="12" t="inlineStr">
        <is>
          <t>% Detractori</t>
        </is>
      </c>
      <c r="B27" s="45">
        <f>IFERROR((COUNTIFS('15_NPS'!$B$5:$B$504,"&gt;="&amp;'09_PARAMETRI'!$B$5,'15_NPS'!$B$5:$B$504,"&lt;="&amp;'09_PARAMETRI'!$B$6,'15_NPS'!$F$5:$F$504,"&lt;=6"))/(SUMPRODUCT(('15_NPS'!$B$5:$B$504&gt;='09_PARAMETRI'!$B$5)*('15_NPS'!$B$5:$B$504&lt;='09_PARAMETRI'!$B$6)*('15_NPS'!$F$5:$F$504&lt;&gt;""))),"")</f>
        <v/>
      </c>
      <c r="C27" s="25">
        <f>IFERROR((COUNTIFS('15_NPS'!$B$5:$B$504,"&gt;="&amp;'09_PARAMETRI'!$B$7,'15_NPS'!$B$5:$B$504,"&lt;="&amp;'09_PARAMETRI'!$B$8,'15_NPS'!$F$5:$F$504,"&lt;=6"))/(SUMPRODUCT(('15_NPS'!$B$5:$B$504&gt;='09_PARAMETRI'!$B$7)*('15_NPS'!$B$5:$B$504&lt;='09_PARAMETRI'!$B$8)*('15_NPS'!$F$5:$F$504&lt;&gt;""))),"")</f>
        <v/>
      </c>
      <c r="D27" s="25">
        <f>IFERROR(IF(OR(B27="",C27=""),"",B27-C27),"")</f>
        <v/>
      </c>
      <c r="E27" s="46" t="inlineStr">
        <is>
          <t>—</t>
        </is>
      </c>
      <c r="F27" s="44" t="inlineStr">
        <is>
          <t>Scor 0-6. Aceștia intră în planul de recuperare.</t>
        </is>
      </c>
    </row>
    <row r="28" ht="18" customHeight="1">
      <c r="A28" s="21" t="inlineStr">
        <is>
          <t>PLAN</t>
        </is>
      </c>
      <c r="B28" s="22" t="n"/>
      <c r="C28" s="22" t="n"/>
      <c r="D28" s="22" t="n"/>
      <c r="E28" s="22" t="n"/>
      <c r="F28" s="22" t="n"/>
    </row>
    <row r="29" ht="22" customHeight="1">
      <c r="A29" s="12" t="inlineStr">
        <is>
          <t>Țintă de venit</t>
        </is>
      </c>
      <c r="B29" s="43">
        <f>SUMIFS('14_TINTE'!$E$5:$E$304,'14_TINTE'!$A$5:$A$304,"&gt;="&amp;'09_PARAMETRI'!$B$5,'14_TINTE'!$A$5:$A$304,"&lt;="&amp;'09_PARAMETRI'!$B$6,'14_TINTE'!$D$5:$D$304,"Venit",'14_TINTE'!$B$5:$B$304,"Companie")</f>
        <v/>
      </c>
      <c r="C29" s="24">
        <f>SUMIFS('14_TINTE'!$E$5:$E$304,'14_TINTE'!$A$5:$A$304,"&gt;="&amp;'09_PARAMETRI'!$B$7,'14_TINTE'!$A$5:$A$304,"&lt;="&amp;'09_PARAMETRI'!$B$8,'14_TINTE'!$D$5:$D$304,"Venit",'14_TINTE'!$B$5:$B$304,"Companie")</f>
        <v/>
      </c>
      <c r="D29" s="24">
        <f>IFERROR(IF(OR(B29="",C29=""),"",B29-C29),"")</f>
        <v/>
      </c>
      <c r="E29" s="25">
        <f>IFERROR(IF(OR(C29=0,C29=""),"",(B29-C29)/ABS(C29)),"")</f>
        <v/>
      </c>
      <c r="F29" s="44" t="inlineStr">
        <is>
          <t>Din 14_TINTE, nivel „Companie”, indicator „Venit”.</t>
        </is>
      </c>
    </row>
    <row r="30" ht="22" customHeight="1">
      <c r="A30" s="12" t="inlineStr">
        <is>
          <t>Atingere țintă %</t>
        </is>
      </c>
      <c r="B30" s="45">
        <f>IFERROR(SUMIFS('13_VANZARI'!$H$5:$H$1004,'13_VANZARI'!$A$5:$A$1004,"&gt;="&amp;'09_PARAMETRI'!$B$5,'13_VANZARI'!$A$5:$A$1004,"&lt;="&amp;'09_PARAMETRI'!$B$6)/(SUMIFS('14_TINTE'!$E$5:$E$304,'14_TINTE'!$A$5:$A$304,"&gt;="&amp;'09_PARAMETRI'!$B$5,'14_TINTE'!$A$5:$A$304,"&lt;="&amp;'09_PARAMETRI'!$B$6,'14_TINTE'!$D$5:$D$304,"Venit",'14_TINTE'!$B$5:$B$304,"Companie")),"")</f>
        <v/>
      </c>
      <c r="C30" s="25">
        <f>IFERROR(SUMIFS('13_VANZARI'!$H$5:$H$1004,'13_VANZARI'!$A$5:$A$1004,"&gt;="&amp;'09_PARAMETRI'!$B$7,'13_VANZARI'!$A$5:$A$1004,"&lt;="&amp;'09_PARAMETRI'!$B$8)/(SUMIFS('14_TINTE'!$E$5:$E$304,'14_TINTE'!$A$5:$A$304,"&gt;="&amp;'09_PARAMETRI'!$B$7,'14_TINTE'!$A$5:$A$304,"&lt;="&amp;'09_PARAMETRI'!$B$8,'14_TINTE'!$D$5:$D$304,"Venit",'14_TINTE'!$B$5:$B$304,"Companie")),"")</f>
        <v/>
      </c>
      <c r="D30" s="25">
        <f>IFERROR(IF(OR(B30="",C30=""),"",B30-C30),"")</f>
        <v/>
      </c>
      <c r="E30" s="46" t="inlineStr">
        <is>
          <t>—</t>
        </is>
      </c>
      <c r="F30" s="44" t="inlineStr">
        <is>
          <t>Venit realizat / țintă.</t>
        </is>
      </c>
    </row>
    <row r="31" ht="22" customHeight="1">
      <c r="A31" s="12" t="inlineStr">
        <is>
          <t>Gap față de țintă</t>
        </is>
      </c>
      <c r="B31" s="43">
        <f>IF((SUMIFS('14_TINTE'!$E$5:$E$304,'14_TINTE'!$A$5:$A$304,"&gt;="&amp;'09_PARAMETRI'!$B$5,'14_TINTE'!$A$5:$A$304,"&lt;="&amp;'09_PARAMETRI'!$B$6,'14_TINTE'!$D$5:$D$304,"Venit",'14_TINTE'!$B$5:$B$304,"Companie"))=0,"",(SUMIFS('14_TINTE'!$E$5:$E$304,'14_TINTE'!$A$5:$A$304,"&gt;="&amp;'09_PARAMETRI'!$B$5,'14_TINTE'!$A$5:$A$304,"&lt;="&amp;'09_PARAMETRI'!$B$6,'14_TINTE'!$D$5:$D$304,"Venit",'14_TINTE'!$B$5:$B$304,"Companie"))-SUMIFS('13_VANZARI'!$H$5:$H$1004,'13_VANZARI'!$A$5:$A$1004,"&gt;="&amp;'09_PARAMETRI'!$B$5,'13_VANZARI'!$A$5:$A$1004,"&lt;="&amp;'09_PARAMETRI'!$B$6))</f>
        <v/>
      </c>
      <c r="C31" s="24">
        <f>IF((SUMIFS('14_TINTE'!$E$5:$E$304,'14_TINTE'!$A$5:$A$304,"&gt;="&amp;'09_PARAMETRI'!$B$7,'14_TINTE'!$A$5:$A$304,"&lt;="&amp;'09_PARAMETRI'!$B$8,'14_TINTE'!$D$5:$D$304,"Venit",'14_TINTE'!$B$5:$B$304,"Companie"))=0,"",(SUMIFS('14_TINTE'!$E$5:$E$304,'14_TINTE'!$A$5:$A$304,"&gt;="&amp;'09_PARAMETRI'!$B$7,'14_TINTE'!$A$5:$A$304,"&lt;="&amp;'09_PARAMETRI'!$B$8,'14_TINTE'!$D$5:$D$304,"Venit",'14_TINTE'!$B$5:$B$304,"Companie"))-SUMIFS('13_VANZARI'!$H$5:$H$1004,'13_VANZARI'!$A$5:$A$1004,"&gt;="&amp;'09_PARAMETRI'!$B$7,'13_VANZARI'!$A$5:$A$1004,"&lt;="&amp;'09_PARAMETRI'!$B$8))</f>
        <v/>
      </c>
      <c r="D31" s="24">
        <f>IFERROR(IF(OR(B31="",C31=""),"",B31-C31),"")</f>
        <v/>
      </c>
      <c r="E31" s="25">
        <f>IFERROR(IF(OR(C31=0,C31=""),"",(B31-C31)/ABS(C31)),"")</f>
        <v/>
      </c>
      <c r="F31" s="44" t="inlineStr">
        <is>
          <t>Cât mai lipsește. Acesta e punctul de plecare al oportunităților.</t>
        </is>
      </c>
    </row>
  </sheetData>
  <conditionalFormatting sqref="D5:D31">
    <cfRule type="cellIs" priority="1" operator="lessThan" dxfId="4">
      <formula>0</formula>
    </cfRule>
    <cfRule type="cellIs" priority="2" operator="greaterThan" dxfId="5">
      <formula>0</formula>
    </cfRule>
  </conditionalFormatting>
  <conditionalFormatting sqref="E5:E31">
    <cfRule type="cellIs" priority="3" operator="lessThan" dxfId="4">
      <formula>0</formula>
    </cfRule>
    <cfRule type="cellIs" priority="4" operator="greaterThan" dxfId="5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3" customWidth="1" min="4" max="4"/>
    <col width="15" customWidth="1" min="5" max="5"/>
    <col width="15" customWidth="1" min="6" max="6"/>
    <col width="11" customWidth="1" min="7" max="7"/>
    <col width="13" customWidth="1" min="8" max="8"/>
    <col width="10" customWidth="1" min="9" max="9"/>
    <col width="12" customWidth="1" min="10" max="10"/>
    <col width="13" customWidth="1" min="11" max="11"/>
    <col width="13" customWidth="1" min="12" max="12"/>
    <col width="12" customWidth="1" min="13" max="13"/>
    <col width="11" customWidth="1" min="14" max="14"/>
    <col width="22" customWidth="1" min="15" max="15"/>
    <col width="24" customWidth="1" min="16" max="16"/>
    <col width="13" customWidth="1" min="17" max="17"/>
    <col hidden="1" width="13" customWidth="1" min="18" max="18"/>
  </cols>
  <sheetData>
    <row r="1" ht="26" customHeight="1">
      <c r="A1" s="1" t="inlineStr">
        <is>
          <t>21 — ANALIZA CLIENȚILOR</t>
        </is>
      </c>
    </row>
    <row r="2" ht="16" customHeight="1">
      <c r="A2" s="2" t="inlineStr">
        <is>
          <t>Se completează singură din 10_CLIENTI + 13_VANZARI. Filtrează coloana „Semnal” ca să vezi unde e treabă de făcut.</t>
        </is>
      </c>
    </row>
    <row r="3"/>
    <row r="4" ht="36" customHeight="1">
      <c r="A4" s="15" t="inlineStr">
        <is>
          <t>ID client</t>
        </is>
      </c>
      <c r="B4" s="15" t="inlineStr">
        <is>
          <t>Denumire client</t>
        </is>
      </c>
      <c r="C4" s="15" t="inlineStr">
        <is>
          <t>Segment</t>
        </is>
      </c>
      <c r="D4" s="15" t="inlineStr">
        <is>
          <t>Responsabil cont</t>
        </is>
      </c>
      <c r="E4" s="15" t="inlineStr">
        <is>
          <t>Venit — perioada curentă</t>
        </is>
      </c>
      <c r="F4" s="15" t="inlineStr">
        <is>
          <t>Venit — comparativ</t>
        </is>
      </c>
      <c r="G4" s="15" t="inlineStr">
        <is>
          <t>Δ venit %</t>
        </is>
      </c>
      <c r="H4" s="15" t="inlineStr">
        <is>
          <t>Profit brut</t>
        </is>
      </c>
      <c r="I4" s="15" t="inlineStr">
        <is>
          <t>Marjă %</t>
        </is>
      </c>
      <c r="J4" s="15" t="inlineStr">
        <is>
          <t>% din venit total</t>
        </is>
      </c>
      <c r="K4" s="15" t="inlineStr">
        <is>
          <t>Ultima achiziție</t>
        </is>
      </c>
      <c r="L4" s="15" t="inlineStr">
        <is>
          <t>Zile de la ultima achiziție</t>
        </is>
      </c>
      <c r="M4" s="15" t="inlineStr">
        <is>
          <t>Nr. produse cumpărate</t>
        </is>
      </c>
      <c r="N4" s="15" t="inlineStr">
        <is>
          <t>NPS mediu</t>
        </is>
      </c>
      <c r="O4" s="15" t="inlineStr">
        <is>
          <t>Semnal</t>
        </is>
      </c>
      <c r="P4" s="15" t="inlineStr">
        <is>
          <t>Oportunitate sugerată</t>
        </is>
      </c>
      <c r="Q4" s="15" t="inlineStr">
        <is>
          <t>Potențial estimat</t>
        </is>
      </c>
      <c r="R4" s="15" t="inlineStr">
        <is>
          <t>Cheie clasament</t>
        </is>
      </c>
    </row>
    <row r="5">
      <c r="A5" s="39">
        <f>IF('10_CLIENTI'!$A5="","",'10_CLIENTI'!$A5)</f>
        <v/>
      </c>
      <c r="B5" s="39">
        <f>IF($A5="","",IFERROR(INDEX('10_CLIENTI'!$B$5:$B$204,MATCH($A5,'10_CLIENTI'!$A$5:$A$204,0)),""))</f>
        <v/>
      </c>
      <c r="C5" s="39">
        <f>IF($A5="","",IFERROR(INDEX('10_CLIENTI'!$C$5:$C$204,MATCH($A5,'10_CLIENTI'!$A$5:$A$204,0)),""))</f>
        <v/>
      </c>
      <c r="D5" s="39">
        <f>IF($A5="","",IFERROR(INDEX('10_CLIENTI'!$G$5:$G$204,MATCH($A5,'10_CLIENTI'!$A$5:$A$204,0)),""))</f>
        <v/>
      </c>
      <c r="E5" s="24">
        <f>IF($A5="","",SUMIFS('13_VANZARI'!$H$5:$H$1004,'13_VANZARI'!$D$5:$D$1004,$A5,'13_VANZARI'!$A$5:$A$1004,"&gt;="&amp;'09_PARAMETRI'!$B$5,'13_VANZARI'!$A$5:$A$1004,"&lt;="&amp;'09_PARAMETRI'!$B$6))</f>
        <v/>
      </c>
      <c r="F5" s="24">
        <f>IF($A5="","",SUMIFS('13_VANZARI'!$H$5:$H$1004,'13_VANZARI'!$D$5:$D$1004,$A5,'13_VANZARI'!$A$5:$A$1004,"&gt;="&amp;'09_PARAMETRI'!$B$7,'13_VANZARI'!$A$5:$A$1004,"&lt;="&amp;'09_PARAMETRI'!$B$8))</f>
        <v/>
      </c>
      <c r="G5" s="25">
        <f>IF($A5="","",IFERROR(IF($F5=0,"",($E5-$F5)/ABS($F5)),""))</f>
        <v/>
      </c>
      <c r="H5" s="24">
        <f>IF($A5="","",SUMIFS('13_VANZARI'!$K$5:$K$1004,'13_VANZARI'!$D$5:$D$1004,$A5,'13_VANZARI'!$A$5:$A$1004,"&gt;="&amp;'09_PARAMETRI'!$B$5,'13_VANZARI'!$A$5:$A$1004,"&lt;="&amp;'09_PARAMETRI'!$B$6))</f>
        <v/>
      </c>
      <c r="I5" s="25">
        <f>IF($A5="","",IFERROR($H5/$E5,""))</f>
        <v/>
      </c>
      <c r="J5" s="25">
        <f>IF($A5="","",IFERROR($E5/SUMIFS('13_VANZARI'!$H$5:$H$1004,'13_VANZARI'!$A$5:$A$1004,"&gt;="&amp;'09_PARAMETRI'!$B$5,'13_VANZARI'!$A$5:$A$1004,"&lt;="&amp;'09_PARAMETRI'!$B$6),""))</f>
        <v/>
      </c>
      <c r="K5" s="36">
        <f>IF($A5="","",IFERROR(IF(SUMPRODUCT(MAX(('13_VANZARI'!$D$5:$D$1004=$A5)*('13_VANZARI'!$H$5:$H$1004&lt;&gt;"")*'13_VANZARI'!$A$5:$A$1004))=0,"",SUMPRODUCT(MAX(('13_VANZARI'!$D$5:$D$1004=$A5)*('13_VANZARI'!$H$5:$H$1004&lt;&gt;"")*'13_VANZARI'!$A$5:$A$1004))),""))</f>
        <v/>
      </c>
      <c r="L5" s="24">
        <f>IF(OR($A5="",$K5=""),"",'09_PARAMETRI'!$B$9-$K5)</f>
        <v/>
      </c>
      <c r="M5" s="24">
        <f>IF($A5="","",SUMPRODUCT(('11_PRODUSE'!$A$5:$A$104&lt;&gt;"")*(SUMIFS('13_VANZARI'!$H$5:$H$1004,'13_VANZARI'!$D$5:$D$1004,$A5,'13_VANZARI'!$E$5:$E$1004,'11_PRODUSE'!$A$5:$A$104,'13_VANZARI'!$A$5:$A$1004,"&gt;="&amp;'09_PARAMETRI'!$B$5,'13_VANZARI'!$A$5:$A$1004,"&lt;="&amp;'09_PARAMETRI'!$B$6)&lt;&gt;0)))</f>
        <v/>
      </c>
      <c r="N5" s="50">
        <f>IF($A5="","",IFERROR(AVERAGEIFS('15_NPS'!$F$5:$F$504,'15_NPS'!$C$5:$C$504,$A5,'15_NPS'!$B$5:$B$504,"&gt;="&amp;'09_PARAMETRI'!$B$5,'15_NPS'!$B$5:$B$504,"&lt;="&amp;'09_PARAMETRI'!$B$6),""))</f>
        <v/>
      </c>
      <c r="O5" s="39">
        <f>IF($A5="","",IF(AND($F5&gt;0,$E5=0),"Client pierdut",IF(AND($L5&lt;&gt;"",$L5&gt;'09_PARAMETRI'!$B$16,$F5&gt;0),"Client dormant",IF(AND($G5&lt;&gt;"",$G5&lt;='09_PARAMETRI'!$B$13),"Scădere de venit",IF(AND($N5&lt;&gt;"",$N5&lt;7),"Detractor activ",IF(AND($E5&gt;0,$J5&gt;'09_PARAMETRI'!$B$19),"Risc concentrare",IF(AND($E5&gt;0,$I5&lt;&gt;"",$I5&lt;'09_PARAMETRI'!$B$15),"Marjă sub referință",IF(AND($G5&lt;&gt;"",$G5&gt;='09_PARAMETRI'!$B$14),"În creștere",IF($E5=0,"Fără activitate","Stabil")))))))))</f>
        <v/>
      </c>
      <c r="P5" s="39">
        <f>IF($A5="","",IF($O5="Risc concentrare","Risc concentrare",IF($O5="Client pierdut","Recuperare client",IF($O5="Client dormant","Reactivare client",IF($O5="Scădere de venit","Recuperare client",IF($O5="Detractor activ","Recuperare NPS",IF($O5="Marjă sub referință","Marjă / preț",IF($O5="În creștere","Up-sell",IF($O5="Fără activitate","Reactivare client","Cross-sell")))))))))</f>
        <v/>
      </c>
      <c r="Q5" s="24">
        <f>IF($A5="","",IFERROR(IF($O5="Scădere de venit",MAX(0,$F5-$E5),IF(OR($O5="Client pierdut",$O5="Client dormant",$O5="Fără activitate"),$F5,IF($O5="Marjă sub referință",MAX(0,$E5*('09_PARAMETRI'!$B$15-$I5)),$E5*0.15))),""))</f>
        <v/>
      </c>
      <c r="R5" s="48">
        <f>IF(OR($A5="",$E5="",N($E5)&lt;=0),"",$E5+ROW()/1000000)</f>
        <v/>
      </c>
    </row>
    <row r="6">
      <c r="A6" s="39">
        <f>IF('10_CLIENTI'!$A6="","",'10_CLIENTI'!$A6)</f>
        <v/>
      </c>
      <c r="B6" s="39">
        <f>IF($A6="","",IFERROR(INDEX('10_CLIENTI'!$B$5:$B$204,MATCH($A6,'10_CLIENTI'!$A$5:$A$204,0)),""))</f>
        <v/>
      </c>
      <c r="C6" s="39">
        <f>IF($A6="","",IFERROR(INDEX('10_CLIENTI'!$C$5:$C$204,MATCH($A6,'10_CLIENTI'!$A$5:$A$204,0)),""))</f>
        <v/>
      </c>
      <c r="D6" s="39">
        <f>IF($A6="","",IFERROR(INDEX('10_CLIENTI'!$G$5:$G$204,MATCH($A6,'10_CLIENTI'!$A$5:$A$204,0)),""))</f>
        <v/>
      </c>
      <c r="E6" s="24">
        <f>IF($A6="","",SUMIFS('13_VANZARI'!$H$5:$H$1004,'13_VANZARI'!$D$5:$D$1004,$A6,'13_VANZARI'!$A$5:$A$1004,"&gt;="&amp;'09_PARAMETRI'!$B$5,'13_VANZARI'!$A$5:$A$1004,"&lt;="&amp;'09_PARAMETRI'!$B$6))</f>
        <v/>
      </c>
      <c r="F6" s="24">
        <f>IF($A6="","",SUMIFS('13_VANZARI'!$H$5:$H$1004,'13_VANZARI'!$D$5:$D$1004,$A6,'13_VANZARI'!$A$5:$A$1004,"&gt;="&amp;'09_PARAMETRI'!$B$7,'13_VANZARI'!$A$5:$A$1004,"&lt;="&amp;'09_PARAMETRI'!$B$8))</f>
        <v/>
      </c>
      <c r="G6" s="25">
        <f>IF($A6="","",IFERROR(IF($F6=0,"",($E6-$F6)/ABS($F6)),""))</f>
        <v/>
      </c>
      <c r="H6" s="24">
        <f>IF($A6="","",SUMIFS('13_VANZARI'!$K$5:$K$1004,'13_VANZARI'!$D$5:$D$1004,$A6,'13_VANZARI'!$A$5:$A$1004,"&gt;="&amp;'09_PARAMETRI'!$B$5,'13_VANZARI'!$A$5:$A$1004,"&lt;="&amp;'09_PARAMETRI'!$B$6))</f>
        <v/>
      </c>
      <c r="I6" s="25">
        <f>IF($A6="","",IFERROR($H6/$E6,""))</f>
        <v/>
      </c>
      <c r="J6" s="25">
        <f>IF($A6="","",IFERROR($E6/SUMIFS('13_VANZARI'!$H$5:$H$1004,'13_VANZARI'!$A$5:$A$1004,"&gt;="&amp;'09_PARAMETRI'!$B$5,'13_VANZARI'!$A$5:$A$1004,"&lt;="&amp;'09_PARAMETRI'!$B$6),""))</f>
        <v/>
      </c>
      <c r="K6" s="36">
        <f>IF($A6="","",IFERROR(IF(SUMPRODUCT(MAX(('13_VANZARI'!$D$5:$D$1004=$A6)*('13_VANZARI'!$H$5:$H$1004&lt;&gt;"")*'13_VANZARI'!$A$5:$A$1004))=0,"",SUMPRODUCT(MAX(('13_VANZARI'!$D$5:$D$1004=$A6)*('13_VANZARI'!$H$5:$H$1004&lt;&gt;"")*'13_VANZARI'!$A$5:$A$1004))),""))</f>
        <v/>
      </c>
      <c r="L6" s="24">
        <f>IF(OR($A6="",$K6=""),"",'09_PARAMETRI'!$B$9-$K6)</f>
        <v/>
      </c>
      <c r="M6" s="24">
        <f>IF($A6="","",SUMPRODUCT(('11_PRODUSE'!$A$5:$A$104&lt;&gt;"")*(SUMIFS('13_VANZARI'!$H$5:$H$1004,'13_VANZARI'!$D$5:$D$1004,$A6,'13_VANZARI'!$E$5:$E$1004,'11_PRODUSE'!$A$5:$A$104,'13_VANZARI'!$A$5:$A$1004,"&gt;="&amp;'09_PARAMETRI'!$B$5,'13_VANZARI'!$A$5:$A$1004,"&lt;="&amp;'09_PARAMETRI'!$B$6)&lt;&gt;0)))</f>
        <v/>
      </c>
      <c r="N6" s="50">
        <f>IF($A6="","",IFERROR(AVERAGEIFS('15_NPS'!$F$5:$F$504,'15_NPS'!$C$5:$C$504,$A6,'15_NPS'!$B$5:$B$504,"&gt;="&amp;'09_PARAMETRI'!$B$5,'15_NPS'!$B$5:$B$504,"&lt;="&amp;'09_PARAMETRI'!$B$6),""))</f>
        <v/>
      </c>
      <c r="O6" s="39">
        <f>IF($A6="","",IF(AND($F6&gt;0,$E6=0),"Client pierdut",IF(AND($L6&lt;&gt;"",$L6&gt;'09_PARAMETRI'!$B$16,$F6&gt;0),"Client dormant",IF(AND($G6&lt;&gt;"",$G6&lt;='09_PARAMETRI'!$B$13),"Scădere de venit",IF(AND($N6&lt;&gt;"",$N6&lt;7),"Detractor activ",IF(AND($E6&gt;0,$J6&gt;'09_PARAMETRI'!$B$19),"Risc concentrare",IF(AND($E6&gt;0,$I6&lt;&gt;"",$I6&lt;'09_PARAMETRI'!$B$15),"Marjă sub referință",IF(AND($G6&lt;&gt;"",$G6&gt;='09_PARAMETRI'!$B$14),"În creștere",IF($E6=0,"Fără activitate","Stabil")))))))))</f>
        <v/>
      </c>
      <c r="P6" s="39">
        <f>IF($A6="","",IF($O6="Risc concentrare","Risc concentrare",IF($O6="Client pierdut","Recuperare client",IF($O6="Client dormant","Reactivare client",IF($O6="Scădere de venit","Recuperare client",IF($O6="Detractor activ","Recuperare NPS",IF($O6="Marjă sub referință","Marjă / preț",IF($O6="În creștere","Up-sell",IF($O6="Fără activitate","Reactivare client","Cross-sell")))))))))</f>
        <v/>
      </c>
      <c r="Q6" s="24">
        <f>IF($A6="","",IFERROR(IF($O6="Scădere de venit",MAX(0,$F6-$E6),IF(OR($O6="Client pierdut",$O6="Client dormant",$O6="Fără activitate"),$F6,IF($O6="Marjă sub referință",MAX(0,$E6*('09_PARAMETRI'!$B$15-$I6)),$E6*0.15))),""))</f>
        <v/>
      </c>
      <c r="R6" s="48">
        <f>IF(OR($A6="",$E6="",N($E6)&lt;=0),"",$E6+ROW()/1000000)</f>
        <v/>
      </c>
    </row>
    <row r="7">
      <c r="A7" s="39">
        <f>IF('10_CLIENTI'!$A7="","",'10_CLIENTI'!$A7)</f>
        <v/>
      </c>
      <c r="B7" s="39">
        <f>IF($A7="","",IFERROR(INDEX('10_CLIENTI'!$B$5:$B$204,MATCH($A7,'10_CLIENTI'!$A$5:$A$204,0)),""))</f>
        <v/>
      </c>
      <c r="C7" s="39">
        <f>IF($A7="","",IFERROR(INDEX('10_CLIENTI'!$C$5:$C$204,MATCH($A7,'10_CLIENTI'!$A$5:$A$204,0)),""))</f>
        <v/>
      </c>
      <c r="D7" s="39">
        <f>IF($A7="","",IFERROR(INDEX('10_CLIENTI'!$G$5:$G$204,MATCH($A7,'10_CLIENTI'!$A$5:$A$204,0)),""))</f>
        <v/>
      </c>
      <c r="E7" s="24">
        <f>IF($A7="","",SUMIFS('13_VANZARI'!$H$5:$H$1004,'13_VANZARI'!$D$5:$D$1004,$A7,'13_VANZARI'!$A$5:$A$1004,"&gt;="&amp;'09_PARAMETRI'!$B$5,'13_VANZARI'!$A$5:$A$1004,"&lt;="&amp;'09_PARAMETRI'!$B$6))</f>
        <v/>
      </c>
      <c r="F7" s="24">
        <f>IF($A7="","",SUMIFS('13_VANZARI'!$H$5:$H$1004,'13_VANZARI'!$D$5:$D$1004,$A7,'13_VANZARI'!$A$5:$A$1004,"&gt;="&amp;'09_PARAMETRI'!$B$7,'13_VANZARI'!$A$5:$A$1004,"&lt;="&amp;'09_PARAMETRI'!$B$8))</f>
        <v/>
      </c>
      <c r="G7" s="25">
        <f>IF($A7="","",IFERROR(IF($F7=0,"",($E7-$F7)/ABS($F7)),""))</f>
        <v/>
      </c>
      <c r="H7" s="24">
        <f>IF($A7="","",SUMIFS('13_VANZARI'!$K$5:$K$1004,'13_VANZARI'!$D$5:$D$1004,$A7,'13_VANZARI'!$A$5:$A$1004,"&gt;="&amp;'09_PARAMETRI'!$B$5,'13_VANZARI'!$A$5:$A$1004,"&lt;="&amp;'09_PARAMETRI'!$B$6))</f>
        <v/>
      </c>
      <c r="I7" s="25">
        <f>IF($A7="","",IFERROR($H7/$E7,""))</f>
        <v/>
      </c>
      <c r="J7" s="25">
        <f>IF($A7="","",IFERROR($E7/SUMIFS('13_VANZARI'!$H$5:$H$1004,'13_VANZARI'!$A$5:$A$1004,"&gt;="&amp;'09_PARAMETRI'!$B$5,'13_VANZARI'!$A$5:$A$1004,"&lt;="&amp;'09_PARAMETRI'!$B$6),""))</f>
        <v/>
      </c>
      <c r="K7" s="36">
        <f>IF($A7="","",IFERROR(IF(SUMPRODUCT(MAX(('13_VANZARI'!$D$5:$D$1004=$A7)*('13_VANZARI'!$H$5:$H$1004&lt;&gt;"")*'13_VANZARI'!$A$5:$A$1004))=0,"",SUMPRODUCT(MAX(('13_VANZARI'!$D$5:$D$1004=$A7)*('13_VANZARI'!$H$5:$H$1004&lt;&gt;"")*'13_VANZARI'!$A$5:$A$1004))),""))</f>
        <v/>
      </c>
      <c r="L7" s="24">
        <f>IF(OR($A7="",$K7=""),"",'09_PARAMETRI'!$B$9-$K7)</f>
        <v/>
      </c>
      <c r="M7" s="24">
        <f>IF($A7="","",SUMPRODUCT(('11_PRODUSE'!$A$5:$A$104&lt;&gt;"")*(SUMIFS('13_VANZARI'!$H$5:$H$1004,'13_VANZARI'!$D$5:$D$1004,$A7,'13_VANZARI'!$E$5:$E$1004,'11_PRODUSE'!$A$5:$A$104,'13_VANZARI'!$A$5:$A$1004,"&gt;="&amp;'09_PARAMETRI'!$B$5,'13_VANZARI'!$A$5:$A$1004,"&lt;="&amp;'09_PARAMETRI'!$B$6)&lt;&gt;0)))</f>
        <v/>
      </c>
      <c r="N7" s="50">
        <f>IF($A7="","",IFERROR(AVERAGEIFS('15_NPS'!$F$5:$F$504,'15_NPS'!$C$5:$C$504,$A7,'15_NPS'!$B$5:$B$504,"&gt;="&amp;'09_PARAMETRI'!$B$5,'15_NPS'!$B$5:$B$504,"&lt;="&amp;'09_PARAMETRI'!$B$6),""))</f>
        <v/>
      </c>
      <c r="O7" s="39">
        <f>IF($A7="","",IF(AND($F7&gt;0,$E7=0),"Client pierdut",IF(AND($L7&lt;&gt;"",$L7&gt;'09_PARAMETRI'!$B$16,$F7&gt;0),"Client dormant",IF(AND($G7&lt;&gt;"",$G7&lt;='09_PARAMETRI'!$B$13),"Scădere de venit",IF(AND($N7&lt;&gt;"",$N7&lt;7),"Detractor activ",IF(AND($E7&gt;0,$J7&gt;'09_PARAMETRI'!$B$19),"Risc concentrare",IF(AND($E7&gt;0,$I7&lt;&gt;"",$I7&lt;'09_PARAMETRI'!$B$15),"Marjă sub referință",IF(AND($G7&lt;&gt;"",$G7&gt;='09_PARAMETRI'!$B$14),"În creștere",IF($E7=0,"Fără activitate","Stabil")))))))))</f>
        <v/>
      </c>
      <c r="P7" s="39">
        <f>IF($A7="","",IF($O7="Risc concentrare","Risc concentrare",IF($O7="Client pierdut","Recuperare client",IF($O7="Client dormant","Reactivare client",IF($O7="Scădere de venit","Recuperare client",IF($O7="Detractor activ","Recuperare NPS",IF($O7="Marjă sub referință","Marjă / preț",IF($O7="În creștere","Up-sell",IF($O7="Fără activitate","Reactivare client","Cross-sell")))))))))</f>
        <v/>
      </c>
      <c r="Q7" s="24">
        <f>IF($A7="","",IFERROR(IF($O7="Scădere de venit",MAX(0,$F7-$E7),IF(OR($O7="Client pierdut",$O7="Client dormant",$O7="Fără activitate"),$F7,IF($O7="Marjă sub referință",MAX(0,$E7*('09_PARAMETRI'!$B$15-$I7)),$E7*0.15))),""))</f>
        <v/>
      </c>
      <c r="R7" s="48">
        <f>IF(OR($A7="",$E7="",N($E7)&lt;=0),"",$E7+ROW()/1000000)</f>
        <v/>
      </c>
    </row>
    <row r="8">
      <c r="A8" s="39">
        <f>IF('10_CLIENTI'!$A8="","",'10_CLIENTI'!$A8)</f>
        <v/>
      </c>
      <c r="B8" s="39">
        <f>IF($A8="","",IFERROR(INDEX('10_CLIENTI'!$B$5:$B$204,MATCH($A8,'10_CLIENTI'!$A$5:$A$204,0)),""))</f>
        <v/>
      </c>
      <c r="C8" s="39">
        <f>IF($A8="","",IFERROR(INDEX('10_CLIENTI'!$C$5:$C$204,MATCH($A8,'10_CLIENTI'!$A$5:$A$204,0)),""))</f>
        <v/>
      </c>
      <c r="D8" s="39">
        <f>IF($A8="","",IFERROR(INDEX('10_CLIENTI'!$G$5:$G$204,MATCH($A8,'10_CLIENTI'!$A$5:$A$204,0)),""))</f>
        <v/>
      </c>
      <c r="E8" s="24">
        <f>IF($A8="","",SUMIFS('13_VANZARI'!$H$5:$H$1004,'13_VANZARI'!$D$5:$D$1004,$A8,'13_VANZARI'!$A$5:$A$1004,"&gt;="&amp;'09_PARAMETRI'!$B$5,'13_VANZARI'!$A$5:$A$1004,"&lt;="&amp;'09_PARAMETRI'!$B$6))</f>
        <v/>
      </c>
      <c r="F8" s="24">
        <f>IF($A8="","",SUMIFS('13_VANZARI'!$H$5:$H$1004,'13_VANZARI'!$D$5:$D$1004,$A8,'13_VANZARI'!$A$5:$A$1004,"&gt;="&amp;'09_PARAMETRI'!$B$7,'13_VANZARI'!$A$5:$A$1004,"&lt;="&amp;'09_PARAMETRI'!$B$8))</f>
        <v/>
      </c>
      <c r="G8" s="25">
        <f>IF($A8="","",IFERROR(IF($F8=0,"",($E8-$F8)/ABS($F8)),""))</f>
        <v/>
      </c>
      <c r="H8" s="24">
        <f>IF($A8="","",SUMIFS('13_VANZARI'!$K$5:$K$1004,'13_VANZARI'!$D$5:$D$1004,$A8,'13_VANZARI'!$A$5:$A$1004,"&gt;="&amp;'09_PARAMETRI'!$B$5,'13_VANZARI'!$A$5:$A$1004,"&lt;="&amp;'09_PARAMETRI'!$B$6))</f>
        <v/>
      </c>
      <c r="I8" s="25">
        <f>IF($A8="","",IFERROR($H8/$E8,""))</f>
        <v/>
      </c>
      <c r="J8" s="25">
        <f>IF($A8="","",IFERROR($E8/SUMIFS('13_VANZARI'!$H$5:$H$1004,'13_VANZARI'!$A$5:$A$1004,"&gt;="&amp;'09_PARAMETRI'!$B$5,'13_VANZARI'!$A$5:$A$1004,"&lt;="&amp;'09_PARAMETRI'!$B$6),""))</f>
        <v/>
      </c>
      <c r="K8" s="36">
        <f>IF($A8="","",IFERROR(IF(SUMPRODUCT(MAX(('13_VANZARI'!$D$5:$D$1004=$A8)*('13_VANZARI'!$H$5:$H$1004&lt;&gt;"")*'13_VANZARI'!$A$5:$A$1004))=0,"",SUMPRODUCT(MAX(('13_VANZARI'!$D$5:$D$1004=$A8)*('13_VANZARI'!$H$5:$H$1004&lt;&gt;"")*'13_VANZARI'!$A$5:$A$1004))),""))</f>
        <v/>
      </c>
      <c r="L8" s="24">
        <f>IF(OR($A8="",$K8=""),"",'09_PARAMETRI'!$B$9-$K8)</f>
        <v/>
      </c>
      <c r="M8" s="24">
        <f>IF($A8="","",SUMPRODUCT(('11_PRODUSE'!$A$5:$A$104&lt;&gt;"")*(SUMIFS('13_VANZARI'!$H$5:$H$1004,'13_VANZARI'!$D$5:$D$1004,$A8,'13_VANZARI'!$E$5:$E$1004,'11_PRODUSE'!$A$5:$A$104,'13_VANZARI'!$A$5:$A$1004,"&gt;="&amp;'09_PARAMETRI'!$B$5,'13_VANZARI'!$A$5:$A$1004,"&lt;="&amp;'09_PARAMETRI'!$B$6)&lt;&gt;0)))</f>
        <v/>
      </c>
      <c r="N8" s="50">
        <f>IF($A8="","",IFERROR(AVERAGEIFS('15_NPS'!$F$5:$F$504,'15_NPS'!$C$5:$C$504,$A8,'15_NPS'!$B$5:$B$504,"&gt;="&amp;'09_PARAMETRI'!$B$5,'15_NPS'!$B$5:$B$504,"&lt;="&amp;'09_PARAMETRI'!$B$6),""))</f>
        <v/>
      </c>
      <c r="O8" s="39">
        <f>IF($A8="","",IF(AND($F8&gt;0,$E8=0),"Client pierdut",IF(AND($L8&lt;&gt;"",$L8&gt;'09_PARAMETRI'!$B$16,$F8&gt;0),"Client dormant",IF(AND($G8&lt;&gt;"",$G8&lt;='09_PARAMETRI'!$B$13),"Scădere de venit",IF(AND($N8&lt;&gt;"",$N8&lt;7),"Detractor activ",IF(AND($E8&gt;0,$J8&gt;'09_PARAMETRI'!$B$19),"Risc concentrare",IF(AND($E8&gt;0,$I8&lt;&gt;"",$I8&lt;'09_PARAMETRI'!$B$15),"Marjă sub referință",IF(AND($G8&lt;&gt;"",$G8&gt;='09_PARAMETRI'!$B$14),"În creștere",IF($E8=0,"Fără activitate","Stabil")))))))))</f>
        <v/>
      </c>
      <c r="P8" s="39">
        <f>IF($A8="","",IF($O8="Risc concentrare","Risc concentrare",IF($O8="Client pierdut","Recuperare client",IF($O8="Client dormant","Reactivare client",IF($O8="Scădere de venit","Recuperare client",IF($O8="Detractor activ","Recuperare NPS",IF($O8="Marjă sub referință","Marjă / preț",IF($O8="În creștere","Up-sell",IF($O8="Fără activitate","Reactivare client","Cross-sell")))))))))</f>
        <v/>
      </c>
      <c r="Q8" s="24">
        <f>IF($A8="","",IFERROR(IF($O8="Scădere de venit",MAX(0,$F8-$E8),IF(OR($O8="Client pierdut",$O8="Client dormant",$O8="Fără activitate"),$F8,IF($O8="Marjă sub referință",MAX(0,$E8*('09_PARAMETRI'!$B$15-$I8)),$E8*0.15))),""))</f>
        <v/>
      </c>
      <c r="R8" s="48">
        <f>IF(OR($A8="",$E8="",N($E8)&lt;=0),"",$E8+ROW()/1000000)</f>
        <v/>
      </c>
    </row>
    <row r="9">
      <c r="A9" s="39">
        <f>IF('10_CLIENTI'!$A9="","",'10_CLIENTI'!$A9)</f>
        <v/>
      </c>
      <c r="B9" s="39">
        <f>IF($A9="","",IFERROR(INDEX('10_CLIENTI'!$B$5:$B$204,MATCH($A9,'10_CLIENTI'!$A$5:$A$204,0)),""))</f>
        <v/>
      </c>
      <c r="C9" s="39">
        <f>IF($A9="","",IFERROR(INDEX('10_CLIENTI'!$C$5:$C$204,MATCH($A9,'10_CLIENTI'!$A$5:$A$204,0)),""))</f>
        <v/>
      </c>
      <c r="D9" s="39">
        <f>IF($A9="","",IFERROR(INDEX('10_CLIENTI'!$G$5:$G$204,MATCH($A9,'10_CLIENTI'!$A$5:$A$204,0)),""))</f>
        <v/>
      </c>
      <c r="E9" s="24">
        <f>IF($A9="","",SUMIFS('13_VANZARI'!$H$5:$H$1004,'13_VANZARI'!$D$5:$D$1004,$A9,'13_VANZARI'!$A$5:$A$1004,"&gt;="&amp;'09_PARAMETRI'!$B$5,'13_VANZARI'!$A$5:$A$1004,"&lt;="&amp;'09_PARAMETRI'!$B$6))</f>
        <v/>
      </c>
      <c r="F9" s="24">
        <f>IF($A9="","",SUMIFS('13_VANZARI'!$H$5:$H$1004,'13_VANZARI'!$D$5:$D$1004,$A9,'13_VANZARI'!$A$5:$A$1004,"&gt;="&amp;'09_PARAMETRI'!$B$7,'13_VANZARI'!$A$5:$A$1004,"&lt;="&amp;'09_PARAMETRI'!$B$8))</f>
        <v/>
      </c>
      <c r="G9" s="25">
        <f>IF($A9="","",IFERROR(IF($F9=0,"",($E9-$F9)/ABS($F9)),""))</f>
        <v/>
      </c>
      <c r="H9" s="24">
        <f>IF($A9="","",SUMIFS('13_VANZARI'!$K$5:$K$1004,'13_VANZARI'!$D$5:$D$1004,$A9,'13_VANZARI'!$A$5:$A$1004,"&gt;="&amp;'09_PARAMETRI'!$B$5,'13_VANZARI'!$A$5:$A$1004,"&lt;="&amp;'09_PARAMETRI'!$B$6))</f>
        <v/>
      </c>
      <c r="I9" s="25">
        <f>IF($A9="","",IFERROR($H9/$E9,""))</f>
        <v/>
      </c>
      <c r="J9" s="25">
        <f>IF($A9="","",IFERROR($E9/SUMIFS('13_VANZARI'!$H$5:$H$1004,'13_VANZARI'!$A$5:$A$1004,"&gt;="&amp;'09_PARAMETRI'!$B$5,'13_VANZARI'!$A$5:$A$1004,"&lt;="&amp;'09_PARAMETRI'!$B$6),""))</f>
        <v/>
      </c>
      <c r="K9" s="36">
        <f>IF($A9="","",IFERROR(IF(SUMPRODUCT(MAX(('13_VANZARI'!$D$5:$D$1004=$A9)*('13_VANZARI'!$H$5:$H$1004&lt;&gt;"")*'13_VANZARI'!$A$5:$A$1004))=0,"",SUMPRODUCT(MAX(('13_VANZARI'!$D$5:$D$1004=$A9)*('13_VANZARI'!$H$5:$H$1004&lt;&gt;"")*'13_VANZARI'!$A$5:$A$1004))),""))</f>
        <v/>
      </c>
      <c r="L9" s="24">
        <f>IF(OR($A9="",$K9=""),"",'09_PARAMETRI'!$B$9-$K9)</f>
        <v/>
      </c>
      <c r="M9" s="24">
        <f>IF($A9="","",SUMPRODUCT(('11_PRODUSE'!$A$5:$A$104&lt;&gt;"")*(SUMIFS('13_VANZARI'!$H$5:$H$1004,'13_VANZARI'!$D$5:$D$1004,$A9,'13_VANZARI'!$E$5:$E$1004,'11_PRODUSE'!$A$5:$A$104,'13_VANZARI'!$A$5:$A$1004,"&gt;="&amp;'09_PARAMETRI'!$B$5,'13_VANZARI'!$A$5:$A$1004,"&lt;="&amp;'09_PARAMETRI'!$B$6)&lt;&gt;0)))</f>
        <v/>
      </c>
      <c r="N9" s="50">
        <f>IF($A9="","",IFERROR(AVERAGEIFS('15_NPS'!$F$5:$F$504,'15_NPS'!$C$5:$C$504,$A9,'15_NPS'!$B$5:$B$504,"&gt;="&amp;'09_PARAMETRI'!$B$5,'15_NPS'!$B$5:$B$504,"&lt;="&amp;'09_PARAMETRI'!$B$6),""))</f>
        <v/>
      </c>
      <c r="O9" s="39">
        <f>IF($A9="","",IF(AND($F9&gt;0,$E9=0),"Client pierdut",IF(AND($L9&lt;&gt;"",$L9&gt;'09_PARAMETRI'!$B$16,$F9&gt;0),"Client dormant",IF(AND($G9&lt;&gt;"",$G9&lt;='09_PARAMETRI'!$B$13),"Scădere de venit",IF(AND($N9&lt;&gt;"",$N9&lt;7),"Detractor activ",IF(AND($E9&gt;0,$J9&gt;'09_PARAMETRI'!$B$19),"Risc concentrare",IF(AND($E9&gt;0,$I9&lt;&gt;"",$I9&lt;'09_PARAMETRI'!$B$15),"Marjă sub referință",IF(AND($G9&lt;&gt;"",$G9&gt;='09_PARAMETRI'!$B$14),"În creștere",IF($E9=0,"Fără activitate","Stabil")))))))))</f>
        <v/>
      </c>
      <c r="P9" s="39">
        <f>IF($A9="","",IF($O9="Risc concentrare","Risc concentrare",IF($O9="Client pierdut","Recuperare client",IF($O9="Client dormant","Reactivare client",IF($O9="Scădere de venit","Recuperare client",IF($O9="Detractor activ","Recuperare NPS",IF($O9="Marjă sub referință","Marjă / preț",IF($O9="În creștere","Up-sell",IF($O9="Fără activitate","Reactivare client","Cross-sell")))))))))</f>
        <v/>
      </c>
      <c r="Q9" s="24">
        <f>IF($A9="","",IFERROR(IF($O9="Scădere de venit",MAX(0,$F9-$E9),IF(OR($O9="Client pierdut",$O9="Client dormant",$O9="Fără activitate"),$F9,IF($O9="Marjă sub referință",MAX(0,$E9*('09_PARAMETRI'!$B$15-$I9)),$E9*0.15))),""))</f>
        <v/>
      </c>
      <c r="R9" s="48">
        <f>IF(OR($A9="",$E9="",N($E9)&lt;=0),"",$E9+ROW()/1000000)</f>
        <v/>
      </c>
    </row>
    <row r="10">
      <c r="A10" s="39">
        <f>IF('10_CLIENTI'!$A10="","",'10_CLIENTI'!$A10)</f>
        <v/>
      </c>
      <c r="B10" s="39">
        <f>IF($A10="","",IFERROR(INDEX('10_CLIENTI'!$B$5:$B$204,MATCH($A10,'10_CLIENTI'!$A$5:$A$204,0)),""))</f>
        <v/>
      </c>
      <c r="C10" s="39">
        <f>IF($A10="","",IFERROR(INDEX('10_CLIENTI'!$C$5:$C$204,MATCH($A10,'10_CLIENTI'!$A$5:$A$204,0)),""))</f>
        <v/>
      </c>
      <c r="D10" s="39">
        <f>IF($A10="","",IFERROR(INDEX('10_CLIENTI'!$G$5:$G$204,MATCH($A10,'10_CLIENTI'!$A$5:$A$204,0)),""))</f>
        <v/>
      </c>
      <c r="E10" s="24">
        <f>IF($A10="","",SUMIFS('13_VANZARI'!$H$5:$H$1004,'13_VANZARI'!$D$5:$D$1004,$A10,'13_VANZARI'!$A$5:$A$1004,"&gt;="&amp;'09_PARAMETRI'!$B$5,'13_VANZARI'!$A$5:$A$1004,"&lt;="&amp;'09_PARAMETRI'!$B$6))</f>
        <v/>
      </c>
      <c r="F10" s="24">
        <f>IF($A10="","",SUMIFS('13_VANZARI'!$H$5:$H$1004,'13_VANZARI'!$D$5:$D$1004,$A10,'13_VANZARI'!$A$5:$A$1004,"&gt;="&amp;'09_PARAMETRI'!$B$7,'13_VANZARI'!$A$5:$A$1004,"&lt;="&amp;'09_PARAMETRI'!$B$8))</f>
        <v/>
      </c>
      <c r="G10" s="25">
        <f>IF($A10="","",IFERROR(IF($F10=0,"",($E10-$F10)/ABS($F10)),""))</f>
        <v/>
      </c>
      <c r="H10" s="24">
        <f>IF($A10="","",SUMIFS('13_VANZARI'!$K$5:$K$1004,'13_VANZARI'!$D$5:$D$1004,$A10,'13_VANZARI'!$A$5:$A$1004,"&gt;="&amp;'09_PARAMETRI'!$B$5,'13_VANZARI'!$A$5:$A$1004,"&lt;="&amp;'09_PARAMETRI'!$B$6))</f>
        <v/>
      </c>
      <c r="I10" s="25">
        <f>IF($A10="","",IFERROR($H10/$E10,""))</f>
        <v/>
      </c>
      <c r="J10" s="25">
        <f>IF($A10="","",IFERROR($E10/SUMIFS('13_VANZARI'!$H$5:$H$1004,'13_VANZARI'!$A$5:$A$1004,"&gt;="&amp;'09_PARAMETRI'!$B$5,'13_VANZARI'!$A$5:$A$1004,"&lt;="&amp;'09_PARAMETRI'!$B$6),""))</f>
        <v/>
      </c>
      <c r="K10" s="36">
        <f>IF($A10="","",IFERROR(IF(SUMPRODUCT(MAX(('13_VANZARI'!$D$5:$D$1004=$A10)*('13_VANZARI'!$H$5:$H$1004&lt;&gt;"")*'13_VANZARI'!$A$5:$A$1004))=0,"",SUMPRODUCT(MAX(('13_VANZARI'!$D$5:$D$1004=$A10)*('13_VANZARI'!$H$5:$H$1004&lt;&gt;"")*'13_VANZARI'!$A$5:$A$1004))),""))</f>
        <v/>
      </c>
      <c r="L10" s="24">
        <f>IF(OR($A10="",$K10=""),"",'09_PARAMETRI'!$B$9-$K10)</f>
        <v/>
      </c>
      <c r="M10" s="24">
        <f>IF($A10="","",SUMPRODUCT(('11_PRODUSE'!$A$5:$A$104&lt;&gt;"")*(SUMIFS('13_VANZARI'!$H$5:$H$1004,'13_VANZARI'!$D$5:$D$1004,$A10,'13_VANZARI'!$E$5:$E$1004,'11_PRODUSE'!$A$5:$A$104,'13_VANZARI'!$A$5:$A$1004,"&gt;="&amp;'09_PARAMETRI'!$B$5,'13_VANZARI'!$A$5:$A$1004,"&lt;="&amp;'09_PARAMETRI'!$B$6)&lt;&gt;0)))</f>
        <v/>
      </c>
      <c r="N10" s="50">
        <f>IF($A10="","",IFERROR(AVERAGEIFS('15_NPS'!$F$5:$F$504,'15_NPS'!$C$5:$C$504,$A10,'15_NPS'!$B$5:$B$504,"&gt;="&amp;'09_PARAMETRI'!$B$5,'15_NPS'!$B$5:$B$504,"&lt;="&amp;'09_PARAMETRI'!$B$6),""))</f>
        <v/>
      </c>
      <c r="O10" s="39">
        <f>IF($A10="","",IF(AND($F10&gt;0,$E10=0),"Client pierdut",IF(AND($L10&lt;&gt;"",$L10&gt;'09_PARAMETRI'!$B$16,$F10&gt;0),"Client dormant",IF(AND($G10&lt;&gt;"",$G10&lt;='09_PARAMETRI'!$B$13),"Scădere de venit",IF(AND($N10&lt;&gt;"",$N10&lt;7),"Detractor activ",IF(AND($E10&gt;0,$J10&gt;'09_PARAMETRI'!$B$19),"Risc concentrare",IF(AND($E10&gt;0,$I10&lt;&gt;"",$I10&lt;'09_PARAMETRI'!$B$15),"Marjă sub referință",IF(AND($G10&lt;&gt;"",$G10&gt;='09_PARAMETRI'!$B$14),"În creștere",IF($E10=0,"Fără activitate","Stabil")))))))))</f>
        <v/>
      </c>
      <c r="P10" s="39">
        <f>IF($A10="","",IF($O10="Risc concentrare","Risc concentrare",IF($O10="Client pierdut","Recuperare client",IF($O10="Client dormant","Reactivare client",IF($O10="Scădere de venit","Recuperare client",IF($O10="Detractor activ","Recuperare NPS",IF($O10="Marjă sub referință","Marjă / preț",IF($O10="În creștere","Up-sell",IF($O10="Fără activitate","Reactivare client","Cross-sell")))))))))</f>
        <v/>
      </c>
      <c r="Q10" s="24">
        <f>IF($A10="","",IFERROR(IF($O10="Scădere de venit",MAX(0,$F10-$E10),IF(OR($O10="Client pierdut",$O10="Client dormant",$O10="Fără activitate"),$F10,IF($O10="Marjă sub referință",MAX(0,$E10*('09_PARAMETRI'!$B$15-$I10)),$E10*0.15))),""))</f>
        <v/>
      </c>
      <c r="R10" s="48">
        <f>IF(OR($A10="",$E10="",N($E10)&lt;=0),"",$E10+ROW()/1000000)</f>
        <v/>
      </c>
    </row>
    <row r="11">
      <c r="A11" s="39">
        <f>IF('10_CLIENTI'!$A11="","",'10_CLIENTI'!$A11)</f>
        <v/>
      </c>
      <c r="B11" s="39">
        <f>IF($A11="","",IFERROR(INDEX('10_CLIENTI'!$B$5:$B$204,MATCH($A11,'10_CLIENTI'!$A$5:$A$204,0)),""))</f>
        <v/>
      </c>
      <c r="C11" s="39">
        <f>IF($A11="","",IFERROR(INDEX('10_CLIENTI'!$C$5:$C$204,MATCH($A11,'10_CLIENTI'!$A$5:$A$204,0)),""))</f>
        <v/>
      </c>
      <c r="D11" s="39">
        <f>IF($A11="","",IFERROR(INDEX('10_CLIENTI'!$G$5:$G$204,MATCH($A11,'10_CLIENTI'!$A$5:$A$204,0)),""))</f>
        <v/>
      </c>
      <c r="E11" s="24">
        <f>IF($A11="","",SUMIFS('13_VANZARI'!$H$5:$H$1004,'13_VANZARI'!$D$5:$D$1004,$A11,'13_VANZARI'!$A$5:$A$1004,"&gt;="&amp;'09_PARAMETRI'!$B$5,'13_VANZARI'!$A$5:$A$1004,"&lt;="&amp;'09_PARAMETRI'!$B$6))</f>
        <v/>
      </c>
      <c r="F11" s="24">
        <f>IF($A11="","",SUMIFS('13_VANZARI'!$H$5:$H$1004,'13_VANZARI'!$D$5:$D$1004,$A11,'13_VANZARI'!$A$5:$A$1004,"&gt;="&amp;'09_PARAMETRI'!$B$7,'13_VANZARI'!$A$5:$A$1004,"&lt;="&amp;'09_PARAMETRI'!$B$8))</f>
        <v/>
      </c>
      <c r="G11" s="25">
        <f>IF($A11="","",IFERROR(IF($F11=0,"",($E11-$F11)/ABS($F11)),""))</f>
        <v/>
      </c>
      <c r="H11" s="24">
        <f>IF($A11="","",SUMIFS('13_VANZARI'!$K$5:$K$1004,'13_VANZARI'!$D$5:$D$1004,$A11,'13_VANZARI'!$A$5:$A$1004,"&gt;="&amp;'09_PARAMETRI'!$B$5,'13_VANZARI'!$A$5:$A$1004,"&lt;="&amp;'09_PARAMETRI'!$B$6))</f>
        <v/>
      </c>
      <c r="I11" s="25">
        <f>IF($A11="","",IFERROR($H11/$E11,""))</f>
        <v/>
      </c>
      <c r="J11" s="25">
        <f>IF($A11="","",IFERROR($E11/SUMIFS('13_VANZARI'!$H$5:$H$1004,'13_VANZARI'!$A$5:$A$1004,"&gt;="&amp;'09_PARAMETRI'!$B$5,'13_VANZARI'!$A$5:$A$1004,"&lt;="&amp;'09_PARAMETRI'!$B$6),""))</f>
        <v/>
      </c>
      <c r="K11" s="36">
        <f>IF($A11="","",IFERROR(IF(SUMPRODUCT(MAX(('13_VANZARI'!$D$5:$D$1004=$A11)*('13_VANZARI'!$H$5:$H$1004&lt;&gt;"")*'13_VANZARI'!$A$5:$A$1004))=0,"",SUMPRODUCT(MAX(('13_VANZARI'!$D$5:$D$1004=$A11)*('13_VANZARI'!$H$5:$H$1004&lt;&gt;"")*'13_VANZARI'!$A$5:$A$1004))),""))</f>
        <v/>
      </c>
      <c r="L11" s="24">
        <f>IF(OR($A11="",$K11=""),"",'09_PARAMETRI'!$B$9-$K11)</f>
        <v/>
      </c>
      <c r="M11" s="24">
        <f>IF($A11="","",SUMPRODUCT(('11_PRODUSE'!$A$5:$A$104&lt;&gt;"")*(SUMIFS('13_VANZARI'!$H$5:$H$1004,'13_VANZARI'!$D$5:$D$1004,$A11,'13_VANZARI'!$E$5:$E$1004,'11_PRODUSE'!$A$5:$A$104,'13_VANZARI'!$A$5:$A$1004,"&gt;="&amp;'09_PARAMETRI'!$B$5,'13_VANZARI'!$A$5:$A$1004,"&lt;="&amp;'09_PARAMETRI'!$B$6)&lt;&gt;0)))</f>
        <v/>
      </c>
      <c r="N11" s="50">
        <f>IF($A11="","",IFERROR(AVERAGEIFS('15_NPS'!$F$5:$F$504,'15_NPS'!$C$5:$C$504,$A11,'15_NPS'!$B$5:$B$504,"&gt;="&amp;'09_PARAMETRI'!$B$5,'15_NPS'!$B$5:$B$504,"&lt;="&amp;'09_PARAMETRI'!$B$6),""))</f>
        <v/>
      </c>
      <c r="O11" s="39">
        <f>IF($A11="","",IF(AND($F11&gt;0,$E11=0),"Client pierdut",IF(AND($L11&lt;&gt;"",$L11&gt;'09_PARAMETRI'!$B$16,$F11&gt;0),"Client dormant",IF(AND($G11&lt;&gt;"",$G11&lt;='09_PARAMETRI'!$B$13),"Scădere de venit",IF(AND($N11&lt;&gt;"",$N11&lt;7),"Detractor activ",IF(AND($E11&gt;0,$J11&gt;'09_PARAMETRI'!$B$19),"Risc concentrare",IF(AND($E11&gt;0,$I11&lt;&gt;"",$I11&lt;'09_PARAMETRI'!$B$15),"Marjă sub referință",IF(AND($G11&lt;&gt;"",$G11&gt;='09_PARAMETRI'!$B$14),"În creștere",IF($E11=0,"Fără activitate","Stabil")))))))))</f>
        <v/>
      </c>
      <c r="P11" s="39">
        <f>IF($A11="","",IF($O11="Risc concentrare","Risc concentrare",IF($O11="Client pierdut","Recuperare client",IF($O11="Client dormant","Reactivare client",IF($O11="Scădere de venit","Recuperare client",IF($O11="Detractor activ","Recuperare NPS",IF($O11="Marjă sub referință","Marjă / preț",IF($O11="În creștere","Up-sell",IF($O11="Fără activitate","Reactivare client","Cross-sell")))))))))</f>
        <v/>
      </c>
      <c r="Q11" s="24">
        <f>IF($A11="","",IFERROR(IF($O11="Scădere de venit",MAX(0,$F11-$E11),IF(OR($O11="Client pierdut",$O11="Client dormant",$O11="Fără activitate"),$F11,IF($O11="Marjă sub referință",MAX(0,$E11*('09_PARAMETRI'!$B$15-$I11)),$E11*0.15))),""))</f>
        <v/>
      </c>
      <c r="R11" s="48">
        <f>IF(OR($A11="",$E11="",N($E11)&lt;=0),"",$E11+ROW()/1000000)</f>
        <v/>
      </c>
    </row>
    <row r="12">
      <c r="A12" s="39">
        <f>IF('10_CLIENTI'!$A12="","",'10_CLIENTI'!$A12)</f>
        <v/>
      </c>
      <c r="B12" s="39">
        <f>IF($A12="","",IFERROR(INDEX('10_CLIENTI'!$B$5:$B$204,MATCH($A12,'10_CLIENTI'!$A$5:$A$204,0)),""))</f>
        <v/>
      </c>
      <c r="C12" s="39">
        <f>IF($A12="","",IFERROR(INDEX('10_CLIENTI'!$C$5:$C$204,MATCH($A12,'10_CLIENTI'!$A$5:$A$204,0)),""))</f>
        <v/>
      </c>
      <c r="D12" s="39">
        <f>IF($A12="","",IFERROR(INDEX('10_CLIENTI'!$G$5:$G$204,MATCH($A12,'10_CLIENTI'!$A$5:$A$204,0)),""))</f>
        <v/>
      </c>
      <c r="E12" s="24">
        <f>IF($A12="","",SUMIFS('13_VANZARI'!$H$5:$H$1004,'13_VANZARI'!$D$5:$D$1004,$A12,'13_VANZARI'!$A$5:$A$1004,"&gt;="&amp;'09_PARAMETRI'!$B$5,'13_VANZARI'!$A$5:$A$1004,"&lt;="&amp;'09_PARAMETRI'!$B$6))</f>
        <v/>
      </c>
      <c r="F12" s="24">
        <f>IF($A12="","",SUMIFS('13_VANZARI'!$H$5:$H$1004,'13_VANZARI'!$D$5:$D$1004,$A12,'13_VANZARI'!$A$5:$A$1004,"&gt;="&amp;'09_PARAMETRI'!$B$7,'13_VANZARI'!$A$5:$A$1004,"&lt;="&amp;'09_PARAMETRI'!$B$8))</f>
        <v/>
      </c>
      <c r="G12" s="25">
        <f>IF($A12="","",IFERROR(IF($F12=0,"",($E12-$F12)/ABS($F12)),""))</f>
        <v/>
      </c>
      <c r="H12" s="24">
        <f>IF($A12="","",SUMIFS('13_VANZARI'!$K$5:$K$1004,'13_VANZARI'!$D$5:$D$1004,$A12,'13_VANZARI'!$A$5:$A$1004,"&gt;="&amp;'09_PARAMETRI'!$B$5,'13_VANZARI'!$A$5:$A$1004,"&lt;="&amp;'09_PARAMETRI'!$B$6))</f>
        <v/>
      </c>
      <c r="I12" s="25">
        <f>IF($A12="","",IFERROR($H12/$E12,""))</f>
        <v/>
      </c>
      <c r="J12" s="25">
        <f>IF($A12="","",IFERROR($E12/SUMIFS('13_VANZARI'!$H$5:$H$1004,'13_VANZARI'!$A$5:$A$1004,"&gt;="&amp;'09_PARAMETRI'!$B$5,'13_VANZARI'!$A$5:$A$1004,"&lt;="&amp;'09_PARAMETRI'!$B$6),""))</f>
        <v/>
      </c>
      <c r="K12" s="36">
        <f>IF($A12="","",IFERROR(IF(SUMPRODUCT(MAX(('13_VANZARI'!$D$5:$D$1004=$A12)*('13_VANZARI'!$H$5:$H$1004&lt;&gt;"")*'13_VANZARI'!$A$5:$A$1004))=0,"",SUMPRODUCT(MAX(('13_VANZARI'!$D$5:$D$1004=$A12)*('13_VANZARI'!$H$5:$H$1004&lt;&gt;"")*'13_VANZARI'!$A$5:$A$1004))),""))</f>
        <v/>
      </c>
      <c r="L12" s="24">
        <f>IF(OR($A12="",$K12=""),"",'09_PARAMETRI'!$B$9-$K12)</f>
        <v/>
      </c>
      <c r="M12" s="24">
        <f>IF($A12="","",SUMPRODUCT(('11_PRODUSE'!$A$5:$A$104&lt;&gt;"")*(SUMIFS('13_VANZARI'!$H$5:$H$1004,'13_VANZARI'!$D$5:$D$1004,$A12,'13_VANZARI'!$E$5:$E$1004,'11_PRODUSE'!$A$5:$A$104,'13_VANZARI'!$A$5:$A$1004,"&gt;="&amp;'09_PARAMETRI'!$B$5,'13_VANZARI'!$A$5:$A$1004,"&lt;="&amp;'09_PARAMETRI'!$B$6)&lt;&gt;0)))</f>
        <v/>
      </c>
      <c r="N12" s="50">
        <f>IF($A12="","",IFERROR(AVERAGEIFS('15_NPS'!$F$5:$F$504,'15_NPS'!$C$5:$C$504,$A12,'15_NPS'!$B$5:$B$504,"&gt;="&amp;'09_PARAMETRI'!$B$5,'15_NPS'!$B$5:$B$504,"&lt;="&amp;'09_PARAMETRI'!$B$6),""))</f>
        <v/>
      </c>
      <c r="O12" s="39">
        <f>IF($A12="","",IF(AND($F12&gt;0,$E12=0),"Client pierdut",IF(AND($L12&lt;&gt;"",$L12&gt;'09_PARAMETRI'!$B$16,$F12&gt;0),"Client dormant",IF(AND($G12&lt;&gt;"",$G12&lt;='09_PARAMETRI'!$B$13),"Scădere de venit",IF(AND($N12&lt;&gt;"",$N12&lt;7),"Detractor activ",IF(AND($E12&gt;0,$J12&gt;'09_PARAMETRI'!$B$19),"Risc concentrare",IF(AND($E12&gt;0,$I12&lt;&gt;"",$I12&lt;'09_PARAMETRI'!$B$15),"Marjă sub referință",IF(AND($G12&lt;&gt;"",$G12&gt;='09_PARAMETRI'!$B$14),"În creștere",IF($E12=0,"Fără activitate","Stabil")))))))))</f>
        <v/>
      </c>
      <c r="P12" s="39">
        <f>IF($A12="","",IF($O12="Risc concentrare","Risc concentrare",IF($O12="Client pierdut","Recuperare client",IF($O12="Client dormant","Reactivare client",IF($O12="Scădere de venit","Recuperare client",IF($O12="Detractor activ","Recuperare NPS",IF($O12="Marjă sub referință","Marjă / preț",IF($O12="În creștere","Up-sell",IF($O12="Fără activitate","Reactivare client","Cross-sell")))))))))</f>
        <v/>
      </c>
      <c r="Q12" s="24">
        <f>IF($A12="","",IFERROR(IF($O12="Scădere de venit",MAX(0,$F12-$E12),IF(OR($O12="Client pierdut",$O12="Client dormant",$O12="Fără activitate"),$F12,IF($O12="Marjă sub referință",MAX(0,$E12*('09_PARAMETRI'!$B$15-$I12)),$E12*0.15))),""))</f>
        <v/>
      </c>
      <c r="R12" s="48">
        <f>IF(OR($A12="",$E12="",N($E12)&lt;=0),"",$E12+ROW()/1000000)</f>
        <v/>
      </c>
    </row>
    <row r="13">
      <c r="A13" s="39">
        <f>IF('10_CLIENTI'!$A13="","",'10_CLIENTI'!$A13)</f>
        <v/>
      </c>
      <c r="B13" s="39">
        <f>IF($A13="","",IFERROR(INDEX('10_CLIENTI'!$B$5:$B$204,MATCH($A13,'10_CLIENTI'!$A$5:$A$204,0)),""))</f>
        <v/>
      </c>
      <c r="C13" s="39">
        <f>IF($A13="","",IFERROR(INDEX('10_CLIENTI'!$C$5:$C$204,MATCH($A13,'10_CLIENTI'!$A$5:$A$204,0)),""))</f>
        <v/>
      </c>
      <c r="D13" s="39">
        <f>IF($A13="","",IFERROR(INDEX('10_CLIENTI'!$G$5:$G$204,MATCH($A13,'10_CLIENTI'!$A$5:$A$204,0)),""))</f>
        <v/>
      </c>
      <c r="E13" s="24">
        <f>IF($A13="","",SUMIFS('13_VANZARI'!$H$5:$H$1004,'13_VANZARI'!$D$5:$D$1004,$A13,'13_VANZARI'!$A$5:$A$1004,"&gt;="&amp;'09_PARAMETRI'!$B$5,'13_VANZARI'!$A$5:$A$1004,"&lt;="&amp;'09_PARAMETRI'!$B$6))</f>
        <v/>
      </c>
      <c r="F13" s="24">
        <f>IF($A13="","",SUMIFS('13_VANZARI'!$H$5:$H$1004,'13_VANZARI'!$D$5:$D$1004,$A13,'13_VANZARI'!$A$5:$A$1004,"&gt;="&amp;'09_PARAMETRI'!$B$7,'13_VANZARI'!$A$5:$A$1004,"&lt;="&amp;'09_PARAMETRI'!$B$8))</f>
        <v/>
      </c>
      <c r="G13" s="25">
        <f>IF($A13="","",IFERROR(IF($F13=0,"",($E13-$F13)/ABS($F13)),""))</f>
        <v/>
      </c>
      <c r="H13" s="24">
        <f>IF($A13="","",SUMIFS('13_VANZARI'!$K$5:$K$1004,'13_VANZARI'!$D$5:$D$1004,$A13,'13_VANZARI'!$A$5:$A$1004,"&gt;="&amp;'09_PARAMETRI'!$B$5,'13_VANZARI'!$A$5:$A$1004,"&lt;="&amp;'09_PARAMETRI'!$B$6))</f>
        <v/>
      </c>
      <c r="I13" s="25">
        <f>IF($A13="","",IFERROR($H13/$E13,""))</f>
        <v/>
      </c>
      <c r="J13" s="25">
        <f>IF($A13="","",IFERROR($E13/SUMIFS('13_VANZARI'!$H$5:$H$1004,'13_VANZARI'!$A$5:$A$1004,"&gt;="&amp;'09_PARAMETRI'!$B$5,'13_VANZARI'!$A$5:$A$1004,"&lt;="&amp;'09_PARAMETRI'!$B$6),""))</f>
        <v/>
      </c>
      <c r="K13" s="36">
        <f>IF($A13="","",IFERROR(IF(SUMPRODUCT(MAX(('13_VANZARI'!$D$5:$D$1004=$A13)*('13_VANZARI'!$H$5:$H$1004&lt;&gt;"")*'13_VANZARI'!$A$5:$A$1004))=0,"",SUMPRODUCT(MAX(('13_VANZARI'!$D$5:$D$1004=$A13)*('13_VANZARI'!$H$5:$H$1004&lt;&gt;"")*'13_VANZARI'!$A$5:$A$1004))),""))</f>
        <v/>
      </c>
      <c r="L13" s="24">
        <f>IF(OR($A13="",$K13=""),"",'09_PARAMETRI'!$B$9-$K13)</f>
        <v/>
      </c>
      <c r="M13" s="24">
        <f>IF($A13="","",SUMPRODUCT(('11_PRODUSE'!$A$5:$A$104&lt;&gt;"")*(SUMIFS('13_VANZARI'!$H$5:$H$1004,'13_VANZARI'!$D$5:$D$1004,$A13,'13_VANZARI'!$E$5:$E$1004,'11_PRODUSE'!$A$5:$A$104,'13_VANZARI'!$A$5:$A$1004,"&gt;="&amp;'09_PARAMETRI'!$B$5,'13_VANZARI'!$A$5:$A$1004,"&lt;="&amp;'09_PARAMETRI'!$B$6)&lt;&gt;0)))</f>
        <v/>
      </c>
      <c r="N13" s="50">
        <f>IF($A13="","",IFERROR(AVERAGEIFS('15_NPS'!$F$5:$F$504,'15_NPS'!$C$5:$C$504,$A13,'15_NPS'!$B$5:$B$504,"&gt;="&amp;'09_PARAMETRI'!$B$5,'15_NPS'!$B$5:$B$504,"&lt;="&amp;'09_PARAMETRI'!$B$6),""))</f>
        <v/>
      </c>
      <c r="O13" s="39">
        <f>IF($A13="","",IF(AND($F13&gt;0,$E13=0),"Client pierdut",IF(AND($L13&lt;&gt;"",$L13&gt;'09_PARAMETRI'!$B$16,$F13&gt;0),"Client dormant",IF(AND($G13&lt;&gt;"",$G13&lt;='09_PARAMETRI'!$B$13),"Scădere de venit",IF(AND($N13&lt;&gt;"",$N13&lt;7),"Detractor activ",IF(AND($E13&gt;0,$J13&gt;'09_PARAMETRI'!$B$19),"Risc concentrare",IF(AND($E13&gt;0,$I13&lt;&gt;"",$I13&lt;'09_PARAMETRI'!$B$15),"Marjă sub referință",IF(AND($G13&lt;&gt;"",$G13&gt;='09_PARAMETRI'!$B$14),"În creștere",IF($E13=0,"Fără activitate","Stabil")))))))))</f>
        <v/>
      </c>
      <c r="P13" s="39">
        <f>IF($A13="","",IF($O13="Risc concentrare","Risc concentrare",IF($O13="Client pierdut","Recuperare client",IF($O13="Client dormant","Reactivare client",IF($O13="Scădere de venit","Recuperare client",IF($O13="Detractor activ","Recuperare NPS",IF($O13="Marjă sub referință","Marjă / preț",IF($O13="În creștere","Up-sell",IF($O13="Fără activitate","Reactivare client","Cross-sell")))))))))</f>
        <v/>
      </c>
      <c r="Q13" s="24">
        <f>IF($A13="","",IFERROR(IF($O13="Scădere de venit",MAX(0,$F13-$E13),IF(OR($O13="Client pierdut",$O13="Client dormant",$O13="Fără activitate"),$F13,IF($O13="Marjă sub referință",MAX(0,$E13*('09_PARAMETRI'!$B$15-$I13)),$E13*0.15))),""))</f>
        <v/>
      </c>
      <c r="R13" s="48">
        <f>IF(OR($A13="",$E13="",N($E13)&lt;=0),"",$E13+ROW()/1000000)</f>
        <v/>
      </c>
    </row>
    <row r="14">
      <c r="A14" s="39">
        <f>IF('10_CLIENTI'!$A14="","",'10_CLIENTI'!$A14)</f>
        <v/>
      </c>
      <c r="B14" s="39">
        <f>IF($A14="","",IFERROR(INDEX('10_CLIENTI'!$B$5:$B$204,MATCH($A14,'10_CLIENTI'!$A$5:$A$204,0)),""))</f>
        <v/>
      </c>
      <c r="C14" s="39">
        <f>IF($A14="","",IFERROR(INDEX('10_CLIENTI'!$C$5:$C$204,MATCH($A14,'10_CLIENTI'!$A$5:$A$204,0)),""))</f>
        <v/>
      </c>
      <c r="D14" s="39">
        <f>IF($A14="","",IFERROR(INDEX('10_CLIENTI'!$G$5:$G$204,MATCH($A14,'10_CLIENTI'!$A$5:$A$204,0)),""))</f>
        <v/>
      </c>
      <c r="E14" s="24">
        <f>IF($A14="","",SUMIFS('13_VANZARI'!$H$5:$H$1004,'13_VANZARI'!$D$5:$D$1004,$A14,'13_VANZARI'!$A$5:$A$1004,"&gt;="&amp;'09_PARAMETRI'!$B$5,'13_VANZARI'!$A$5:$A$1004,"&lt;="&amp;'09_PARAMETRI'!$B$6))</f>
        <v/>
      </c>
      <c r="F14" s="24">
        <f>IF($A14="","",SUMIFS('13_VANZARI'!$H$5:$H$1004,'13_VANZARI'!$D$5:$D$1004,$A14,'13_VANZARI'!$A$5:$A$1004,"&gt;="&amp;'09_PARAMETRI'!$B$7,'13_VANZARI'!$A$5:$A$1004,"&lt;="&amp;'09_PARAMETRI'!$B$8))</f>
        <v/>
      </c>
      <c r="G14" s="25">
        <f>IF($A14="","",IFERROR(IF($F14=0,"",($E14-$F14)/ABS($F14)),""))</f>
        <v/>
      </c>
      <c r="H14" s="24">
        <f>IF($A14="","",SUMIFS('13_VANZARI'!$K$5:$K$1004,'13_VANZARI'!$D$5:$D$1004,$A14,'13_VANZARI'!$A$5:$A$1004,"&gt;="&amp;'09_PARAMETRI'!$B$5,'13_VANZARI'!$A$5:$A$1004,"&lt;="&amp;'09_PARAMETRI'!$B$6))</f>
        <v/>
      </c>
      <c r="I14" s="25">
        <f>IF($A14="","",IFERROR($H14/$E14,""))</f>
        <v/>
      </c>
      <c r="J14" s="25">
        <f>IF($A14="","",IFERROR($E14/SUMIFS('13_VANZARI'!$H$5:$H$1004,'13_VANZARI'!$A$5:$A$1004,"&gt;="&amp;'09_PARAMETRI'!$B$5,'13_VANZARI'!$A$5:$A$1004,"&lt;="&amp;'09_PARAMETRI'!$B$6),""))</f>
        <v/>
      </c>
      <c r="K14" s="36">
        <f>IF($A14="","",IFERROR(IF(SUMPRODUCT(MAX(('13_VANZARI'!$D$5:$D$1004=$A14)*('13_VANZARI'!$H$5:$H$1004&lt;&gt;"")*'13_VANZARI'!$A$5:$A$1004))=0,"",SUMPRODUCT(MAX(('13_VANZARI'!$D$5:$D$1004=$A14)*('13_VANZARI'!$H$5:$H$1004&lt;&gt;"")*'13_VANZARI'!$A$5:$A$1004))),""))</f>
        <v/>
      </c>
      <c r="L14" s="24">
        <f>IF(OR($A14="",$K14=""),"",'09_PARAMETRI'!$B$9-$K14)</f>
        <v/>
      </c>
      <c r="M14" s="24">
        <f>IF($A14="","",SUMPRODUCT(('11_PRODUSE'!$A$5:$A$104&lt;&gt;"")*(SUMIFS('13_VANZARI'!$H$5:$H$1004,'13_VANZARI'!$D$5:$D$1004,$A14,'13_VANZARI'!$E$5:$E$1004,'11_PRODUSE'!$A$5:$A$104,'13_VANZARI'!$A$5:$A$1004,"&gt;="&amp;'09_PARAMETRI'!$B$5,'13_VANZARI'!$A$5:$A$1004,"&lt;="&amp;'09_PARAMETRI'!$B$6)&lt;&gt;0)))</f>
        <v/>
      </c>
      <c r="N14" s="50">
        <f>IF($A14="","",IFERROR(AVERAGEIFS('15_NPS'!$F$5:$F$504,'15_NPS'!$C$5:$C$504,$A14,'15_NPS'!$B$5:$B$504,"&gt;="&amp;'09_PARAMETRI'!$B$5,'15_NPS'!$B$5:$B$504,"&lt;="&amp;'09_PARAMETRI'!$B$6),""))</f>
        <v/>
      </c>
      <c r="O14" s="39">
        <f>IF($A14="","",IF(AND($F14&gt;0,$E14=0),"Client pierdut",IF(AND($L14&lt;&gt;"",$L14&gt;'09_PARAMETRI'!$B$16,$F14&gt;0),"Client dormant",IF(AND($G14&lt;&gt;"",$G14&lt;='09_PARAMETRI'!$B$13),"Scădere de venit",IF(AND($N14&lt;&gt;"",$N14&lt;7),"Detractor activ",IF(AND($E14&gt;0,$J14&gt;'09_PARAMETRI'!$B$19),"Risc concentrare",IF(AND($E14&gt;0,$I14&lt;&gt;"",$I14&lt;'09_PARAMETRI'!$B$15),"Marjă sub referință",IF(AND($G14&lt;&gt;"",$G14&gt;='09_PARAMETRI'!$B$14),"În creștere",IF($E14=0,"Fără activitate","Stabil")))))))))</f>
        <v/>
      </c>
      <c r="P14" s="39">
        <f>IF($A14="","",IF($O14="Risc concentrare","Risc concentrare",IF($O14="Client pierdut","Recuperare client",IF($O14="Client dormant","Reactivare client",IF($O14="Scădere de venit","Recuperare client",IF($O14="Detractor activ","Recuperare NPS",IF($O14="Marjă sub referință","Marjă / preț",IF($O14="În creștere","Up-sell",IF($O14="Fără activitate","Reactivare client","Cross-sell")))))))))</f>
        <v/>
      </c>
      <c r="Q14" s="24">
        <f>IF($A14="","",IFERROR(IF($O14="Scădere de venit",MAX(0,$F14-$E14),IF(OR($O14="Client pierdut",$O14="Client dormant",$O14="Fără activitate"),$F14,IF($O14="Marjă sub referință",MAX(0,$E14*('09_PARAMETRI'!$B$15-$I14)),$E14*0.15))),""))</f>
        <v/>
      </c>
      <c r="R14" s="48">
        <f>IF(OR($A14="",$E14="",N($E14)&lt;=0),"",$E14+ROW()/1000000)</f>
        <v/>
      </c>
    </row>
    <row r="15">
      <c r="A15" s="39">
        <f>IF('10_CLIENTI'!$A15="","",'10_CLIENTI'!$A15)</f>
        <v/>
      </c>
      <c r="B15" s="39">
        <f>IF($A15="","",IFERROR(INDEX('10_CLIENTI'!$B$5:$B$204,MATCH($A15,'10_CLIENTI'!$A$5:$A$204,0)),""))</f>
        <v/>
      </c>
      <c r="C15" s="39">
        <f>IF($A15="","",IFERROR(INDEX('10_CLIENTI'!$C$5:$C$204,MATCH($A15,'10_CLIENTI'!$A$5:$A$204,0)),""))</f>
        <v/>
      </c>
      <c r="D15" s="39">
        <f>IF($A15="","",IFERROR(INDEX('10_CLIENTI'!$G$5:$G$204,MATCH($A15,'10_CLIENTI'!$A$5:$A$204,0)),""))</f>
        <v/>
      </c>
      <c r="E15" s="24">
        <f>IF($A15="","",SUMIFS('13_VANZARI'!$H$5:$H$1004,'13_VANZARI'!$D$5:$D$1004,$A15,'13_VANZARI'!$A$5:$A$1004,"&gt;="&amp;'09_PARAMETRI'!$B$5,'13_VANZARI'!$A$5:$A$1004,"&lt;="&amp;'09_PARAMETRI'!$B$6))</f>
        <v/>
      </c>
      <c r="F15" s="24">
        <f>IF($A15="","",SUMIFS('13_VANZARI'!$H$5:$H$1004,'13_VANZARI'!$D$5:$D$1004,$A15,'13_VANZARI'!$A$5:$A$1004,"&gt;="&amp;'09_PARAMETRI'!$B$7,'13_VANZARI'!$A$5:$A$1004,"&lt;="&amp;'09_PARAMETRI'!$B$8))</f>
        <v/>
      </c>
      <c r="G15" s="25">
        <f>IF($A15="","",IFERROR(IF($F15=0,"",($E15-$F15)/ABS($F15)),""))</f>
        <v/>
      </c>
      <c r="H15" s="24">
        <f>IF($A15="","",SUMIFS('13_VANZARI'!$K$5:$K$1004,'13_VANZARI'!$D$5:$D$1004,$A15,'13_VANZARI'!$A$5:$A$1004,"&gt;="&amp;'09_PARAMETRI'!$B$5,'13_VANZARI'!$A$5:$A$1004,"&lt;="&amp;'09_PARAMETRI'!$B$6))</f>
        <v/>
      </c>
      <c r="I15" s="25">
        <f>IF($A15="","",IFERROR($H15/$E15,""))</f>
        <v/>
      </c>
      <c r="J15" s="25">
        <f>IF($A15="","",IFERROR($E15/SUMIFS('13_VANZARI'!$H$5:$H$1004,'13_VANZARI'!$A$5:$A$1004,"&gt;="&amp;'09_PARAMETRI'!$B$5,'13_VANZARI'!$A$5:$A$1004,"&lt;="&amp;'09_PARAMETRI'!$B$6),""))</f>
        <v/>
      </c>
      <c r="K15" s="36">
        <f>IF($A15="","",IFERROR(IF(SUMPRODUCT(MAX(('13_VANZARI'!$D$5:$D$1004=$A15)*('13_VANZARI'!$H$5:$H$1004&lt;&gt;"")*'13_VANZARI'!$A$5:$A$1004))=0,"",SUMPRODUCT(MAX(('13_VANZARI'!$D$5:$D$1004=$A15)*('13_VANZARI'!$H$5:$H$1004&lt;&gt;"")*'13_VANZARI'!$A$5:$A$1004))),""))</f>
        <v/>
      </c>
      <c r="L15" s="24">
        <f>IF(OR($A15="",$K15=""),"",'09_PARAMETRI'!$B$9-$K15)</f>
        <v/>
      </c>
      <c r="M15" s="24">
        <f>IF($A15="","",SUMPRODUCT(('11_PRODUSE'!$A$5:$A$104&lt;&gt;"")*(SUMIFS('13_VANZARI'!$H$5:$H$1004,'13_VANZARI'!$D$5:$D$1004,$A15,'13_VANZARI'!$E$5:$E$1004,'11_PRODUSE'!$A$5:$A$104,'13_VANZARI'!$A$5:$A$1004,"&gt;="&amp;'09_PARAMETRI'!$B$5,'13_VANZARI'!$A$5:$A$1004,"&lt;="&amp;'09_PARAMETRI'!$B$6)&lt;&gt;0)))</f>
        <v/>
      </c>
      <c r="N15" s="50">
        <f>IF($A15="","",IFERROR(AVERAGEIFS('15_NPS'!$F$5:$F$504,'15_NPS'!$C$5:$C$504,$A15,'15_NPS'!$B$5:$B$504,"&gt;="&amp;'09_PARAMETRI'!$B$5,'15_NPS'!$B$5:$B$504,"&lt;="&amp;'09_PARAMETRI'!$B$6),""))</f>
        <v/>
      </c>
      <c r="O15" s="39">
        <f>IF($A15="","",IF(AND($F15&gt;0,$E15=0),"Client pierdut",IF(AND($L15&lt;&gt;"",$L15&gt;'09_PARAMETRI'!$B$16,$F15&gt;0),"Client dormant",IF(AND($G15&lt;&gt;"",$G15&lt;='09_PARAMETRI'!$B$13),"Scădere de venit",IF(AND($N15&lt;&gt;"",$N15&lt;7),"Detractor activ",IF(AND($E15&gt;0,$J15&gt;'09_PARAMETRI'!$B$19),"Risc concentrare",IF(AND($E15&gt;0,$I15&lt;&gt;"",$I15&lt;'09_PARAMETRI'!$B$15),"Marjă sub referință",IF(AND($G15&lt;&gt;"",$G15&gt;='09_PARAMETRI'!$B$14),"În creștere",IF($E15=0,"Fără activitate","Stabil")))))))))</f>
        <v/>
      </c>
      <c r="P15" s="39">
        <f>IF($A15="","",IF($O15="Risc concentrare","Risc concentrare",IF($O15="Client pierdut","Recuperare client",IF($O15="Client dormant","Reactivare client",IF($O15="Scădere de venit","Recuperare client",IF($O15="Detractor activ","Recuperare NPS",IF($O15="Marjă sub referință","Marjă / preț",IF($O15="În creștere","Up-sell",IF($O15="Fără activitate","Reactivare client","Cross-sell")))))))))</f>
        <v/>
      </c>
      <c r="Q15" s="24">
        <f>IF($A15="","",IFERROR(IF($O15="Scădere de venit",MAX(0,$F15-$E15),IF(OR($O15="Client pierdut",$O15="Client dormant",$O15="Fără activitate"),$F15,IF($O15="Marjă sub referință",MAX(0,$E15*('09_PARAMETRI'!$B$15-$I15)),$E15*0.15))),""))</f>
        <v/>
      </c>
      <c r="R15" s="48">
        <f>IF(OR($A15="",$E15="",N($E15)&lt;=0),"",$E15+ROW()/1000000)</f>
        <v/>
      </c>
    </row>
    <row r="16">
      <c r="A16" s="39">
        <f>IF('10_CLIENTI'!$A16="","",'10_CLIENTI'!$A16)</f>
        <v/>
      </c>
      <c r="B16" s="39">
        <f>IF($A16="","",IFERROR(INDEX('10_CLIENTI'!$B$5:$B$204,MATCH($A16,'10_CLIENTI'!$A$5:$A$204,0)),""))</f>
        <v/>
      </c>
      <c r="C16" s="39">
        <f>IF($A16="","",IFERROR(INDEX('10_CLIENTI'!$C$5:$C$204,MATCH($A16,'10_CLIENTI'!$A$5:$A$204,0)),""))</f>
        <v/>
      </c>
      <c r="D16" s="39">
        <f>IF($A16="","",IFERROR(INDEX('10_CLIENTI'!$G$5:$G$204,MATCH($A16,'10_CLIENTI'!$A$5:$A$204,0)),""))</f>
        <v/>
      </c>
      <c r="E16" s="24">
        <f>IF($A16="","",SUMIFS('13_VANZARI'!$H$5:$H$1004,'13_VANZARI'!$D$5:$D$1004,$A16,'13_VANZARI'!$A$5:$A$1004,"&gt;="&amp;'09_PARAMETRI'!$B$5,'13_VANZARI'!$A$5:$A$1004,"&lt;="&amp;'09_PARAMETRI'!$B$6))</f>
        <v/>
      </c>
      <c r="F16" s="24">
        <f>IF($A16="","",SUMIFS('13_VANZARI'!$H$5:$H$1004,'13_VANZARI'!$D$5:$D$1004,$A16,'13_VANZARI'!$A$5:$A$1004,"&gt;="&amp;'09_PARAMETRI'!$B$7,'13_VANZARI'!$A$5:$A$1004,"&lt;="&amp;'09_PARAMETRI'!$B$8))</f>
        <v/>
      </c>
      <c r="G16" s="25">
        <f>IF($A16="","",IFERROR(IF($F16=0,"",($E16-$F16)/ABS($F16)),""))</f>
        <v/>
      </c>
      <c r="H16" s="24">
        <f>IF($A16="","",SUMIFS('13_VANZARI'!$K$5:$K$1004,'13_VANZARI'!$D$5:$D$1004,$A16,'13_VANZARI'!$A$5:$A$1004,"&gt;="&amp;'09_PARAMETRI'!$B$5,'13_VANZARI'!$A$5:$A$1004,"&lt;="&amp;'09_PARAMETRI'!$B$6))</f>
        <v/>
      </c>
      <c r="I16" s="25">
        <f>IF($A16="","",IFERROR($H16/$E16,""))</f>
        <v/>
      </c>
      <c r="J16" s="25">
        <f>IF($A16="","",IFERROR($E16/SUMIFS('13_VANZARI'!$H$5:$H$1004,'13_VANZARI'!$A$5:$A$1004,"&gt;="&amp;'09_PARAMETRI'!$B$5,'13_VANZARI'!$A$5:$A$1004,"&lt;="&amp;'09_PARAMETRI'!$B$6),""))</f>
        <v/>
      </c>
      <c r="K16" s="36">
        <f>IF($A16="","",IFERROR(IF(SUMPRODUCT(MAX(('13_VANZARI'!$D$5:$D$1004=$A16)*('13_VANZARI'!$H$5:$H$1004&lt;&gt;"")*'13_VANZARI'!$A$5:$A$1004))=0,"",SUMPRODUCT(MAX(('13_VANZARI'!$D$5:$D$1004=$A16)*('13_VANZARI'!$H$5:$H$1004&lt;&gt;"")*'13_VANZARI'!$A$5:$A$1004))),""))</f>
        <v/>
      </c>
      <c r="L16" s="24">
        <f>IF(OR($A16="",$K16=""),"",'09_PARAMETRI'!$B$9-$K16)</f>
        <v/>
      </c>
      <c r="M16" s="24">
        <f>IF($A16="","",SUMPRODUCT(('11_PRODUSE'!$A$5:$A$104&lt;&gt;"")*(SUMIFS('13_VANZARI'!$H$5:$H$1004,'13_VANZARI'!$D$5:$D$1004,$A16,'13_VANZARI'!$E$5:$E$1004,'11_PRODUSE'!$A$5:$A$104,'13_VANZARI'!$A$5:$A$1004,"&gt;="&amp;'09_PARAMETRI'!$B$5,'13_VANZARI'!$A$5:$A$1004,"&lt;="&amp;'09_PARAMETRI'!$B$6)&lt;&gt;0)))</f>
        <v/>
      </c>
      <c r="N16" s="50">
        <f>IF($A16="","",IFERROR(AVERAGEIFS('15_NPS'!$F$5:$F$504,'15_NPS'!$C$5:$C$504,$A16,'15_NPS'!$B$5:$B$504,"&gt;="&amp;'09_PARAMETRI'!$B$5,'15_NPS'!$B$5:$B$504,"&lt;="&amp;'09_PARAMETRI'!$B$6),""))</f>
        <v/>
      </c>
      <c r="O16" s="39">
        <f>IF($A16="","",IF(AND($F16&gt;0,$E16=0),"Client pierdut",IF(AND($L16&lt;&gt;"",$L16&gt;'09_PARAMETRI'!$B$16,$F16&gt;0),"Client dormant",IF(AND($G16&lt;&gt;"",$G16&lt;='09_PARAMETRI'!$B$13),"Scădere de venit",IF(AND($N16&lt;&gt;"",$N16&lt;7),"Detractor activ",IF(AND($E16&gt;0,$J16&gt;'09_PARAMETRI'!$B$19),"Risc concentrare",IF(AND($E16&gt;0,$I16&lt;&gt;"",$I16&lt;'09_PARAMETRI'!$B$15),"Marjă sub referință",IF(AND($G16&lt;&gt;"",$G16&gt;='09_PARAMETRI'!$B$14),"În creștere",IF($E16=0,"Fără activitate","Stabil")))))))))</f>
        <v/>
      </c>
      <c r="P16" s="39">
        <f>IF($A16="","",IF($O16="Risc concentrare","Risc concentrare",IF($O16="Client pierdut","Recuperare client",IF($O16="Client dormant","Reactivare client",IF($O16="Scădere de venit","Recuperare client",IF($O16="Detractor activ","Recuperare NPS",IF($O16="Marjă sub referință","Marjă / preț",IF($O16="În creștere","Up-sell",IF($O16="Fără activitate","Reactivare client","Cross-sell")))))))))</f>
        <v/>
      </c>
      <c r="Q16" s="24">
        <f>IF($A16="","",IFERROR(IF($O16="Scădere de venit",MAX(0,$F16-$E16),IF(OR($O16="Client pierdut",$O16="Client dormant",$O16="Fără activitate"),$F16,IF($O16="Marjă sub referință",MAX(0,$E16*('09_PARAMETRI'!$B$15-$I16)),$E16*0.15))),""))</f>
        <v/>
      </c>
      <c r="R16" s="48">
        <f>IF(OR($A16="",$E16="",N($E16)&lt;=0),"",$E16+ROW()/1000000)</f>
        <v/>
      </c>
    </row>
    <row r="17">
      <c r="A17" s="39">
        <f>IF('10_CLIENTI'!$A17="","",'10_CLIENTI'!$A17)</f>
        <v/>
      </c>
      <c r="B17" s="39">
        <f>IF($A17="","",IFERROR(INDEX('10_CLIENTI'!$B$5:$B$204,MATCH($A17,'10_CLIENTI'!$A$5:$A$204,0)),""))</f>
        <v/>
      </c>
      <c r="C17" s="39">
        <f>IF($A17="","",IFERROR(INDEX('10_CLIENTI'!$C$5:$C$204,MATCH($A17,'10_CLIENTI'!$A$5:$A$204,0)),""))</f>
        <v/>
      </c>
      <c r="D17" s="39">
        <f>IF($A17="","",IFERROR(INDEX('10_CLIENTI'!$G$5:$G$204,MATCH($A17,'10_CLIENTI'!$A$5:$A$204,0)),""))</f>
        <v/>
      </c>
      <c r="E17" s="24">
        <f>IF($A17="","",SUMIFS('13_VANZARI'!$H$5:$H$1004,'13_VANZARI'!$D$5:$D$1004,$A17,'13_VANZARI'!$A$5:$A$1004,"&gt;="&amp;'09_PARAMETRI'!$B$5,'13_VANZARI'!$A$5:$A$1004,"&lt;="&amp;'09_PARAMETRI'!$B$6))</f>
        <v/>
      </c>
      <c r="F17" s="24">
        <f>IF($A17="","",SUMIFS('13_VANZARI'!$H$5:$H$1004,'13_VANZARI'!$D$5:$D$1004,$A17,'13_VANZARI'!$A$5:$A$1004,"&gt;="&amp;'09_PARAMETRI'!$B$7,'13_VANZARI'!$A$5:$A$1004,"&lt;="&amp;'09_PARAMETRI'!$B$8))</f>
        <v/>
      </c>
      <c r="G17" s="25">
        <f>IF($A17="","",IFERROR(IF($F17=0,"",($E17-$F17)/ABS($F17)),""))</f>
        <v/>
      </c>
      <c r="H17" s="24">
        <f>IF($A17="","",SUMIFS('13_VANZARI'!$K$5:$K$1004,'13_VANZARI'!$D$5:$D$1004,$A17,'13_VANZARI'!$A$5:$A$1004,"&gt;="&amp;'09_PARAMETRI'!$B$5,'13_VANZARI'!$A$5:$A$1004,"&lt;="&amp;'09_PARAMETRI'!$B$6))</f>
        <v/>
      </c>
      <c r="I17" s="25">
        <f>IF($A17="","",IFERROR($H17/$E17,""))</f>
        <v/>
      </c>
      <c r="J17" s="25">
        <f>IF($A17="","",IFERROR($E17/SUMIFS('13_VANZARI'!$H$5:$H$1004,'13_VANZARI'!$A$5:$A$1004,"&gt;="&amp;'09_PARAMETRI'!$B$5,'13_VANZARI'!$A$5:$A$1004,"&lt;="&amp;'09_PARAMETRI'!$B$6),""))</f>
        <v/>
      </c>
      <c r="K17" s="36">
        <f>IF($A17="","",IFERROR(IF(SUMPRODUCT(MAX(('13_VANZARI'!$D$5:$D$1004=$A17)*('13_VANZARI'!$H$5:$H$1004&lt;&gt;"")*'13_VANZARI'!$A$5:$A$1004))=0,"",SUMPRODUCT(MAX(('13_VANZARI'!$D$5:$D$1004=$A17)*('13_VANZARI'!$H$5:$H$1004&lt;&gt;"")*'13_VANZARI'!$A$5:$A$1004))),""))</f>
        <v/>
      </c>
      <c r="L17" s="24">
        <f>IF(OR($A17="",$K17=""),"",'09_PARAMETRI'!$B$9-$K17)</f>
        <v/>
      </c>
      <c r="M17" s="24">
        <f>IF($A17="","",SUMPRODUCT(('11_PRODUSE'!$A$5:$A$104&lt;&gt;"")*(SUMIFS('13_VANZARI'!$H$5:$H$1004,'13_VANZARI'!$D$5:$D$1004,$A17,'13_VANZARI'!$E$5:$E$1004,'11_PRODUSE'!$A$5:$A$104,'13_VANZARI'!$A$5:$A$1004,"&gt;="&amp;'09_PARAMETRI'!$B$5,'13_VANZARI'!$A$5:$A$1004,"&lt;="&amp;'09_PARAMETRI'!$B$6)&lt;&gt;0)))</f>
        <v/>
      </c>
      <c r="N17" s="50">
        <f>IF($A17="","",IFERROR(AVERAGEIFS('15_NPS'!$F$5:$F$504,'15_NPS'!$C$5:$C$504,$A17,'15_NPS'!$B$5:$B$504,"&gt;="&amp;'09_PARAMETRI'!$B$5,'15_NPS'!$B$5:$B$504,"&lt;="&amp;'09_PARAMETRI'!$B$6),""))</f>
        <v/>
      </c>
      <c r="O17" s="39">
        <f>IF($A17="","",IF(AND($F17&gt;0,$E17=0),"Client pierdut",IF(AND($L17&lt;&gt;"",$L17&gt;'09_PARAMETRI'!$B$16,$F17&gt;0),"Client dormant",IF(AND($G17&lt;&gt;"",$G17&lt;='09_PARAMETRI'!$B$13),"Scădere de venit",IF(AND($N17&lt;&gt;"",$N17&lt;7),"Detractor activ",IF(AND($E17&gt;0,$J17&gt;'09_PARAMETRI'!$B$19),"Risc concentrare",IF(AND($E17&gt;0,$I17&lt;&gt;"",$I17&lt;'09_PARAMETRI'!$B$15),"Marjă sub referință",IF(AND($G17&lt;&gt;"",$G17&gt;='09_PARAMETRI'!$B$14),"În creștere",IF($E17=0,"Fără activitate","Stabil")))))))))</f>
        <v/>
      </c>
      <c r="P17" s="39">
        <f>IF($A17="","",IF($O17="Risc concentrare","Risc concentrare",IF($O17="Client pierdut","Recuperare client",IF($O17="Client dormant","Reactivare client",IF($O17="Scădere de venit","Recuperare client",IF($O17="Detractor activ","Recuperare NPS",IF($O17="Marjă sub referință","Marjă / preț",IF($O17="În creștere","Up-sell",IF($O17="Fără activitate","Reactivare client","Cross-sell")))))))))</f>
        <v/>
      </c>
      <c r="Q17" s="24">
        <f>IF($A17="","",IFERROR(IF($O17="Scădere de venit",MAX(0,$F17-$E17),IF(OR($O17="Client pierdut",$O17="Client dormant",$O17="Fără activitate"),$F17,IF($O17="Marjă sub referință",MAX(0,$E17*('09_PARAMETRI'!$B$15-$I17)),$E17*0.15))),""))</f>
        <v/>
      </c>
      <c r="R17" s="48">
        <f>IF(OR($A17="",$E17="",N($E17)&lt;=0),"",$E17+ROW()/1000000)</f>
        <v/>
      </c>
    </row>
    <row r="18">
      <c r="A18" s="39">
        <f>IF('10_CLIENTI'!$A18="","",'10_CLIENTI'!$A18)</f>
        <v/>
      </c>
      <c r="B18" s="39">
        <f>IF($A18="","",IFERROR(INDEX('10_CLIENTI'!$B$5:$B$204,MATCH($A18,'10_CLIENTI'!$A$5:$A$204,0)),""))</f>
        <v/>
      </c>
      <c r="C18" s="39">
        <f>IF($A18="","",IFERROR(INDEX('10_CLIENTI'!$C$5:$C$204,MATCH($A18,'10_CLIENTI'!$A$5:$A$204,0)),""))</f>
        <v/>
      </c>
      <c r="D18" s="39">
        <f>IF($A18="","",IFERROR(INDEX('10_CLIENTI'!$G$5:$G$204,MATCH($A18,'10_CLIENTI'!$A$5:$A$204,0)),""))</f>
        <v/>
      </c>
      <c r="E18" s="24">
        <f>IF($A18="","",SUMIFS('13_VANZARI'!$H$5:$H$1004,'13_VANZARI'!$D$5:$D$1004,$A18,'13_VANZARI'!$A$5:$A$1004,"&gt;="&amp;'09_PARAMETRI'!$B$5,'13_VANZARI'!$A$5:$A$1004,"&lt;="&amp;'09_PARAMETRI'!$B$6))</f>
        <v/>
      </c>
      <c r="F18" s="24">
        <f>IF($A18="","",SUMIFS('13_VANZARI'!$H$5:$H$1004,'13_VANZARI'!$D$5:$D$1004,$A18,'13_VANZARI'!$A$5:$A$1004,"&gt;="&amp;'09_PARAMETRI'!$B$7,'13_VANZARI'!$A$5:$A$1004,"&lt;="&amp;'09_PARAMETRI'!$B$8))</f>
        <v/>
      </c>
      <c r="G18" s="25">
        <f>IF($A18="","",IFERROR(IF($F18=0,"",($E18-$F18)/ABS($F18)),""))</f>
        <v/>
      </c>
      <c r="H18" s="24">
        <f>IF($A18="","",SUMIFS('13_VANZARI'!$K$5:$K$1004,'13_VANZARI'!$D$5:$D$1004,$A18,'13_VANZARI'!$A$5:$A$1004,"&gt;="&amp;'09_PARAMETRI'!$B$5,'13_VANZARI'!$A$5:$A$1004,"&lt;="&amp;'09_PARAMETRI'!$B$6))</f>
        <v/>
      </c>
      <c r="I18" s="25">
        <f>IF($A18="","",IFERROR($H18/$E18,""))</f>
        <v/>
      </c>
      <c r="J18" s="25">
        <f>IF($A18="","",IFERROR($E18/SUMIFS('13_VANZARI'!$H$5:$H$1004,'13_VANZARI'!$A$5:$A$1004,"&gt;="&amp;'09_PARAMETRI'!$B$5,'13_VANZARI'!$A$5:$A$1004,"&lt;="&amp;'09_PARAMETRI'!$B$6),""))</f>
        <v/>
      </c>
      <c r="K18" s="36">
        <f>IF($A18="","",IFERROR(IF(SUMPRODUCT(MAX(('13_VANZARI'!$D$5:$D$1004=$A18)*('13_VANZARI'!$H$5:$H$1004&lt;&gt;"")*'13_VANZARI'!$A$5:$A$1004))=0,"",SUMPRODUCT(MAX(('13_VANZARI'!$D$5:$D$1004=$A18)*('13_VANZARI'!$H$5:$H$1004&lt;&gt;"")*'13_VANZARI'!$A$5:$A$1004))),""))</f>
        <v/>
      </c>
      <c r="L18" s="24">
        <f>IF(OR($A18="",$K18=""),"",'09_PARAMETRI'!$B$9-$K18)</f>
        <v/>
      </c>
      <c r="M18" s="24">
        <f>IF($A18="","",SUMPRODUCT(('11_PRODUSE'!$A$5:$A$104&lt;&gt;"")*(SUMIFS('13_VANZARI'!$H$5:$H$1004,'13_VANZARI'!$D$5:$D$1004,$A18,'13_VANZARI'!$E$5:$E$1004,'11_PRODUSE'!$A$5:$A$104,'13_VANZARI'!$A$5:$A$1004,"&gt;="&amp;'09_PARAMETRI'!$B$5,'13_VANZARI'!$A$5:$A$1004,"&lt;="&amp;'09_PARAMETRI'!$B$6)&lt;&gt;0)))</f>
        <v/>
      </c>
      <c r="N18" s="50">
        <f>IF($A18="","",IFERROR(AVERAGEIFS('15_NPS'!$F$5:$F$504,'15_NPS'!$C$5:$C$504,$A18,'15_NPS'!$B$5:$B$504,"&gt;="&amp;'09_PARAMETRI'!$B$5,'15_NPS'!$B$5:$B$504,"&lt;="&amp;'09_PARAMETRI'!$B$6),""))</f>
        <v/>
      </c>
      <c r="O18" s="39">
        <f>IF($A18="","",IF(AND($F18&gt;0,$E18=0),"Client pierdut",IF(AND($L18&lt;&gt;"",$L18&gt;'09_PARAMETRI'!$B$16,$F18&gt;0),"Client dormant",IF(AND($G18&lt;&gt;"",$G18&lt;='09_PARAMETRI'!$B$13),"Scădere de venit",IF(AND($N18&lt;&gt;"",$N18&lt;7),"Detractor activ",IF(AND($E18&gt;0,$J18&gt;'09_PARAMETRI'!$B$19),"Risc concentrare",IF(AND($E18&gt;0,$I18&lt;&gt;"",$I18&lt;'09_PARAMETRI'!$B$15),"Marjă sub referință",IF(AND($G18&lt;&gt;"",$G18&gt;='09_PARAMETRI'!$B$14),"În creștere",IF($E18=0,"Fără activitate","Stabil")))))))))</f>
        <v/>
      </c>
      <c r="P18" s="39">
        <f>IF($A18="","",IF($O18="Risc concentrare","Risc concentrare",IF($O18="Client pierdut","Recuperare client",IF($O18="Client dormant","Reactivare client",IF($O18="Scădere de venit","Recuperare client",IF($O18="Detractor activ","Recuperare NPS",IF($O18="Marjă sub referință","Marjă / preț",IF($O18="În creștere","Up-sell",IF($O18="Fără activitate","Reactivare client","Cross-sell")))))))))</f>
        <v/>
      </c>
      <c r="Q18" s="24">
        <f>IF($A18="","",IFERROR(IF($O18="Scădere de venit",MAX(0,$F18-$E18),IF(OR($O18="Client pierdut",$O18="Client dormant",$O18="Fără activitate"),$F18,IF($O18="Marjă sub referință",MAX(0,$E18*('09_PARAMETRI'!$B$15-$I18)),$E18*0.15))),""))</f>
        <v/>
      </c>
      <c r="R18" s="48">
        <f>IF(OR($A18="",$E18="",N($E18)&lt;=0),"",$E18+ROW()/1000000)</f>
        <v/>
      </c>
    </row>
    <row r="19">
      <c r="A19" s="39">
        <f>IF('10_CLIENTI'!$A19="","",'10_CLIENTI'!$A19)</f>
        <v/>
      </c>
      <c r="B19" s="39">
        <f>IF($A19="","",IFERROR(INDEX('10_CLIENTI'!$B$5:$B$204,MATCH($A19,'10_CLIENTI'!$A$5:$A$204,0)),""))</f>
        <v/>
      </c>
      <c r="C19" s="39">
        <f>IF($A19="","",IFERROR(INDEX('10_CLIENTI'!$C$5:$C$204,MATCH($A19,'10_CLIENTI'!$A$5:$A$204,0)),""))</f>
        <v/>
      </c>
      <c r="D19" s="39">
        <f>IF($A19="","",IFERROR(INDEX('10_CLIENTI'!$G$5:$G$204,MATCH($A19,'10_CLIENTI'!$A$5:$A$204,0)),""))</f>
        <v/>
      </c>
      <c r="E19" s="24">
        <f>IF($A19="","",SUMIFS('13_VANZARI'!$H$5:$H$1004,'13_VANZARI'!$D$5:$D$1004,$A19,'13_VANZARI'!$A$5:$A$1004,"&gt;="&amp;'09_PARAMETRI'!$B$5,'13_VANZARI'!$A$5:$A$1004,"&lt;="&amp;'09_PARAMETRI'!$B$6))</f>
        <v/>
      </c>
      <c r="F19" s="24">
        <f>IF($A19="","",SUMIFS('13_VANZARI'!$H$5:$H$1004,'13_VANZARI'!$D$5:$D$1004,$A19,'13_VANZARI'!$A$5:$A$1004,"&gt;="&amp;'09_PARAMETRI'!$B$7,'13_VANZARI'!$A$5:$A$1004,"&lt;="&amp;'09_PARAMETRI'!$B$8))</f>
        <v/>
      </c>
      <c r="G19" s="25">
        <f>IF($A19="","",IFERROR(IF($F19=0,"",($E19-$F19)/ABS($F19)),""))</f>
        <v/>
      </c>
      <c r="H19" s="24">
        <f>IF($A19="","",SUMIFS('13_VANZARI'!$K$5:$K$1004,'13_VANZARI'!$D$5:$D$1004,$A19,'13_VANZARI'!$A$5:$A$1004,"&gt;="&amp;'09_PARAMETRI'!$B$5,'13_VANZARI'!$A$5:$A$1004,"&lt;="&amp;'09_PARAMETRI'!$B$6))</f>
        <v/>
      </c>
      <c r="I19" s="25">
        <f>IF($A19="","",IFERROR($H19/$E19,""))</f>
        <v/>
      </c>
      <c r="J19" s="25">
        <f>IF($A19="","",IFERROR($E19/SUMIFS('13_VANZARI'!$H$5:$H$1004,'13_VANZARI'!$A$5:$A$1004,"&gt;="&amp;'09_PARAMETRI'!$B$5,'13_VANZARI'!$A$5:$A$1004,"&lt;="&amp;'09_PARAMETRI'!$B$6),""))</f>
        <v/>
      </c>
      <c r="K19" s="36">
        <f>IF($A19="","",IFERROR(IF(SUMPRODUCT(MAX(('13_VANZARI'!$D$5:$D$1004=$A19)*('13_VANZARI'!$H$5:$H$1004&lt;&gt;"")*'13_VANZARI'!$A$5:$A$1004))=0,"",SUMPRODUCT(MAX(('13_VANZARI'!$D$5:$D$1004=$A19)*('13_VANZARI'!$H$5:$H$1004&lt;&gt;"")*'13_VANZARI'!$A$5:$A$1004))),""))</f>
        <v/>
      </c>
      <c r="L19" s="24">
        <f>IF(OR($A19="",$K19=""),"",'09_PARAMETRI'!$B$9-$K19)</f>
        <v/>
      </c>
      <c r="M19" s="24">
        <f>IF($A19="","",SUMPRODUCT(('11_PRODUSE'!$A$5:$A$104&lt;&gt;"")*(SUMIFS('13_VANZARI'!$H$5:$H$1004,'13_VANZARI'!$D$5:$D$1004,$A19,'13_VANZARI'!$E$5:$E$1004,'11_PRODUSE'!$A$5:$A$104,'13_VANZARI'!$A$5:$A$1004,"&gt;="&amp;'09_PARAMETRI'!$B$5,'13_VANZARI'!$A$5:$A$1004,"&lt;="&amp;'09_PARAMETRI'!$B$6)&lt;&gt;0)))</f>
        <v/>
      </c>
      <c r="N19" s="50">
        <f>IF($A19="","",IFERROR(AVERAGEIFS('15_NPS'!$F$5:$F$504,'15_NPS'!$C$5:$C$504,$A19,'15_NPS'!$B$5:$B$504,"&gt;="&amp;'09_PARAMETRI'!$B$5,'15_NPS'!$B$5:$B$504,"&lt;="&amp;'09_PARAMETRI'!$B$6),""))</f>
        <v/>
      </c>
      <c r="O19" s="39">
        <f>IF($A19="","",IF(AND($F19&gt;0,$E19=0),"Client pierdut",IF(AND($L19&lt;&gt;"",$L19&gt;'09_PARAMETRI'!$B$16,$F19&gt;0),"Client dormant",IF(AND($G19&lt;&gt;"",$G19&lt;='09_PARAMETRI'!$B$13),"Scădere de venit",IF(AND($N19&lt;&gt;"",$N19&lt;7),"Detractor activ",IF(AND($E19&gt;0,$J19&gt;'09_PARAMETRI'!$B$19),"Risc concentrare",IF(AND($E19&gt;0,$I19&lt;&gt;"",$I19&lt;'09_PARAMETRI'!$B$15),"Marjă sub referință",IF(AND($G19&lt;&gt;"",$G19&gt;='09_PARAMETRI'!$B$14),"În creștere",IF($E19=0,"Fără activitate","Stabil")))))))))</f>
        <v/>
      </c>
      <c r="P19" s="39">
        <f>IF($A19="","",IF($O19="Risc concentrare","Risc concentrare",IF($O19="Client pierdut","Recuperare client",IF($O19="Client dormant","Reactivare client",IF($O19="Scădere de venit","Recuperare client",IF($O19="Detractor activ","Recuperare NPS",IF($O19="Marjă sub referință","Marjă / preț",IF($O19="În creștere","Up-sell",IF($O19="Fără activitate","Reactivare client","Cross-sell")))))))))</f>
        <v/>
      </c>
      <c r="Q19" s="24">
        <f>IF($A19="","",IFERROR(IF($O19="Scădere de venit",MAX(0,$F19-$E19),IF(OR($O19="Client pierdut",$O19="Client dormant",$O19="Fără activitate"),$F19,IF($O19="Marjă sub referință",MAX(0,$E19*('09_PARAMETRI'!$B$15-$I19)),$E19*0.15))),""))</f>
        <v/>
      </c>
      <c r="R19" s="48">
        <f>IF(OR($A19="",$E19="",N($E19)&lt;=0),"",$E19+ROW()/1000000)</f>
        <v/>
      </c>
    </row>
    <row r="20">
      <c r="A20" s="39">
        <f>IF('10_CLIENTI'!$A20="","",'10_CLIENTI'!$A20)</f>
        <v/>
      </c>
      <c r="B20" s="39">
        <f>IF($A20="","",IFERROR(INDEX('10_CLIENTI'!$B$5:$B$204,MATCH($A20,'10_CLIENTI'!$A$5:$A$204,0)),""))</f>
        <v/>
      </c>
      <c r="C20" s="39">
        <f>IF($A20="","",IFERROR(INDEX('10_CLIENTI'!$C$5:$C$204,MATCH($A20,'10_CLIENTI'!$A$5:$A$204,0)),""))</f>
        <v/>
      </c>
      <c r="D20" s="39">
        <f>IF($A20="","",IFERROR(INDEX('10_CLIENTI'!$G$5:$G$204,MATCH($A20,'10_CLIENTI'!$A$5:$A$204,0)),""))</f>
        <v/>
      </c>
      <c r="E20" s="24">
        <f>IF($A20="","",SUMIFS('13_VANZARI'!$H$5:$H$1004,'13_VANZARI'!$D$5:$D$1004,$A20,'13_VANZARI'!$A$5:$A$1004,"&gt;="&amp;'09_PARAMETRI'!$B$5,'13_VANZARI'!$A$5:$A$1004,"&lt;="&amp;'09_PARAMETRI'!$B$6))</f>
        <v/>
      </c>
      <c r="F20" s="24">
        <f>IF($A20="","",SUMIFS('13_VANZARI'!$H$5:$H$1004,'13_VANZARI'!$D$5:$D$1004,$A20,'13_VANZARI'!$A$5:$A$1004,"&gt;="&amp;'09_PARAMETRI'!$B$7,'13_VANZARI'!$A$5:$A$1004,"&lt;="&amp;'09_PARAMETRI'!$B$8))</f>
        <v/>
      </c>
      <c r="G20" s="25">
        <f>IF($A20="","",IFERROR(IF($F20=0,"",($E20-$F20)/ABS($F20)),""))</f>
        <v/>
      </c>
      <c r="H20" s="24">
        <f>IF($A20="","",SUMIFS('13_VANZARI'!$K$5:$K$1004,'13_VANZARI'!$D$5:$D$1004,$A20,'13_VANZARI'!$A$5:$A$1004,"&gt;="&amp;'09_PARAMETRI'!$B$5,'13_VANZARI'!$A$5:$A$1004,"&lt;="&amp;'09_PARAMETRI'!$B$6))</f>
        <v/>
      </c>
      <c r="I20" s="25">
        <f>IF($A20="","",IFERROR($H20/$E20,""))</f>
        <v/>
      </c>
      <c r="J20" s="25">
        <f>IF($A20="","",IFERROR($E20/SUMIFS('13_VANZARI'!$H$5:$H$1004,'13_VANZARI'!$A$5:$A$1004,"&gt;="&amp;'09_PARAMETRI'!$B$5,'13_VANZARI'!$A$5:$A$1004,"&lt;="&amp;'09_PARAMETRI'!$B$6),""))</f>
        <v/>
      </c>
      <c r="K20" s="36">
        <f>IF($A20="","",IFERROR(IF(SUMPRODUCT(MAX(('13_VANZARI'!$D$5:$D$1004=$A20)*('13_VANZARI'!$H$5:$H$1004&lt;&gt;"")*'13_VANZARI'!$A$5:$A$1004))=0,"",SUMPRODUCT(MAX(('13_VANZARI'!$D$5:$D$1004=$A20)*('13_VANZARI'!$H$5:$H$1004&lt;&gt;"")*'13_VANZARI'!$A$5:$A$1004))),""))</f>
        <v/>
      </c>
      <c r="L20" s="24">
        <f>IF(OR($A20="",$K20=""),"",'09_PARAMETRI'!$B$9-$K20)</f>
        <v/>
      </c>
      <c r="M20" s="24">
        <f>IF($A20="","",SUMPRODUCT(('11_PRODUSE'!$A$5:$A$104&lt;&gt;"")*(SUMIFS('13_VANZARI'!$H$5:$H$1004,'13_VANZARI'!$D$5:$D$1004,$A20,'13_VANZARI'!$E$5:$E$1004,'11_PRODUSE'!$A$5:$A$104,'13_VANZARI'!$A$5:$A$1004,"&gt;="&amp;'09_PARAMETRI'!$B$5,'13_VANZARI'!$A$5:$A$1004,"&lt;="&amp;'09_PARAMETRI'!$B$6)&lt;&gt;0)))</f>
        <v/>
      </c>
      <c r="N20" s="50">
        <f>IF($A20="","",IFERROR(AVERAGEIFS('15_NPS'!$F$5:$F$504,'15_NPS'!$C$5:$C$504,$A20,'15_NPS'!$B$5:$B$504,"&gt;="&amp;'09_PARAMETRI'!$B$5,'15_NPS'!$B$5:$B$504,"&lt;="&amp;'09_PARAMETRI'!$B$6),""))</f>
        <v/>
      </c>
      <c r="O20" s="39">
        <f>IF($A20="","",IF(AND($F20&gt;0,$E20=0),"Client pierdut",IF(AND($L20&lt;&gt;"",$L20&gt;'09_PARAMETRI'!$B$16,$F20&gt;0),"Client dormant",IF(AND($G20&lt;&gt;"",$G20&lt;='09_PARAMETRI'!$B$13),"Scădere de venit",IF(AND($N20&lt;&gt;"",$N20&lt;7),"Detractor activ",IF(AND($E20&gt;0,$J20&gt;'09_PARAMETRI'!$B$19),"Risc concentrare",IF(AND($E20&gt;0,$I20&lt;&gt;"",$I20&lt;'09_PARAMETRI'!$B$15),"Marjă sub referință",IF(AND($G20&lt;&gt;"",$G20&gt;='09_PARAMETRI'!$B$14),"În creștere",IF($E20=0,"Fără activitate","Stabil")))))))))</f>
        <v/>
      </c>
      <c r="P20" s="39">
        <f>IF($A20="","",IF($O20="Risc concentrare","Risc concentrare",IF($O20="Client pierdut","Recuperare client",IF($O20="Client dormant","Reactivare client",IF($O20="Scădere de venit","Recuperare client",IF($O20="Detractor activ","Recuperare NPS",IF($O20="Marjă sub referință","Marjă / preț",IF($O20="În creștere","Up-sell",IF($O20="Fără activitate","Reactivare client","Cross-sell")))))))))</f>
        <v/>
      </c>
      <c r="Q20" s="24">
        <f>IF($A20="","",IFERROR(IF($O20="Scădere de venit",MAX(0,$F20-$E20),IF(OR($O20="Client pierdut",$O20="Client dormant",$O20="Fără activitate"),$F20,IF($O20="Marjă sub referință",MAX(0,$E20*('09_PARAMETRI'!$B$15-$I20)),$E20*0.15))),""))</f>
        <v/>
      </c>
      <c r="R20" s="48">
        <f>IF(OR($A20="",$E20="",N($E20)&lt;=0),"",$E20+ROW()/1000000)</f>
        <v/>
      </c>
    </row>
    <row r="21">
      <c r="A21" s="39">
        <f>IF('10_CLIENTI'!$A21="","",'10_CLIENTI'!$A21)</f>
        <v/>
      </c>
      <c r="B21" s="39">
        <f>IF($A21="","",IFERROR(INDEX('10_CLIENTI'!$B$5:$B$204,MATCH($A21,'10_CLIENTI'!$A$5:$A$204,0)),""))</f>
        <v/>
      </c>
      <c r="C21" s="39">
        <f>IF($A21="","",IFERROR(INDEX('10_CLIENTI'!$C$5:$C$204,MATCH($A21,'10_CLIENTI'!$A$5:$A$204,0)),""))</f>
        <v/>
      </c>
      <c r="D21" s="39">
        <f>IF($A21="","",IFERROR(INDEX('10_CLIENTI'!$G$5:$G$204,MATCH($A21,'10_CLIENTI'!$A$5:$A$204,0)),""))</f>
        <v/>
      </c>
      <c r="E21" s="24">
        <f>IF($A21="","",SUMIFS('13_VANZARI'!$H$5:$H$1004,'13_VANZARI'!$D$5:$D$1004,$A21,'13_VANZARI'!$A$5:$A$1004,"&gt;="&amp;'09_PARAMETRI'!$B$5,'13_VANZARI'!$A$5:$A$1004,"&lt;="&amp;'09_PARAMETRI'!$B$6))</f>
        <v/>
      </c>
      <c r="F21" s="24">
        <f>IF($A21="","",SUMIFS('13_VANZARI'!$H$5:$H$1004,'13_VANZARI'!$D$5:$D$1004,$A21,'13_VANZARI'!$A$5:$A$1004,"&gt;="&amp;'09_PARAMETRI'!$B$7,'13_VANZARI'!$A$5:$A$1004,"&lt;="&amp;'09_PARAMETRI'!$B$8))</f>
        <v/>
      </c>
      <c r="G21" s="25">
        <f>IF($A21="","",IFERROR(IF($F21=0,"",($E21-$F21)/ABS($F21)),""))</f>
        <v/>
      </c>
      <c r="H21" s="24">
        <f>IF($A21="","",SUMIFS('13_VANZARI'!$K$5:$K$1004,'13_VANZARI'!$D$5:$D$1004,$A21,'13_VANZARI'!$A$5:$A$1004,"&gt;="&amp;'09_PARAMETRI'!$B$5,'13_VANZARI'!$A$5:$A$1004,"&lt;="&amp;'09_PARAMETRI'!$B$6))</f>
        <v/>
      </c>
      <c r="I21" s="25">
        <f>IF($A21="","",IFERROR($H21/$E21,""))</f>
        <v/>
      </c>
      <c r="J21" s="25">
        <f>IF($A21="","",IFERROR($E21/SUMIFS('13_VANZARI'!$H$5:$H$1004,'13_VANZARI'!$A$5:$A$1004,"&gt;="&amp;'09_PARAMETRI'!$B$5,'13_VANZARI'!$A$5:$A$1004,"&lt;="&amp;'09_PARAMETRI'!$B$6),""))</f>
        <v/>
      </c>
      <c r="K21" s="36">
        <f>IF($A21="","",IFERROR(IF(SUMPRODUCT(MAX(('13_VANZARI'!$D$5:$D$1004=$A21)*('13_VANZARI'!$H$5:$H$1004&lt;&gt;"")*'13_VANZARI'!$A$5:$A$1004))=0,"",SUMPRODUCT(MAX(('13_VANZARI'!$D$5:$D$1004=$A21)*('13_VANZARI'!$H$5:$H$1004&lt;&gt;"")*'13_VANZARI'!$A$5:$A$1004))),""))</f>
        <v/>
      </c>
      <c r="L21" s="24">
        <f>IF(OR($A21="",$K21=""),"",'09_PARAMETRI'!$B$9-$K21)</f>
        <v/>
      </c>
      <c r="M21" s="24">
        <f>IF($A21="","",SUMPRODUCT(('11_PRODUSE'!$A$5:$A$104&lt;&gt;"")*(SUMIFS('13_VANZARI'!$H$5:$H$1004,'13_VANZARI'!$D$5:$D$1004,$A21,'13_VANZARI'!$E$5:$E$1004,'11_PRODUSE'!$A$5:$A$104,'13_VANZARI'!$A$5:$A$1004,"&gt;="&amp;'09_PARAMETRI'!$B$5,'13_VANZARI'!$A$5:$A$1004,"&lt;="&amp;'09_PARAMETRI'!$B$6)&lt;&gt;0)))</f>
        <v/>
      </c>
      <c r="N21" s="50">
        <f>IF($A21="","",IFERROR(AVERAGEIFS('15_NPS'!$F$5:$F$504,'15_NPS'!$C$5:$C$504,$A21,'15_NPS'!$B$5:$B$504,"&gt;="&amp;'09_PARAMETRI'!$B$5,'15_NPS'!$B$5:$B$504,"&lt;="&amp;'09_PARAMETRI'!$B$6),""))</f>
        <v/>
      </c>
      <c r="O21" s="39">
        <f>IF($A21="","",IF(AND($F21&gt;0,$E21=0),"Client pierdut",IF(AND($L21&lt;&gt;"",$L21&gt;'09_PARAMETRI'!$B$16,$F21&gt;0),"Client dormant",IF(AND($G21&lt;&gt;"",$G21&lt;='09_PARAMETRI'!$B$13),"Scădere de venit",IF(AND($N21&lt;&gt;"",$N21&lt;7),"Detractor activ",IF(AND($E21&gt;0,$J21&gt;'09_PARAMETRI'!$B$19),"Risc concentrare",IF(AND($E21&gt;0,$I21&lt;&gt;"",$I21&lt;'09_PARAMETRI'!$B$15),"Marjă sub referință",IF(AND($G21&lt;&gt;"",$G21&gt;='09_PARAMETRI'!$B$14),"În creștere",IF($E21=0,"Fără activitate","Stabil")))))))))</f>
        <v/>
      </c>
      <c r="P21" s="39">
        <f>IF($A21="","",IF($O21="Risc concentrare","Risc concentrare",IF($O21="Client pierdut","Recuperare client",IF($O21="Client dormant","Reactivare client",IF($O21="Scădere de venit","Recuperare client",IF($O21="Detractor activ","Recuperare NPS",IF($O21="Marjă sub referință","Marjă / preț",IF($O21="În creștere","Up-sell",IF($O21="Fără activitate","Reactivare client","Cross-sell")))))))))</f>
        <v/>
      </c>
      <c r="Q21" s="24">
        <f>IF($A21="","",IFERROR(IF($O21="Scădere de venit",MAX(0,$F21-$E21),IF(OR($O21="Client pierdut",$O21="Client dormant",$O21="Fără activitate"),$F21,IF($O21="Marjă sub referință",MAX(0,$E21*('09_PARAMETRI'!$B$15-$I21)),$E21*0.15))),""))</f>
        <v/>
      </c>
      <c r="R21" s="48">
        <f>IF(OR($A21="",$E21="",N($E21)&lt;=0),"",$E21+ROW()/1000000)</f>
        <v/>
      </c>
    </row>
    <row r="22">
      <c r="A22" s="39">
        <f>IF('10_CLIENTI'!$A22="","",'10_CLIENTI'!$A22)</f>
        <v/>
      </c>
      <c r="B22" s="39">
        <f>IF($A22="","",IFERROR(INDEX('10_CLIENTI'!$B$5:$B$204,MATCH($A22,'10_CLIENTI'!$A$5:$A$204,0)),""))</f>
        <v/>
      </c>
      <c r="C22" s="39">
        <f>IF($A22="","",IFERROR(INDEX('10_CLIENTI'!$C$5:$C$204,MATCH($A22,'10_CLIENTI'!$A$5:$A$204,0)),""))</f>
        <v/>
      </c>
      <c r="D22" s="39">
        <f>IF($A22="","",IFERROR(INDEX('10_CLIENTI'!$G$5:$G$204,MATCH($A22,'10_CLIENTI'!$A$5:$A$204,0)),""))</f>
        <v/>
      </c>
      <c r="E22" s="24">
        <f>IF($A22="","",SUMIFS('13_VANZARI'!$H$5:$H$1004,'13_VANZARI'!$D$5:$D$1004,$A22,'13_VANZARI'!$A$5:$A$1004,"&gt;="&amp;'09_PARAMETRI'!$B$5,'13_VANZARI'!$A$5:$A$1004,"&lt;="&amp;'09_PARAMETRI'!$B$6))</f>
        <v/>
      </c>
      <c r="F22" s="24">
        <f>IF($A22="","",SUMIFS('13_VANZARI'!$H$5:$H$1004,'13_VANZARI'!$D$5:$D$1004,$A22,'13_VANZARI'!$A$5:$A$1004,"&gt;="&amp;'09_PARAMETRI'!$B$7,'13_VANZARI'!$A$5:$A$1004,"&lt;="&amp;'09_PARAMETRI'!$B$8))</f>
        <v/>
      </c>
      <c r="G22" s="25">
        <f>IF($A22="","",IFERROR(IF($F22=0,"",($E22-$F22)/ABS($F22)),""))</f>
        <v/>
      </c>
      <c r="H22" s="24">
        <f>IF($A22="","",SUMIFS('13_VANZARI'!$K$5:$K$1004,'13_VANZARI'!$D$5:$D$1004,$A22,'13_VANZARI'!$A$5:$A$1004,"&gt;="&amp;'09_PARAMETRI'!$B$5,'13_VANZARI'!$A$5:$A$1004,"&lt;="&amp;'09_PARAMETRI'!$B$6))</f>
        <v/>
      </c>
      <c r="I22" s="25">
        <f>IF($A22="","",IFERROR($H22/$E22,""))</f>
        <v/>
      </c>
      <c r="J22" s="25">
        <f>IF($A22="","",IFERROR($E22/SUMIFS('13_VANZARI'!$H$5:$H$1004,'13_VANZARI'!$A$5:$A$1004,"&gt;="&amp;'09_PARAMETRI'!$B$5,'13_VANZARI'!$A$5:$A$1004,"&lt;="&amp;'09_PARAMETRI'!$B$6),""))</f>
        <v/>
      </c>
      <c r="K22" s="36">
        <f>IF($A22="","",IFERROR(IF(SUMPRODUCT(MAX(('13_VANZARI'!$D$5:$D$1004=$A22)*('13_VANZARI'!$H$5:$H$1004&lt;&gt;"")*'13_VANZARI'!$A$5:$A$1004))=0,"",SUMPRODUCT(MAX(('13_VANZARI'!$D$5:$D$1004=$A22)*('13_VANZARI'!$H$5:$H$1004&lt;&gt;"")*'13_VANZARI'!$A$5:$A$1004))),""))</f>
        <v/>
      </c>
      <c r="L22" s="24">
        <f>IF(OR($A22="",$K22=""),"",'09_PARAMETRI'!$B$9-$K22)</f>
        <v/>
      </c>
      <c r="M22" s="24">
        <f>IF($A22="","",SUMPRODUCT(('11_PRODUSE'!$A$5:$A$104&lt;&gt;"")*(SUMIFS('13_VANZARI'!$H$5:$H$1004,'13_VANZARI'!$D$5:$D$1004,$A22,'13_VANZARI'!$E$5:$E$1004,'11_PRODUSE'!$A$5:$A$104,'13_VANZARI'!$A$5:$A$1004,"&gt;="&amp;'09_PARAMETRI'!$B$5,'13_VANZARI'!$A$5:$A$1004,"&lt;="&amp;'09_PARAMETRI'!$B$6)&lt;&gt;0)))</f>
        <v/>
      </c>
      <c r="N22" s="50">
        <f>IF($A22="","",IFERROR(AVERAGEIFS('15_NPS'!$F$5:$F$504,'15_NPS'!$C$5:$C$504,$A22,'15_NPS'!$B$5:$B$504,"&gt;="&amp;'09_PARAMETRI'!$B$5,'15_NPS'!$B$5:$B$504,"&lt;="&amp;'09_PARAMETRI'!$B$6),""))</f>
        <v/>
      </c>
      <c r="O22" s="39">
        <f>IF($A22="","",IF(AND($F22&gt;0,$E22=0),"Client pierdut",IF(AND($L22&lt;&gt;"",$L22&gt;'09_PARAMETRI'!$B$16,$F22&gt;0),"Client dormant",IF(AND($G22&lt;&gt;"",$G22&lt;='09_PARAMETRI'!$B$13),"Scădere de venit",IF(AND($N22&lt;&gt;"",$N22&lt;7),"Detractor activ",IF(AND($E22&gt;0,$J22&gt;'09_PARAMETRI'!$B$19),"Risc concentrare",IF(AND($E22&gt;0,$I22&lt;&gt;"",$I22&lt;'09_PARAMETRI'!$B$15),"Marjă sub referință",IF(AND($G22&lt;&gt;"",$G22&gt;='09_PARAMETRI'!$B$14),"În creștere",IF($E22=0,"Fără activitate","Stabil")))))))))</f>
        <v/>
      </c>
      <c r="P22" s="39">
        <f>IF($A22="","",IF($O22="Risc concentrare","Risc concentrare",IF($O22="Client pierdut","Recuperare client",IF($O22="Client dormant","Reactivare client",IF($O22="Scădere de venit","Recuperare client",IF($O22="Detractor activ","Recuperare NPS",IF($O22="Marjă sub referință","Marjă / preț",IF($O22="În creștere","Up-sell",IF($O22="Fără activitate","Reactivare client","Cross-sell")))))))))</f>
        <v/>
      </c>
      <c r="Q22" s="24">
        <f>IF($A22="","",IFERROR(IF($O22="Scădere de venit",MAX(0,$F22-$E22),IF(OR($O22="Client pierdut",$O22="Client dormant",$O22="Fără activitate"),$F22,IF($O22="Marjă sub referință",MAX(0,$E22*('09_PARAMETRI'!$B$15-$I22)),$E22*0.15))),""))</f>
        <v/>
      </c>
      <c r="R22" s="48">
        <f>IF(OR($A22="",$E22="",N($E22)&lt;=0),"",$E22+ROW()/1000000)</f>
        <v/>
      </c>
    </row>
    <row r="23">
      <c r="A23" s="39">
        <f>IF('10_CLIENTI'!$A23="","",'10_CLIENTI'!$A23)</f>
        <v/>
      </c>
      <c r="B23" s="39">
        <f>IF($A23="","",IFERROR(INDEX('10_CLIENTI'!$B$5:$B$204,MATCH($A23,'10_CLIENTI'!$A$5:$A$204,0)),""))</f>
        <v/>
      </c>
      <c r="C23" s="39">
        <f>IF($A23="","",IFERROR(INDEX('10_CLIENTI'!$C$5:$C$204,MATCH($A23,'10_CLIENTI'!$A$5:$A$204,0)),""))</f>
        <v/>
      </c>
      <c r="D23" s="39">
        <f>IF($A23="","",IFERROR(INDEX('10_CLIENTI'!$G$5:$G$204,MATCH($A23,'10_CLIENTI'!$A$5:$A$204,0)),""))</f>
        <v/>
      </c>
      <c r="E23" s="24">
        <f>IF($A23="","",SUMIFS('13_VANZARI'!$H$5:$H$1004,'13_VANZARI'!$D$5:$D$1004,$A23,'13_VANZARI'!$A$5:$A$1004,"&gt;="&amp;'09_PARAMETRI'!$B$5,'13_VANZARI'!$A$5:$A$1004,"&lt;="&amp;'09_PARAMETRI'!$B$6))</f>
        <v/>
      </c>
      <c r="F23" s="24">
        <f>IF($A23="","",SUMIFS('13_VANZARI'!$H$5:$H$1004,'13_VANZARI'!$D$5:$D$1004,$A23,'13_VANZARI'!$A$5:$A$1004,"&gt;="&amp;'09_PARAMETRI'!$B$7,'13_VANZARI'!$A$5:$A$1004,"&lt;="&amp;'09_PARAMETRI'!$B$8))</f>
        <v/>
      </c>
      <c r="G23" s="25">
        <f>IF($A23="","",IFERROR(IF($F23=0,"",($E23-$F23)/ABS($F23)),""))</f>
        <v/>
      </c>
      <c r="H23" s="24">
        <f>IF($A23="","",SUMIFS('13_VANZARI'!$K$5:$K$1004,'13_VANZARI'!$D$5:$D$1004,$A23,'13_VANZARI'!$A$5:$A$1004,"&gt;="&amp;'09_PARAMETRI'!$B$5,'13_VANZARI'!$A$5:$A$1004,"&lt;="&amp;'09_PARAMETRI'!$B$6))</f>
        <v/>
      </c>
      <c r="I23" s="25">
        <f>IF($A23="","",IFERROR($H23/$E23,""))</f>
        <v/>
      </c>
      <c r="J23" s="25">
        <f>IF($A23="","",IFERROR($E23/SUMIFS('13_VANZARI'!$H$5:$H$1004,'13_VANZARI'!$A$5:$A$1004,"&gt;="&amp;'09_PARAMETRI'!$B$5,'13_VANZARI'!$A$5:$A$1004,"&lt;="&amp;'09_PARAMETRI'!$B$6),""))</f>
        <v/>
      </c>
      <c r="K23" s="36">
        <f>IF($A23="","",IFERROR(IF(SUMPRODUCT(MAX(('13_VANZARI'!$D$5:$D$1004=$A23)*('13_VANZARI'!$H$5:$H$1004&lt;&gt;"")*'13_VANZARI'!$A$5:$A$1004))=0,"",SUMPRODUCT(MAX(('13_VANZARI'!$D$5:$D$1004=$A23)*('13_VANZARI'!$H$5:$H$1004&lt;&gt;"")*'13_VANZARI'!$A$5:$A$1004))),""))</f>
        <v/>
      </c>
      <c r="L23" s="24">
        <f>IF(OR($A23="",$K23=""),"",'09_PARAMETRI'!$B$9-$K23)</f>
        <v/>
      </c>
      <c r="M23" s="24">
        <f>IF($A23="","",SUMPRODUCT(('11_PRODUSE'!$A$5:$A$104&lt;&gt;"")*(SUMIFS('13_VANZARI'!$H$5:$H$1004,'13_VANZARI'!$D$5:$D$1004,$A23,'13_VANZARI'!$E$5:$E$1004,'11_PRODUSE'!$A$5:$A$104,'13_VANZARI'!$A$5:$A$1004,"&gt;="&amp;'09_PARAMETRI'!$B$5,'13_VANZARI'!$A$5:$A$1004,"&lt;="&amp;'09_PARAMETRI'!$B$6)&lt;&gt;0)))</f>
        <v/>
      </c>
      <c r="N23" s="50">
        <f>IF($A23="","",IFERROR(AVERAGEIFS('15_NPS'!$F$5:$F$504,'15_NPS'!$C$5:$C$504,$A23,'15_NPS'!$B$5:$B$504,"&gt;="&amp;'09_PARAMETRI'!$B$5,'15_NPS'!$B$5:$B$504,"&lt;="&amp;'09_PARAMETRI'!$B$6),""))</f>
        <v/>
      </c>
      <c r="O23" s="39">
        <f>IF($A23="","",IF(AND($F23&gt;0,$E23=0),"Client pierdut",IF(AND($L23&lt;&gt;"",$L23&gt;'09_PARAMETRI'!$B$16,$F23&gt;0),"Client dormant",IF(AND($G23&lt;&gt;"",$G23&lt;='09_PARAMETRI'!$B$13),"Scădere de venit",IF(AND($N23&lt;&gt;"",$N23&lt;7),"Detractor activ",IF(AND($E23&gt;0,$J23&gt;'09_PARAMETRI'!$B$19),"Risc concentrare",IF(AND($E23&gt;0,$I23&lt;&gt;"",$I23&lt;'09_PARAMETRI'!$B$15),"Marjă sub referință",IF(AND($G23&lt;&gt;"",$G23&gt;='09_PARAMETRI'!$B$14),"În creștere",IF($E23=0,"Fără activitate","Stabil")))))))))</f>
        <v/>
      </c>
      <c r="P23" s="39">
        <f>IF($A23="","",IF($O23="Risc concentrare","Risc concentrare",IF($O23="Client pierdut","Recuperare client",IF($O23="Client dormant","Reactivare client",IF($O23="Scădere de venit","Recuperare client",IF($O23="Detractor activ","Recuperare NPS",IF($O23="Marjă sub referință","Marjă / preț",IF($O23="În creștere","Up-sell",IF($O23="Fără activitate","Reactivare client","Cross-sell")))))))))</f>
        <v/>
      </c>
      <c r="Q23" s="24">
        <f>IF($A23="","",IFERROR(IF($O23="Scădere de venit",MAX(0,$F23-$E23),IF(OR($O23="Client pierdut",$O23="Client dormant",$O23="Fără activitate"),$F23,IF($O23="Marjă sub referință",MAX(0,$E23*('09_PARAMETRI'!$B$15-$I23)),$E23*0.15))),""))</f>
        <v/>
      </c>
      <c r="R23" s="48">
        <f>IF(OR($A23="",$E23="",N($E23)&lt;=0),"",$E23+ROW()/1000000)</f>
        <v/>
      </c>
    </row>
    <row r="24">
      <c r="A24" s="39">
        <f>IF('10_CLIENTI'!$A24="","",'10_CLIENTI'!$A24)</f>
        <v/>
      </c>
      <c r="B24" s="39">
        <f>IF($A24="","",IFERROR(INDEX('10_CLIENTI'!$B$5:$B$204,MATCH($A24,'10_CLIENTI'!$A$5:$A$204,0)),""))</f>
        <v/>
      </c>
      <c r="C24" s="39">
        <f>IF($A24="","",IFERROR(INDEX('10_CLIENTI'!$C$5:$C$204,MATCH($A24,'10_CLIENTI'!$A$5:$A$204,0)),""))</f>
        <v/>
      </c>
      <c r="D24" s="39">
        <f>IF($A24="","",IFERROR(INDEX('10_CLIENTI'!$G$5:$G$204,MATCH($A24,'10_CLIENTI'!$A$5:$A$204,0)),""))</f>
        <v/>
      </c>
      <c r="E24" s="24">
        <f>IF($A24="","",SUMIFS('13_VANZARI'!$H$5:$H$1004,'13_VANZARI'!$D$5:$D$1004,$A24,'13_VANZARI'!$A$5:$A$1004,"&gt;="&amp;'09_PARAMETRI'!$B$5,'13_VANZARI'!$A$5:$A$1004,"&lt;="&amp;'09_PARAMETRI'!$B$6))</f>
        <v/>
      </c>
      <c r="F24" s="24">
        <f>IF($A24="","",SUMIFS('13_VANZARI'!$H$5:$H$1004,'13_VANZARI'!$D$5:$D$1004,$A24,'13_VANZARI'!$A$5:$A$1004,"&gt;="&amp;'09_PARAMETRI'!$B$7,'13_VANZARI'!$A$5:$A$1004,"&lt;="&amp;'09_PARAMETRI'!$B$8))</f>
        <v/>
      </c>
      <c r="G24" s="25">
        <f>IF($A24="","",IFERROR(IF($F24=0,"",($E24-$F24)/ABS($F24)),""))</f>
        <v/>
      </c>
      <c r="H24" s="24">
        <f>IF($A24="","",SUMIFS('13_VANZARI'!$K$5:$K$1004,'13_VANZARI'!$D$5:$D$1004,$A24,'13_VANZARI'!$A$5:$A$1004,"&gt;="&amp;'09_PARAMETRI'!$B$5,'13_VANZARI'!$A$5:$A$1004,"&lt;="&amp;'09_PARAMETRI'!$B$6))</f>
        <v/>
      </c>
      <c r="I24" s="25">
        <f>IF($A24="","",IFERROR($H24/$E24,""))</f>
        <v/>
      </c>
      <c r="J24" s="25">
        <f>IF($A24="","",IFERROR($E24/SUMIFS('13_VANZARI'!$H$5:$H$1004,'13_VANZARI'!$A$5:$A$1004,"&gt;="&amp;'09_PARAMETRI'!$B$5,'13_VANZARI'!$A$5:$A$1004,"&lt;="&amp;'09_PARAMETRI'!$B$6),""))</f>
        <v/>
      </c>
      <c r="K24" s="36">
        <f>IF($A24="","",IFERROR(IF(SUMPRODUCT(MAX(('13_VANZARI'!$D$5:$D$1004=$A24)*('13_VANZARI'!$H$5:$H$1004&lt;&gt;"")*'13_VANZARI'!$A$5:$A$1004))=0,"",SUMPRODUCT(MAX(('13_VANZARI'!$D$5:$D$1004=$A24)*('13_VANZARI'!$H$5:$H$1004&lt;&gt;"")*'13_VANZARI'!$A$5:$A$1004))),""))</f>
        <v/>
      </c>
      <c r="L24" s="24">
        <f>IF(OR($A24="",$K24=""),"",'09_PARAMETRI'!$B$9-$K24)</f>
        <v/>
      </c>
      <c r="M24" s="24">
        <f>IF($A24="","",SUMPRODUCT(('11_PRODUSE'!$A$5:$A$104&lt;&gt;"")*(SUMIFS('13_VANZARI'!$H$5:$H$1004,'13_VANZARI'!$D$5:$D$1004,$A24,'13_VANZARI'!$E$5:$E$1004,'11_PRODUSE'!$A$5:$A$104,'13_VANZARI'!$A$5:$A$1004,"&gt;="&amp;'09_PARAMETRI'!$B$5,'13_VANZARI'!$A$5:$A$1004,"&lt;="&amp;'09_PARAMETRI'!$B$6)&lt;&gt;0)))</f>
        <v/>
      </c>
      <c r="N24" s="50">
        <f>IF($A24="","",IFERROR(AVERAGEIFS('15_NPS'!$F$5:$F$504,'15_NPS'!$C$5:$C$504,$A24,'15_NPS'!$B$5:$B$504,"&gt;="&amp;'09_PARAMETRI'!$B$5,'15_NPS'!$B$5:$B$504,"&lt;="&amp;'09_PARAMETRI'!$B$6),""))</f>
        <v/>
      </c>
      <c r="O24" s="39">
        <f>IF($A24="","",IF(AND($F24&gt;0,$E24=0),"Client pierdut",IF(AND($L24&lt;&gt;"",$L24&gt;'09_PARAMETRI'!$B$16,$F24&gt;0),"Client dormant",IF(AND($G24&lt;&gt;"",$G24&lt;='09_PARAMETRI'!$B$13),"Scădere de venit",IF(AND($N24&lt;&gt;"",$N24&lt;7),"Detractor activ",IF(AND($E24&gt;0,$J24&gt;'09_PARAMETRI'!$B$19),"Risc concentrare",IF(AND($E24&gt;0,$I24&lt;&gt;"",$I24&lt;'09_PARAMETRI'!$B$15),"Marjă sub referință",IF(AND($G24&lt;&gt;"",$G24&gt;='09_PARAMETRI'!$B$14),"În creștere",IF($E24=0,"Fără activitate","Stabil")))))))))</f>
        <v/>
      </c>
      <c r="P24" s="39">
        <f>IF($A24="","",IF($O24="Risc concentrare","Risc concentrare",IF($O24="Client pierdut","Recuperare client",IF($O24="Client dormant","Reactivare client",IF($O24="Scădere de venit","Recuperare client",IF($O24="Detractor activ","Recuperare NPS",IF($O24="Marjă sub referință","Marjă / preț",IF($O24="În creștere","Up-sell",IF($O24="Fără activitate","Reactivare client","Cross-sell")))))))))</f>
        <v/>
      </c>
      <c r="Q24" s="24">
        <f>IF($A24="","",IFERROR(IF($O24="Scădere de venit",MAX(0,$F24-$E24),IF(OR($O24="Client pierdut",$O24="Client dormant",$O24="Fără activitate"),$F24,IF($O24="Marjă sub referință",MAX(0,$E24*('09_PARAMETRI'!$B$15-$I24)),$E24*0.15))),""))</f>
        <v/>
      </c>
      <c r="R24" s="48">
        <f>IF(OR($A24="",$E24="",N($E24)&lt;=0),"",$E24+ROW()/1000000)</f>
        <v/>
      </c>
    </row>
    <row r="25">
      <c r="A25" s="39">
        <f>IF('10_CLIENTI'!$A25="","",'10_CLIENTI'!$A25)</f>
        <v/>
      </c>
      <c r="B25" s="39">
        <f>IF($A25="","",IFERROR(INDEX('10_CLIENTI'!$B$5:$B$204,MATCH($A25,'10_CLIENTI'!$A$5:$A$204,0)),""))</f>
        <v/>
      </c>
      <c r="C25" s="39">
        <f>IF($A25="","",IFERROR(INDEX('10_CLIENTI'!$C$5:$C$204,MATCH($A25,'10_CLIENTI'!$A$5:$A$204,0)),""))</f>
        <v/>
      </c>
      <c r="D25" s="39">
        <f>IF($A25="","",IFERROR(INDEX('10_CLIENTI'!$G$5:$G$204,MATCH($A25,'10_CLIENTI'!$A$5:$A$204,0)),""))</f>
        <v/>
      </c>
      <c r="E25" s="24">
        <f>IF($A25="","",SUMIFS('13_VANZARI'!$H$5:$H$1004,'13_VANZARI'!$D$5:$D$1004,$A25,'13_VANZARI'!$A$5:$A$1004,"&gt;="&amp;'09_PARAMETRI'!$B$5,'13_VANZARI'!$A$5:$A$1004,"&lt;="&amp;'09_PARAMETRI'!$B$6))</f>
        <v/>
      </c>
      <c r="F25" s="24">
        <f>IF($A25="","",SUMIFS('13_VANZARI'!$H$5:$H$1004,'13_VANZARI'!$D$5:$D$1004,$A25,'13_VANZARI'!$A$5:$A$1004,"&gt;="&amp;'09_PARAMETRI'!$B$7,'13_VANZARI'!$A$5:$A$1004,"&lt;="&amp;'09_PARAMETRI'!$B$8))</f>
        <v/>
      </c>
      <c r="G25" s="25">
        <f>IF($A25="","",IFERROR(IF($F25=0,"",($E25-$F25)/ABS($F25)),""))</f>
        <v/>
      </c>
      <c r="H25" s="24">
        <f>IF($A25="","",SUMIFS('13_VANZARI'!$K$5:$K$1004,'13_VANZARI'!$D$5:$D$1004,$A25,'13_VANZARI'!$A$5:$A$1004,"&gt;="&amp;'09_PARAMETRI'!$B$5,'13_VANZARI'!$A$5:$A$1004,"&lt;="&amp;'09_PARAMETRI'!$B$6))</f>
        <v/>
      </c>
      <c r="I25" s="25">
        <f>IF($A25="","",IFERROR($H25/$E25,""))</f>
        <v/>
      </c>
      <c r="J25" s="25">
        <f>IF($A25="","",IFERROR($E25/SUMIFS('13_VANZARI'!$H$5:$H$1004,'13_VANZARI'!$A$5:$A$1004,"&gt;="&amp;'09_PARAMETRI'!$B$5,'13_VANZARI'!$A$5:$A$1004,"&lt;="&amp;'09_PARAMETRI'!$B$6),""))</f>
        <v/>
      </c>
      <c r="K25" s="36">
        <f>IF($A25="","",IFERROR(IF(SUMPRODUCT(MAX(('13_VANZARI'!$D$5:$D$1004=$A25)*('13_VANZARI'!$H$5:$H$1004&lt;&gt;"")*'13_VANZARI'!$A$5:$A$1004))=0,"",SUMPRODUCT(MAX(('13_VANZARI'!$D$5:$D$1004=$A25)*('13_VANZARI'!$H$5:$H$1004&lt;&gt;"")*'13_VANZARI'!$A$5:$A$1004))),""))</f>
        <v/>
      </c>
      <c r="L25" s="24">
        <f>IF(OR($A25="",$K25=""),"",'09_PARAMETRI'!$B$9-$K25)</f>
        <v/>
      </c>
      <c r="M25" s="24">
        <f>IF($A25="","",SUMPRODUCT(('11_PRODUSE'!$A$5:$A$104&lt;&gt;"")*(SUMIFS('13_VANZARI'!$H$5:$H$1004,'13_VANZARI'!$D$5:$D$1004,$A25,'13_VANZARI'!$E$5:$E$1004,'11_PRODUSE'!$A$5:$A$104,'13_VANZARI'!$A$5:$A$1004,"&gt;="&amp;'09_PARAMETRI'!$B$5,'13_VANZARI'!$A$5:$A$1004,"&lt;="&amp;'09_PARAMETRI'!$B$6)&lt;&gt;0)))</f>
        <v/>
      </c>
      <c r="N25" s="50">
        <f>IF($A25="","",IFERROR(AVERAGEIFS('15_NPS'!$F$5:$F$504,'15_NPS'!$C$5:$C$504,$A25,'15_NPS'!$B$5:$B$504,"&gt;="&amp;'09_PARAMETRI'!$B$5,'15_NPS'!$B$5:$B$504,"&lt;="&amp;'09_PARAMETRI'!$B$6),""))</f>
        <v/>
      </c>
      <c r="O25" s="39">
        <f>IF($A25="","",IF(AND($F25&gt;0,$E25=0),"Client pierdut",IF(AND($L25&lt;&gt;"",$L25&gt;'09_PARAMETRI'!$B$16,$F25&gt;0),"Client dormant",IF(AND($G25&lt;&gt;"",$G25&lt;='09_PARAMETRI'!$B$13),"Scădere de venit",IF(AND($N25&lt;&gt;"",$N25&lt;7),"Detractor activ",IF(AND($E25&gt;0,$J25&gt;'09_PARAMETRI'!$B$19),"Risc concentrare",IF(AND($E25&gt;0,$I25&lt;&gt;"",$I25&lt;'09_PARAMETRI'!$B$15),"Marjă sub referință",IF(AND($G25&lt;&gt;"",$G25&gt;='09_PARAMETRI'!$B$14),"În creștere",IF($E25=0,"Fără activitate","Stabil")))))))))</f>
        <v/>
      </c>
      <c r="P25" s="39">
        <f>IF($A25="","",IF($O25="Risc concentrare","Risc concentrare",IF($O25="Client pierdut","Recuperare client",IF($O25="Client dormant","Reactivare client",IF($O25="Scădere de venit","Recuperare client",IF($O25="Detractor activ","Recuperare NPS",IF($O25="Marjă sub referință","Marjă / preț",IF($O25="În creștere","Up-sell",IF($O25="Fără activitate","Reactivare client","Cross-sell")))))))))</f>
        <v/>
      </c>
      <c r="Q25" s="24">
        <f>IF($A25="","",IFERROR(IF($O25="Scădere de venit",MAX(0,$F25-$E25),IF(OR($O25="Client pierdut",$O25="Client dormant",$O25="Fără activitate"),$F25,IF($O25="Marjă sub referință",MAX(0,$E25*('09_PARAMETRI'!$B$15-$I25)),$E25*0.15))),""))</f>
        <v/>
      </c>
      <c r="R25" s="48">
        <f>IF(OR($A25="",$E25="",N($E25)&lt;=0),"",$E25+ROW()/1000000)</f>
        <v/>
      </c>
    </row>
    <row r="26">
      <c r="A26" s="39">
        <f>IF('10_CLIENTI'!$A26="","",'10_CLIENTI'!$A26)</f>
        <v/>
      </c>
      <c r="B26" s="39">
        <f>IF($A26="","",IFERROR(INDEX('10_CLIENTI'!$B$5:$B$204,MATCH($A26,'10_CLIENTI'!$A$5:$A$204,0)),""))</f>
        <v/>
      </c>
      <c r="C26" s="39">
        <f>IF($A26="","",IFERROR(INDEX('10_CLIENTI'!$C$5:$C$204,MATCH($A26,'10_CLIENTI'!$A$5:$A$204,0)),""))</f>
        <v/>
      </c>
      <c r="D26" s="39">
        <f>IF($A26="","",IFERROR(INDEX('10_CLIENTI'!$G$5:$G$204,MATCH($A26,'10_CLIENTI'!$A$5:$A$204,0)),""))</f>
        <v/>
      </c>
      <c r="E26" s="24">
        <f>IF($A26="","",SUMIFS('13_VANZARI'!$H$5:$H$1004,'13_VANZARI'!$D$5:$D$1004,$A26,'13_VANZARI'!$A$5:$A$1004,"&gt;="&amp;'09_PARAMETRI'!$B$5,'13_VANZARI'!$A$5:$A$1004,"&lt;="&amp;'09_PARAMETRI'!$B$6))</f>
        <v/>
      </c>
      <c r="F26" s="24">
        <f>IF($A26="","",SUMIFS('13_VANZARI'!$H$5:$H$1004,'13_VANZARI'!$D$5:$D$1004,$A26,'13_VANZARI'!$A$5:$A$1004,"&gt;="&amp;'09_PARAMETRI'!$B$7,'13_VANZARI'!$A$5:$A$1004,"&lt;="&amp;'09_PARAMETRI'!$B$8))</f>
        <v/>
      </c>
      <c r="G26" s="25">
        <f>IF($A26="","",IFERROR(IF($F26=0,"",($E26-$F26)/ABS($F26)),""))</f>
        <v/>
      </c>
      <c r="H26" s="24">
        <f>IF($A26="","",SUMIFS('13_VANZARI'!$K$5:$K$1004,'13_VANZARI'!$D$5:$D$1004,$A26,'13_VANZARI'!$A$5:$A$1004,"&gt;="&amp;'09_PARAMETRI'!$B$5,'13_VANZARI'!$A$5:$A$1004,"&lt;="&amp;'09_PARAMETRI'!$B$6))</f>
        <v/>
      </c>
      <c r="I26" s="25">
        <f>IF($A26="","",IFERROR($H26/$E26,""))</f>
        <v/>
      </c>
      <c r="J26" s="25">
        <f>IF($A26="","",IFERROR($E26/SUMIFS('13_VANZARI'!$H$5:$H$1004,'13_VANZARI'!$A$5:$A$1004,"&gt;="&amp;'09_PARAMETRI'!$B$5,'13_VANZARI'!$A$5:$A$1004,"&lt;="&amp;'09_PARAMETRI'!$B$6),""))</f>
        <v/>
      </c>
      <c r="K26" s="36">
        <f>IF($A26="","",IFERROR(IF(SUMPRODUCT(MAX(('13_VANZARI'!$D$5:$D$1004=$A26)*('13_VANZARI'!$H$5:$H$1004&lt;&gt;"")*'13_VANZARI'!$A$5:$A$1004))=0,"",SUMPRODUCT(MAX(('13_VANZARI'!$D$5:$D$1004=$A26)*('13_VANZARI'!$H$5:$H$1004&lt;&gt;"")*'13_VANZARI'!$A$5:$A$1004))),""))</f>
        <v/>
      </c>
      <c r="L26" s="24">
        <f>IF(OR($A26="",$K26=""),"",'09_PARAMETRI'!$B$9-$K26)</f>
        <v/>
      </c>
      <c r="M26" s="24">
        <f>IF($A26="","",SUMPRODUCT(('11_PRODUSE'!$A$5:$A$104&lt;&gt;"")*(SUMIFS('13_VANZARI'!$H$5:$H$1004,'13_VANZARI'!$D$5:$D$1004,$A26,'13_VANZARI'!$E$5:$E$1004,'11_PRODUSE'!$A$5:$A$104,'13_VANZARI'!$A$5:$A$1004,"&gt;="&amp;'09_PARAMETRI'!$B$5,'13_VANZARI'!$A$5:$A$1004,"&lt;="&amp;'09_PARAMETRI'!$B$6)&lt;&gt;0)))</f>
        <v/>
      </c>
      <c r="N26" s="50">
        <f>IF($A26="","",IFERROR(AVERAGEIFS('15_NPS'!$F$5:$F$504,'15_NPS'!$C$5:$C$504,$A26,'15_NPS'!$B$5:$B$504,"&gt;="&amp;'09_PARAMETRI'!$B$5,'15_NPS'!$B$5:$B$504,"&lt;="&amp;'09_PARAMETRI'!$B$6),""))</f>
        <v/>
      </c>
      <c r="O26" s="39">
        <f>IF($A26="","",IF(AND($F26&gt;0,$E26=0),"Client pierdut",IF(AND($L26&lt;&gt;"",$L26&gt;'09_PARAMETRI'!$B$16,$F26&gt;0),"Client dormant",IF(AND($G26&lt;&gt;"",$G26&lt;='09_PARAMETRI'!$B$13),"Scădere de venit",IF(AND($N26&lt;&gt;"",$N26&lt;7),"Detractor activ",IF(AND($E26&gt;0,$J26&gt;'09_PARAMETRI'!$B$19),"Risc concentrare",IF(AND($E26&gt;0,$I26&lt;&gt;"",$I26&lt;'09_PARAMETRI'!$B$15),"Marjă sub referință",IF(AND($G26&lt;&gt;"",$G26&gt;='09_PARAMETRI'!$B$14),"În creștere",IF($E26=0,"Fără activitate","Stabil")))))))))</f>
        <v/>
      </c>
      <c r="P26" s="39">
        <f>IF($A26="","",IF($O26="Risc concentrare","Risc concentrare",IF($O26="Client pierdut","Recuperare client",IF($O26="Client dormant","Reactivare client",IF($O26="Scădere de venit","Recuperare client",IF($O26="Detractor activ","Recuperare NPS",IF($O26="Marjă sub referință","Marjă / preț",IF($O26="În creștere","Up-sell",IF($O26="Fără activitate","Reactivare client","Cross-sell")))))))))</f>
        <v/>
      </c>
      <c r="Q26" s="24">
        <f>IF($A26="","",IFERROR(IF($O26="Scădere de venit",MAX(0,$F26-$E26),IF(OR($O26="Client pierdut",$O26="Client dormant",$O26="Fără activitate"),$F26,IF($O26="Marjă sub referință",MAX(0,$E26*('09_PARAMETRI'!$B$15-$I26)),$E26*0.15))),""))</f>
        <v/>
      </c>
      <c r="R26" s="48">
        <f>IF(OR($A26="",$E26="",N($E26)&lt;=0),"",$E26+ROW()/1000000)</f>
        <v/>
      </c>
    </row>
    <row r="27">
      <c r="A27" s="39">
        <f>IF('10_CLIENTI'!$A27="","",'10_CLIENTI'!$A27)</f>
        <v/>
      </c>
      <c r="B27" s="39">
        <f>IF($A27="","",IFERROR(INDEX('10_CLIENTI'!$B$5:$B$204,MATCH($A27,'10_CLIENTI'!$A$5:$A$204,0)),""))</f>
        <v/>
      </c>
      <c r="C27" s="39">
        <f>IF($A27="","",IFERROR(INDEX('10_CLIENTI'!$C$5:$C$204,MATCH($A27,'10_CLIENTI'!$A$5:$A$204,0)),""))</f>
        <v/>
      </c>
      <c r="D27" s="39">
        <f>IF($A27="","",IFERROR(INDEX('10_CLIENTI'!$G$5:$G$204,MATCH($A27,'10_CLIENTI'!$A$5:$A$204,0)),""))</f>
        <v/>
      </c>
      <c r="E27" s="24">
        <f>IF($A27="","",SUMIFS('13_VANZARI'!$H$5:$H$1004,'13_VANZARI'!$D$5:$D$1004,$A27,'13_VANZARI'!$A$5:$A$1004,"&gt;="&amp;'09_PARAMETRI'!$B$5,'13_VANZARI'!$A$5:$A$1004,"&lt;="&amp;'09_PARAMETRI'!$B$6))</f>
        <v/>
      </c>
      <c r="F27" s="24">
        <f>IF($A27="","",SUMIFS('13_VANZARI'!$H$5:$H$1004,'13_VANZARI'!$D$5:$D$1004,$A27,'13_VANZARI'!$A$5:$A$1004,"&gt;="&amp;'09_PARAMETRI'!$B$7,'13_VANZARI'!$A$5:$A$1004,"&lt;="&amp;'09_PARAMETRI'!$B$8))</f>
        <v/>
      </c>
      <c r="G27" s="25">
        <f>IF($A27="","",IFERROR(IF($F27=0,"",($E27-$F27)/ABS($F27)),""))</f>
        <v/>
      </c>
      <c r="H27" s="24">
        <f>IF($A27="","",SUMIFS('13_VANZARI'!$K$5:$K$1004,'13_VANZARI'!$D$5:$D$1004,$A27,'13_VANZARI'!$A$5:$A$1004,"&gt;="&amp;'09_PARAMETRI'!$B$5,'13_VANZARI'!$A$5:$A$1004,"&lt;="&amp;'09_PARAMETRI'!$B$6))</f>
        <v/>
      </c>
      <c r="I27" s="25">
        <f>IF($A27="","",IFERROR($H27/$E27,""))</f>
        <v/>
      </c>
      <c r="J27" s="25">
        <f>IF($A27="","",IFERROR($E27/SUMIFS('13_VANZARI'!$H$5:$H$1004,'13_VANZARI'!$A$5:$A$1004,"&gt;="&amp;'09_PARAMETRI'!$B$5,'13_VANZARI'!$A$5:$A$1004,"&lt;="&amp;'09_PARAMETRI'!$B$6),""))</f>
        <v/>
      </c>
      <c r="K27" s="36">
        <f>IF($A27="","",IFERROR(IF(SUMPRODUCT(MAX(('13_VANZARI'!$D$5:$D$1004=$A27)*('13_VANZARI'!$H$5:$H$1004&lt;&gt;"")*'13_VANZARI'!$A$5:$A$1004))=0,"",SUMPRODUCT(MAX(('13_VANZARI'!$D$5:$D$1004=$A27)*('13_VANZARI'!$H$5:$H$1004&lt;&gt;"")*'13_VANZARI'!$A$5:$A$1004))),""))</f>
        <v/>
      </c>
      <c r="L27" s="24">
        <f>IF(OR($A27="",$K27=""),"",'09_PARAMETRI'!$B$9-$K27)</f>
        <v/>
      </c>
      <c r="M27" s="24">
        <f>IF($A27="","",SUMPRODUCT(('11_PRODUSE'!$A$5:$A$104&lt;&gt;"")*(SUMIFS('13_VANZARI'!$H$5:$H$1004,'13_VANZARI'!$D$5:$D$1004,$A27,'13_VANZARI'!$E$5:$E$1004,'11_PRODUSE'!$A$5:$A$104,'13_VANZARI'!$A$5:$A$1004,"&gt;="&amp;'09_PARAMETRI'!$B$5,'13_VANZARI'!$A$5:$A$1004,"&lt;="&amp;'09_PARAMETRI'!$B$6)&lt;&gt;0)))</f>
        <v/>
      </c>
      <c r="N27" s="50">
        <f>IF($A27="","",IFERROR(AVERAGEIFS('15_NPS'!$F$5:$F$504,'15_NPS'!$C$5:$C$504,$A27,'15_NPS'!$B$5:$B$504,"&gt;="&amp;'09_PARAMETRI'!$B$5,'15_NPS'!$B$5:$B$504,"&lt;="&amp;'09_PARAMETRI'!$B$6),""))</f>
        <v/>
      </c>
      <c r="O27" s="39">
        <f>IF($A27="","",IF(AND($F27&gt;0,$E27=0),"Client pierdut",IF(AND($L27&lt;&gt;"",$L27&gt;'09_PARAMETRI'!$B$16,$F27&gt;0),"Client dormant",IF(AND($G27&lt;&gt;"",$G27&lt;='09_PARAMETRI'!$B$13),"Scădere de venit",IF(AND($N27&lt;&gt;"",$N27&lt;7),"Detractor activ",IF(AND($E27&gt;0,$J27&gt;'09_PARAMETRI'!$B$19),"Risc concentrare",IF(AND($E27&gt;0,$I27&lt;&gt;"",$I27&lt;'09_PARAMETRI'!$B$15),"Marjă sub referință",IF(AND($G27&lt;&gt;"",$G27&gt;='09_PARAMETRI'!$B$14),"În creștere",IF($E27=0,"Fără activitate","Stabil")))))))))</f>
        <v/>
      </c>
      <c r="P27" s="39">
        <f>IF($A27="","",IF($O27="Risc concentrare","Risc concentrare",IF($O27="Client pierdut","Recuperare client",IF($O27="Client dormant","Reactivare client",IF($O27="Scădere de venit","Recuperare client",IF($O27="Detractor activ","Recuperare NPS",IF($O27="Marjă sub referință","Marjă / preț",IF($O27="În creștere","Up-sell",IF($O27="Fără activitate","Reactivare client","Cross-sell")))))))))</f>
        <v/>
      </c>
      <c r="Q27" s="24">
        <f>IF($A27="","",IFERROR(IF($O27="Scădere de venit",MAX(0,$F27-$E27),IF(OR($O27="Client pierdut",$O27="Client dormant",$O27="Fără activitate"),$F27,IF($O27="Marjă sub referință",MAX(0,$E27*('09_PARAMETRI'!$B$15-$I27)),$E27*0.15))),""))</f>
        <v/>
      </c>
      <c r="R27" s="48">
        <f>IF(OR($A27="",$E27="",N($E27)&lt;=0),"",$E27+ROW()/1000000)</f>
        <v/>
      </c>
    </row>
    <row r="28">
      <c r="A28" s="39">
        <f>IF('10_CLIENTI'!$A28="","",'10_CLIENTI'!$A28)</f>
        <v/>
      </c>
      <c r="B28" s="39">
        <f>IF($A28="","",IFERROR(INDEX('10_CLIENTI'!$B$5:$B$204,MATCH($A28,'10_CLIENTI'!$A$5:$A$204,0)),""))</f>
        <v/>
      </c>
      <c r="C28" s="39">
        <f>IF($A28="","",IFERROR(INDEX('10_CLIENTI'!$C$5:$C$204,MATCH($A28,'10_CLIENTI'!$A$5:$A$204,0)),""))</f>
        <v/>
      </c>
      <c r="D28" s="39">
        <f>IF($A28="","",IFERROR(INDEX('10_CLIENTI'!$G$5:$G$204,MATCH($A28,'10_CLIENTI'!$A$5:$A$204,0)),""))</f>
        <v/>
      </c>
      <c r="E28" s="24">
        <f>IF($A28="","",SUMIFS('13_VANZARI'!$H$5:$H$1004,'13_VANZARI'!$D$5:$D$1004,$A28,'13_VANZARI'!$A$5:$A$1004,"&gt;="&amp;'09_PARAMETRI'!$B$5,'13_VANZARI'!$A$5:$A$1004,"&lt;="&amp;'09_PARAMETRI'!$B$6))</f>
        <v/>
      </c>
      <c r="F28" s="24">
        <f>IF($A28="","",SUMIFS('13_VANZARI'!$H$5:$H$1004,'13_VANZARI'!$D$5:$D$1004,$A28,'13_VANZARI'!$A$5:$A$1004,"&gt;="&amp;'09_PARAMETRI'!$B$7,'13_VANZARI'!$A$5:$A$1004,"&lt;="&amp;'09_PARAMETRI'!$B$8))</f>
        <v/>
      </c>
      <c r="G28" s="25">
        <f>IF($A28="","",IFERROR(IF($F28=0,"",($E28-$F28)/ABS($F28)),""))</f>
        <v/>
      </c>
      <c r="H28" s="24">
        <f>IF($A28="","",SUMIFS('13_VANZARI'!$K$5:$K$1004,'13_VANZARI'!$D$5:$D$1004,$A28,'13_VANZARI'!$A$5:$A$1004,"&gt;="&amp;'09_PARAMETRI'!$B$5,'13_VANZARI'!$A$5:$A$1004,"&lt;="&amp;'09_PARAMETRI'!$B$6))</f>
        <v/>
      </c>
      <c r="I28" s="25">
        <f>IF($A28="","",IFERROR($H28/$E28,""))</f>
        <v/>
      </c>
      <c r="J28" s="25">
        <f>IF($A28="","",IFERROR($E28/SUMIFS('13_VANZARI'!$H$5:$H$1004,'13_VANZARI'!$A$5:$A$1004,"&gt;="&amp;'09_PARAMETRI'!$B$5,'13_VANZARI'!$A$5:$A$1004,"&lt;="&amp;'09_PARAMETRI'!$B$6),""))</f>
        <v/>
      </c>
      <c r="K28" s="36">
        <f>IF($A28="","",IFERROR(IF(SUMPRODUCT(MAX(('13_VANZARI'!$D$5:$D$1004=$A28)*('13_VANZARI'!$H$5:$H$1004&lt;&gt;"")*'13_VANZARI'!$A$5:$A$1004))=0,"",SUMPRODUCT(MAX(('13_VANZARI'!$D$5:$D$1004=$A28)*('13_VANZARI'!$H$5:$H$1004&lt;&gt;"")*'13_VANZARI'!$A$5:$A$1004))),""))</f>
        <v/>
      </c>
      <c r="L28" s="24">
        <f>IF(OR($A28="",$K28=""),"",'09_PARAMETRI'!$B$9-$K28)</f>
        <v/>
      </c>
      <c r="M28" s="24">
        <f>IF($A28="","",SUMPRODUCT(('11_PRODUSE'!$A$5:$A$104&lt;&gt;"")*(SUMIFS('13_VANZARI'!$H$5:$H$1004,'13_VANZARI'!$D$5:$D$1004,$A28,'13_VANZARI'!$E$5:$E$1004,'11_PRODUSE'!$A$5:$A$104,'13_VANZARI'!$A$5:$A$1004,"&gt;="&amp;'09_PARAMETRI'!$B$5,'13_VANZARI'!$A$5:$A$1004,"&lt;="&amp;'09_PARAMETRI'!$B$6)&lt;&gt;0)))</f>
        <v/>
      </c>
      <c r="N28" s="50">
        <f>IF($A28="","",IFERROR(AVERAGEIFS('15_NPS'!$F$5:$F$504,'15_NPS'!$C$5:$C$504,$A28,'15_NPS'!$B$5:$B$504,"&gt;="&amp;'09_PARAMETRI'!$B$5,'15_NPS'!$B$5:$B$504,"&lt;="&amp;'09_PARAMETRI'!$B$6),""))</f>
        <v/>
      </c>
      <c r="O28" s="39">
        <f>IF($A28="","",IF(AND($F28&gt;0,$E28=0),"Client pierdut",IF(AND($L28&lt;&gt;"",$L28&gt;'09_PARAMETRI'!$B$16,$F28&gt;0),"Client dormant",IF(AND($G28&lt;&gt;"",$G28&lt;='09_PARAMETRI'!$B$13),"Scădere de venit",IF(AND($N28&lt;&gt;"",$N28&lt;7),"Detractor activ",IF(AND($E28&gt;0,$J28&gt;'09_PARAMETRI'!$B$19),"Risc concentrare",IF(AND($E28&gt;0,$I28&lt;&gt;"",$I28&lt;'09_PARAMETRI'!$B$15),"Marjă sub referință",IF(AND($G28&lt;&gt;"",$G28&gt;='09_PARAMETRI'!$B$14),"În creștere",IF($E28=0,"Fără activitate","Stabil")))))))))</f>
        <v/>
      </c>
      <c r="P28" s="39">
        <f>IF($A28="","",IF($O28="Risc concentrare","Risc concentrare",IF($O28="Client pierdut","Recuperare client",IF($O28="Client dormant","Reactivare client",IF($O28="Scădere de venit","Recuperare client",IF($O28="Detractor activ","Recuperare NPS",IF($O28="Marjă sub referință","Marjă / preț",IF($O28="În creștere","Up-sell",IF($O28="Fără activitate","Reactivare client","Cross-sell")))))))))</f>
        <v/>
      </c>
      <c r="Q28" s="24">
        <f>IF($A28="","",IFERROR(IF($O28="Scădere de venit",MAX(0,$F28-$E28),IF(OR($O28="Client pierdut",$O28="Client dormant",$O28="Fără activitate"),$F28,IF($O28="Marjă sub referință",MAX(0,$E28*('09_PARAMETRI'!$B$15-$I28)),$E28*0.15))),""))</f>
        <v/>
      </c>
      <c r="R28" s="48">
        <f>IF(OR($A28="",$E28="",N($E28)&lt;=0),"",$E28+ROW()/1000000)</f>
        <v/>
      </c>
    </row>
    <row r="29">
      <c r="A29" s="39">
        <f>IF('10_CLIENTI'!$A29="","",'10_CLIENTI'!$A29)</f>
        <v/>
      </c>
      <c r="B29" s="39">
        <f>IF($A29="","",IFERROR(INDEX('10_CLIENTI'!$B$5:$B$204,MATCH($A29,'10_CLIENTI'!$A$5:$A$204,0)),""))</f>
        <v/>
      </c>
      <c r="C29" s="39">
        <f>IF($A29="","",IFERROR(INDEX('10_CLIENTI'!$C$5:$C$204,MATCH($A29,'10_CLIENTI'!$A$5:$A$204,0)),""))</f>
        <v/>
      </c>
      <c r="D29" s="39">
        <f>IF($A29="","",IFERROR(INDEX('10_CLIENTI'!$G$5:$G$204,MATCH($A29,'10_CLIENTI'!$A$5:$A$204,0)),""))</f>
        <v/>
      </c>
      <c r="E29" s="24">
        <f>IF($A29="","",SUMIFS('13_VANZARI'!$H$5:$H$1004,'13_VANZARI'!$D$5:$D$1004,$A29,'13_VANZARI'!$A$5:$A$1004,"&gt;="&amp;'09_PARAMETRI'!$B$5,'13_VANZARI'!$A$5:$A$1004,"&lt;="&amp;'09_PARAMETRI'!$B$6))</f>
        <v/>
      </c>
      <c r="F29" s="24">
        <f>IF($A29="","",SUMIFS('13_VANZARI'!$H$5:$H$1004,'13_VANZARI'!$D$5:$D$1004,$A29,'13_VANZARI'!$A$5:$A$1004,"&gt;="&amp;'09_PARAMETRI'!$B$7,'13_VANZARI'!$A$5:$A$1004,"&lt;="&amp;'09_PARAMETRI'!$B$8))</f>
        <v/>
      </c>
      <c r="G29" s="25">
        <f>IF($A29="","",IFERROR(IF($F29=0,"",($E29-$F29)/ABS($F29)),""))</f>
        <v/>
      </c>
      <c r="H29" s="24">
        <f>IF($A29="","",SUMIFS('13_VANZARI'!$K$5:$K$1004,'13_VANZARI'!$D$5:$D$1004,$A29,'13_VANZARI'!$A$5:$A$1004,"&gt;="&amp;'09_PARAMETRI'!$B$5,'13_VANZARI'!$A$5:$A$1004,"&lt;="&amp;'09_PARAMETRI'!$B$6))</f>
        <v/>
      </c>
      <c r="I29" s="25">
        <f>IF($A29="","",IFERROR($H29/$E29,""))</f>
        <v/>
      </c>
      <c r="J29" s="25">
        <f>IF($A29="","",IFERROR($E29/SUMIFS('13_VANZARI'!$H$5:$H$1004,'13_VANZARI'!$A$5:$A$1004,"&gt;="&amp;'09_PARAMETRI'!$B$5,'13_VANZARI'!$A$5:$A$1004,"&lt;="&amp;'09_PARAMETRI'!$B$6),""))</f>
        <v/>
      </c>
      <c r="K29" s="36">
        <f>IF($A29="","",IFERROR(IF(SUMPRODUCT(MAX(('13_VANZARI'!$D$5:$D$1004=$A29)*('13_VANZARI'!$H$5:$H$1004&lt;&gt;"")*'13_VANZARI'!$A$5:$A$1004))=0,"",SUMPRODUCT(MAX(('13_VANZARI'!$D$5:$D$1004=$A29)*('13_VANZARI'!$H$5:$H$1004&lt;&gt;"")*'13_VANZARI'!$A$5:$A$1004))),""))</f>
        <v/>
      </c>
      <c r="L29" s="24">
        <f>IF(OR($A29="",$K29=""),"",'09_PARAMETRI'!$B$9-$K29)</f>
        <v/>
      </c>
      <c r="M29" s="24">
        <f>IF($A29="","",SUMPRODUCT(('11_PRODUSE'!$A$5:$A$104&lt;&gt;"")*(SUMIFS('13_VANZARI'!$H$5:$H$1004,'13_VANZARI'!$D$5:$D$1004,$A29,'13_VANZARI'!$E$5:$E$1004,'11_PRODUSE'!$A$5:$A$104,'13_VANZARI'!$A$5:$A$1004,"&gt;="&amp;'09_PARAMETRI'!$B$5,'13_VANZARI'!$A$5:$A$1004,"&lt;="&amp;'09_PARAMETRI'!$B$6)&lt;&gt;0)))</f>
        <v/>
      </c>
      <c r="N29" s="50">
        <f>IF($A29="","",IFERROR(AVERAGEIFS('15_NPS'!$F$5:$F$504,'15_NPS'!$C$5:$C$504,$A29,'15_NPS'!$B$5:$B$504,"&gt;="&amp;'09_PARAMETRI'!$B$5,'15_NPS'!$B$5:$B$504,"&lt;="&amp;'09_PARAMETRI'!$B$6),""))</f>
        <v/>
      </c>
      <c r="O29" s="39">
        <f>IF($A29="","",IF(AND($F29&gt;0,$E29=0),"Client pierdut",IF(AND($L29&lt;&gt;"",$L29&gt;'09_PARAMETRI'!$B$16,$F29&gt;0),"Client dormant",IF(AND($G29&lt;&gt;"",$G29&lt;='09_PARAMETRI'!$B$13),"Scădere de venit",IF(AND($N29&lt;&gt;"",$N29&lt;7),"Detractor activ",IF(AND($E29&gt;0,$J29&gt;'09_PARAMETRI'!$B$19),"Risc concentrare",IF(AND($E29&gt;0,$I29&lt;&gt;"",$I29&lt;'09_PARAMETRI'!$B$15),"Marjă sub referință",IF(AND($G29&lt;&gt;"",$G29&gt;='09_PARAMETRI'!$B$14),"În creștere",IF($E29=0,"Fără activitate","Stabil")))))))))</f>
        <v/>
      </c>
      <c r="P29" s="39">
        <f>IF($A29="","",IF($O29="Risc concentrare","Risc concentrare",IF($O29="Client pierdut","Recuperare client",IF($O29="Client dormant","Reactivare client",IF($O29="Scădere de venit","Recuperare client",IF($O29="Detractor activ","Recuperare NPS",IF($O29="Marjă sub referință","Marjă / preț",IF($O29="În creștere","Up-sell",IF($O29="Fără activitate","Reactivare client","Cross-sell")))))))))</f>
        <v/>
      </c>
      <c r="Q29" s="24">
        <f>IF($A29="","",IFERROR(IF($O29="Scădere de venit",MAX(0,$F29-$E29),IF(OR($O29="Client pierdut",$O29="Client dormant",$O29="Fără activitate"),$F29,IF($O29="Marjă sub referință",MAX(0,$E29*('09_PARAMETRI'!$B$15-$I29)),$E29*0.15))),""))</f>
        <v/>
      </c>
      <c r="R29" s="48">
        <f>IF(OR($A29="",$E29="",N($E29)&lt;=0),"",$E29+ROW()/1000000)</f>
        <v/>
      </c>
    </row>
    <row r="30">
      <c r="A30" s="39">
        <f>IF('10_CLIENTI'!$A30="","",'10_CLIENTI'!$A30)</f>
        <v/>
      </c>
      <c r="B30" s="39">
        <f>IF($A30="","",IFERROR(INDEX('10_CLIENTI'!$B$5:$B$204,MATCH($A30,'10_CLIENTI'!$A$5:$A$204,0)),""))</f>
        <v/>
      </c>
      <c r="C30" s="39">
        <f>IF($A30="","",IFERROR(INDEX('10_CLIENTI'!$C$5:$C$204,MATCH($A30,'10_CLIENTI'!$A$5:$A$204,0)),""))</f>
        <v/>
      </c>
      <c r="D30" s="39">
        <f>IF($A30="","",IFERROR(INDEX('10_CLIENTI'!$G$5:$G$204,MATCH($A30,'10_CLIENTI'!$A$5:$A$204,0)),""))</f>
        <v/>
      </c>
      <c r="E30" s="24">
        <f>IF($A30="","",SUMIFS('13_VANZARI'!$H$5:$H$1004,'13_VANZARI'!$D$5:$D$1004,$A30,'13_VANZARI'!$A$5:$A$1004,"&gt;="&amp;'09_PARAMETRI'!$B$5,'13_VANZARI'!$A$5:$A$1004,"&lt;="&amp;'09_PARAMETRI'!$B$6))</f>
        <v/>
      </c>
      <c r="F30" s="24">
        <f>IF($A30="","",SUMIFS('13_VANZARI'!$H$5:$H$1004,'13_VANZARI'!$D$5:$D$1004,$A30,'13_VANZARI'!$A$5:$A$1004,"&gt;="&amp;'09_PARAMETRI'!$B$7,'13_VANZARI'!$A$5:$A$1004,"&lt;="&amp;'09_PARAMETRI'!$B$8))</f>
        <v/>
      </c>
      <c r="G30" s="25">
        <f>IF($A30="","",IFERROR(IF($F30=0,"",($E30-$F30)/ABS($F30)),""))</f>
        <v/>
      </c>
      <c r="H30" s="24">
        <f>IF($A30="","",SUMIFS('13_VANZARI'!$K$5:$K$1004,'13_VANZARI'!$D$5:$D$1004,$A30,'13_VANZARI'!$A$5:$A$1004,"&gt;="&amp;'09_PARAMETRI'!$B$5,'13_VANZARI'!$A$5:$A$1004,"&lt;="&amp;'09_PARAMETRI'!$B$6))</f>
        <v/>
      </c>
      <c r="I30" s="25">
        <f>IF($A30="","",IFERROR($H30/$E30,""))</f>
        <v/>
      </c>
      <c r="J30" s="25">
        <f>IF($A30="","",IFERROR($E30/SUMIFS('13_VANZARI'!$H$5:$H$1004,'13_VANZARI'!$A$5:$A$1004,"&gt;="&amp;'09_PARAMETRI'!$B$5,'13_VANZARI'!$A$5:$A$1004,"&lt;="&amp;'09_PARAMETRI'!$B$6),""))</f>
        <v/>
      </c>
      <c r="K30" s="36">
        <f>IF($A30="","",IFERROR(IF(SUMPRODUCT(MAX(('13_VANZARI'!$D$5:$D$1004=$A30)*('13_VANZARI'!$H$5:$H$1004&lt;&gt;"")*'13_VANZARI'!$A$5:$A$1004))=0,"",SUMPRODUCT(MAX(('13_VANZARI'!$D$5:$D$1004=$A30)*('13_VANZARI'!$H$5:$H$1004&lt;&gt;"")*'13_VANZARI'!$A$5:$A$1004))),""))</f>
        <v/>
      </c>
      <c r="L30" s="24">
        <f>IF(OR($A30="",$K30=""),"",'09_PARAMETRI'!$B$9-$K30)</f>
        <v/>
      </c>
      <c r="M30" s="24">
        <f>IF($A30="","",SUMPRODUCT(('11_PRODUSE'!$A$5:$A$104&lt;&gt;"")*(SUMIFS('13_VANZARI'!$H$5:$H$1004,'13_VANZARI'!$D$5:$D$1004,$A30,'13_VANZARI'!$E$5:$E$1004,'11_PRODUSE'!$A$5:$A$104,'13_VANZARI'!$A$5:$A$1004,"&gt;="&amp;'09_PARAMETRI'!$B$5,'13_VANZARI'!$A$5:$A$1004,"&lt;="&amp;'09_PARAMETRI'!$B$6)&lt;&gt;0)))</f>
        <v/>
      </c>
      <c r="N30" s="50">
        <f>IF($A30="","",IFERROR(AVERAGEIFS('15_NPS'!$F$5:$F$504,'15_NPS'!$C$5:$C$504,$A30,'15_NPS'!$B$5:$B$504,"&gt;="&amp;'09_PARAMETRI'!$B$5,'15_NPS'!$B$5:$B$504,"&lt;="&amp;'09_PARAMETRI'!$B$6),""))</f>
        <v/>
      </c>
      <c r="O30" s="39">
        <f>IF($A30="","",IF(AND($F30&gt;0,$E30=0),"Client pierdut",IF(AND($L30&lt;&gt;"",$L30&gt;'09_PARAMETRI'!$B$16,$F30&gt;0),"Client dormant",IF(AND($G30&lt;&gt;"",$G30&lt;='09_PARAMETRI'!$B$13),"Scădere de venit",IF(AND($N30&lt;&gt;"",$N30&lt;7),"Detractor activ",IF(AND($E30&gt;0,$J30&gt;'09_PARAMETRI'!$B$19),"Risc concentrare",IF(AND($E30&gt;0,$I30&lt;&gt;"",$I30&lt;'09_PARAMETRI'!$B$15),"Marjă sub referință",IF(AND($G30&lt;&gt;"",$G30&gt;='09_PARAMETRI'!$B$14),"În creștere",IF($E30=0,"Fără activitate","Stabil")))))))))</f>
        <v/>
      </c>
      <c r="P30" s="39">
        <f>IF($A30="","",IF($O30="Risc concentrare","Risc concentrare",IF($O30="Client pierdut","Recuperare client",IF($O30="Client dormant","Reactivare client",IF($O30="Scădere de venit","Recuperare client",IF($O30="Detractor activ","Recuperare NPS",IF($O30="Marjă sub referință","Marjă / preț",IF($O30="În creștere","Up-sell",IF($O30="Fără activitate","Reactivare client","Cross-sell")))))))))</f>
        <v/>
      </c>
      <c r="Q30" s="24">
        <f>IF($A30="","",IFERROR(IF($O30="Scădere de venit",MAX(0,$F30-$E30),IF(OR($O30="Client pierdut",$O30="Client dormant",$O30="Fără activitate"),$F30,IF($O30="Marjă sub referință",MAX(0,$E30*('09_PARAMETRI'!$B$15-$I30)),$E30*0.15))),""))</f>
        <v/>
      </c>
      <c r="R30" s="48">
        <f>IF(OR($A30="",$E30="",N($E30)&lt;=0),"",$E30+ROW()/1000000)</f>
        <v/>
      </c>
    </row>
    <row r="31">
      <c r="A31" s="39">
        <f>IF('10_CLIENTI'!$A31="","",'10_CLIENTI'!$A31)</f>
        <v/>
      </c>
      <c r="B31" s="39">
        <f>IF($A31="","",IFERROR(INDEX('10_CLIENTI'!$B$5:$B$204,MATCH($A31,'10_CLIENTI'!$A$5:$A$204,0)),""))</f>
        <v/>
      </c>
      <c r="C31" s="39">
        <f>IF($A31="","",IFERROR(INDEX('10_CLIENTI'!$C$5:$C$204,MATCH($A31,'10_CLIENTI'!$A$5:$A$204,0)),""))</f>
        <v/>
      </c>
      <c r="D31" s="39">
        <f>IF($A31="","",IFERROR(INDEX('10_CLIENTI'!$G$5:$G$204,MATCH($A31,'10_CLIENTI'!$A$5:$A$204,0)),""))</f>
        <v/>
      </c>
      <c r="E31" s="24">
        <f>IF($A31="","",SUMIFS('13_VANZARI'!$H$5:$H$1004,'13_VANZARI'!$D$5:$D$1004,$A31,'13_VANZARI'!$A$5:$A$1004,"&gt;="&amp;'09_PARAMETRI'!$B$5,'13_VANZARI'!$A$5:$A$1004,"&lt;="&amp;'09_PARAMETRI'!$B$6))</f>
        <v/>
      </c>
      <c r="F31" s="24">
        <f>IF($A31="","",SUMIFS('13_VANZARI'!$H$5:$H$1004,'13_VANZARI'!$D$5:$D$1004,$A31,'13_VANZARI'!$A$5:$A$1004,"&gt;="&amp;'09_PARAMETRI'!$B$7,'13_VANZARI'!$A$5:$A$1004,"&lt;="&amp;'09_PARAMETRI'!$B$8))</f>
        <v/>
      </c>
      <c r="G31" s="25">
        <f>IF($A31="","",IFERROR(IF($F31=0,"",($E31-$F31)/ABS($F31)),""))</f>
        <v/>
      </c>
      <c r="H31" s="24">
        <f>IF($A31="","",SUMIFS('13_VANZARI'!$K$5:$K$1004,'13_VANZARI'!$D$5:$D$1004,$A31,'13_VANZARI'!$A$5:$A$1004,"&gt;="&amp;'09_PARAMETRI'!$B$5,'13_VANZARI'!$A$5:$A$1004,"&lt;="&amp;'09_PARAMETRI'!$B$6))</f>
        <v/>
      </c>
      <c r="I31" s="25">
        <f>IF($A31="","",IFERROR($H31/$E31,""))</f>
        <v/>
      </c>
      <c r="J31" s="25">
        <f>IF($A31="","",IFERROR($E31/SUMIFS('13_VANZARI'!$H$5:$H$1004,'13_VANZARI'!$A$5:$A$1004,"&gt;="&amp;'09_PARAMETRI'!$B$5,'13_VANZARI'!$A$5:$A$1004,"&lt;="&amp;'09_PARAMETRI'!$B$6),""))</f>
        <v/>
      </c>
      <c r="K31" s="36">
        <f>IF($A31="","",IFERROR(IF(SUMPRODUCT(MAX(('13_VANZARI'!$D$5:$D$1004=$A31)*('13_VANZARI'!$H$5:$H$1004&lt;&gt;"")*'13_VANZARI'!$A$5:$A$1004))=0,"",SUMPRODUCT(MAX(('13_VANZARI'!$D$5:$D$1004=$A31)*('13_VANZARI'!$H$5:$H$1004&lt;&gt;"")*'13_VANZARI'!$A$5:$A$1004))),""))</f>
        <v/>
      </c>
      <c r="L31" s="24">
        <f>IF(OR($A31="",$K31=""),"",'09_PARAMETRI'!$B$9-$K31)</f>
        <v/>
      </c>
      <c r="M31" s="24">
        <f>IF($A31="","",SUMPRODUCT(('11_PRODUSE'!$A$5:$A$104&lt;&gt;"")*(SUMIFS('13_VANZARI'!$H$5:$H$1004,'13_VANZARI'!$D$5:$D$1004,$A31,'13_VANZARI'!$E$5:$E$1004,'11_PRODUSE'!$A$5:$A$104,'13_VANZARI'!$A$5:$A$1004,"&gt;="&amp;'09_PARAMETRI'!$B$5,'13_VANZARI'!$A$5:$A$1004,"&lt;="&amp;'09_PARAMETRI'!$B$6)&lt;&gt;0)))</f>
        <v/>
      </c>
      <c r="N31" s="50">
        <f>IF($A31="","",IFERROR(AVERAGEIFS('15_NPS'!$F$5:$F$504,'15_NPS'!$C$5:$C$504,$A31,'15_NPS'!$B$5:$B$504,"&gt;="&amp;'09_PARAMETRI'!$B$5,'15_NPS'!$B$5:$B$504,"&lt;="&amp;'09_PARAMETRI'!$B$6),""))</f>
        <v/>
      </c>
      <c r="O31" s="39">
        <f>IF($A31="","",IF(AND($F31&gt;0,$E31=0),"Client pierdut",IF(AND($L31&lt;&gt;"",$L31&gt;'09_PARAMETRI'!$B$16,$F31&gt;0),"Client dormant",IF(AND($G31&lt;&gt;"",$G31&lt;='09_PARAMETRI'!$B$13),"Scădere de venit",IF(AND($N31&lt;&gt;"",$N31&lt;7),"Detractor activ",IF(AND($E31&gt;0,$J31&gt;'09_PARAMETRI'!$B$19),"Risc concentrare",IF(AND($E31&gt;0,$I31&lt;&gt;"",$I31&lt;'09_PARAMETRI'!$B$15),"Marjă sub referință",IF(AND($G31&lt;&gt;"",$G31&gt;='09_PARAMETRI'!$B$14),"În creștere",IF($E31=0,"Fără activitate","Stabil")))))))))</f>
        <v/>
      </c>
      <c r="P31" s="39">
        <f>IF($A31="","",IF($O31="Risc concentrare","Risc concentrare",IF($O31="Client pierdut","Recuperare client",IF($O31="Client dormant","Reactivare client",IF($O31="Scădere de venit","Recuperare client",IF($O31="Detractor activ","Recuperare NPS",IF($O31="Marjă sub referință","Marjă / preț",IF($O31="În creștere","Up-sell",IF($O31="Fără activitate","Reactivare client","Cross-sell")))))))))</f>
        <v/>
      </c>
      <c r="Q31" s="24">
        <f>IF($A31="","",IFERROR(IF($O31="Scădere de venit",MAX(0,$F31-$E31),IF(OR($O31="Client pierdut",$O31="Client dormant",$O31="Fără activitate"),$F31,IF($O31="Marjă sub referință",MAX(0,$E31*('09_PARAMETRI'!$B$15-$I31)),$E31*0.15))),""))</f>
        <v/>
      </c>
      <c r="R31" s="48">
        <f>IF(OR($A31="",$E31="",N($E31)&lt;=0),"",$E31+ROW()/1000000)</f>
        <v/>
      </c>
    </row>
    <row r="32">
      <c r="A32" s="39">
        <f>IF('10_CLIENTI'!$A32="","",'10_CLIENTI'!$A32)</f>
        <v/>
      </c>
      <c r="B32" s="39">
        <f>IF($A32="","",IFERROR(INDEX('10_CLIENTI'!$B$5:$B$204,MATCH($A32,'10_CLIENTI'!$A$5:$A$204,0)),""))</f>
        <v/>
      </c>
      <c r="C32" s="39">
        <f>IF($A32="","",IFERROR(INDEX('10_CLIENTI'!$C$5:$C$204,MATCH($A32,'10_CLIENTI'!$A$5:$A$204,0)),""))</f>
        <v/>
      </c>
      <c r="D32" s="39">
        <f>IF($A32="","",IFERROR(INDEX('10_CLIENTI'!$G$5:$G$204,MATCH($A32,'10_CLIENTI'!$A$5:$A$204,0)),""))</f>
        <v/>
      </c>
      <c r="E32" s="24">
        <f>IF($A32="","",SUMIFS('13_VANZARI'!$H$5:$H$1004,'13_VANZARI'!$D$5:$D$1004,$A32,'13_VANZARI'!$A$5:$A$1004,"&gt;="&amp;'09_PARAMETRI'!$B$5,'13_VANZARI'!$A$5:$A$1004,"&lt;="&amp;'09_PARAMETRI'!$B$6))</f>
        <v/>
      </c>
      <c r="F32" s="24">
        <f>IF($A32="","",SUMIFS('13_VANZARI'!$H$5:$H$1004,'13_VANZARI'!$D$5:$D$1004,$A32,'13_VANZARI'!$A$5:$A$1004,"&gt;="&amp;'09_PARAMETRI'!$B$7,'13_VANZARI'!$A$5:$A$1004,"&lt;="&amp;'09_PARAMETRI'!$B$8))</f>
        <v/>
      </c>
      <c r="G32" s="25">
        <f>IF($A32="","",IFERROR(IF($F32=0,"",($E32-$F32)/ABS($F32)),""))</f>
        <v/>
      </c>
      <c r="H32" s="24">
        <f>IF($A32="","",SUMIFS('13_VANZARI'!$K$5:$K$1004,'13_VANZARI'!$D$5:$D$1004,$A32,'13_VANZARI'!$A$5:$A$1004,"&gt;="&amp;'09_PARAMETRI'!$B$5,'13_VANZARI'!$A$5:$A$1004,"&lt;="&amp;'09_PARAMETRI'!$B$6))</f>
        <v/>
      </c>
      <c r="I32" s="25">
        <f>IF($A32="","",IFERROR($H32/$E32,""))</f>
        <v/>
      </c>
      <c r="J32" s="25">
        <f>IF($A32="","",IFERROR($E32/SUMIFS('13_VANZARI'!$H$5:$H$1004,'13_VANZARI'!$A$5:$A$1004,"&gt;="&amp;'09_PARAMETRI'!$B$5,'13_VANZARI'!$A$5:$A$1004,"&lt;="&amp;'09_PARAMETRI'!$B$6),""))</f>
        <v/>
      </c>
      <c r="K32" s="36">
        <f>IF($A32="","",IFERROR(IF(SUMPRODUCT(MAX(('13_VANZARI'!$D$5:$D$1004=$A32)*('13_VANZARI'!$H$5:$H$1004&lt;&gt;"")*'13_VANZARI'!$A$5:$A$1004))=0,"",SUMPRODUCT(MAX(('13_VANZARI'!$D$5:$D$1004=$A32)*('13_VANZARI'!$H$5:$H$1004&lt;&gt;"")*'13_VANZARI'!$A$5:$A$1004))),""))</f>
        <v/>
      </c>
      <c r="L32" s="24">
        <f>IF(OR($A32="",$K32=""),"",'09_PARAMETRI'!$B$9-$K32)</f>
        <v/>
      </c>
      <c r="M32" s="24">
        <f>IF($A32="","",SUMPRODUCT(('11_PRODUSE'!$A$5:$A$104&lt;&gt;"")*(SUMIFS('13_VANZARI'!$H$5:$H$1004,'13_VANZARI'!$D$5:$D$1004,$A32,'13_VANZARI'!$E$5:$E$1004,'11_PRODUSE'!$A$5:$A$104,'13_VANZARI'!$A$5:$A$1004,"&gt;="&amp;'09_PARAMETRI'!$B$5,'13_VANZARI'!$A$5:$A$1004,"&lt;="&amp;'09_PARAMETRI'!$B$6)&lt;&gt;0)))</f>
        <v/>
      </c>
      <c r="N32" s="50">
        <f>IF($A32="","",IFERROR(AVERAGEIFS('15_NPS'!$F$5:$F$504,'15_NPS'!$C$5:$C$504,$A32,'15_NPS'!$B$5:$B$504,"&gt;="&amp;'09_PARAMETRI'!$B$5,'15_NPS'!$B$5:$B$504,"&lt;="&amp;'09_PARAMETRI'!$B$6),""))</f>
        <v/>
      </c>
      <c r="O32" s="39">
        <f>IF($A32="","",IF(AND($F32&gt;0,$E32=0),"Client pierdut",IF(AND($L32&lt;&gt;"",$L32&gt;'09_PARAMETRI'!$B$16,$F32&gt;0),"Client dormant",IF(AND($G32&lt;&gt;"",$G32&lt;='09_PARAMETRI'!$B$13),"Scădere de venit",IF(AND($N32&lt;&gt;"",$N32&lt;7),"Detractor activ",IF(AND($E32&gt;0,$J32&gt;'09_PARAMETRI'!$B$19),"Risc concentrare",IF(AND($E32&gt;0,$I32&lt;&gt;"",$I32&lt;'09_PARAMETRI'!$B$15),"Marjă sub referință",IF(AND($G32&lt;&gt;"",$G32&gt;='09_PARAMETRI'!$B$14),"În creștere",IF($E32=0,"Fără activitate","Stabil")))))))))</f>
        <v/>
      </c>
      <c r="P32" s="39">
        <f>IF($A32="","",IF($O32="Risc concentrare","Risc concentrare",IF($O32="Client pierdut","Recuperare client",IF($O32="Client dormant","Reactivare client",IF($O32="Scădere de venit","Recuperare client",IF($O32="Detractor activ","Recuperare NPS",IF($O32="Marjă sub referință","Marjă / preț",IF($O32="În creștere","Up-sell",IF($O32="Fără activitate","Reactivare client","Cross-sell")))))))))</f>
        <v/>
      </c>
      <c r="Q32" s="24">
        <f>IF($A32="","",IFERROR(IF($O32="Scădere de venit",MAX(0,$F32-$E32),IF(OR($O32="Client pierdut",$O32="Client dormant",$O32="Fără activitate"),$F32,IF($O32="Marjă sub referință",MAX(0,$E32*('09_PARAMETRI'!$B$15-$I32)),$E32*0.15))),""))</f>
        <v/>
      </c>
      <c r="R32" s="48">
        <f>IF(OR($A32="",$E32="",N($E32)&lt;=0),"",$E32+ROW()/1000000)</f>
        <v/>
      </c>
    </row>
    <row r="33">
      <c r="A33" s="39">
        <f>IF('10_CLIENTI'!$A33="","",'10_CLIENTI'!$A33)</f>
        <v/>
      </c>
      <c r="B33" s="39">
        <f>IF($A33="","",IFERROR(INDEX('10_CLIENTI'!$B$5:$B$204,MATCH($A33,'10_CLIENTI'!$A$5:$A$204,0)),""))</f>
        <v/>
      </c>
      <c r="C33" s="39">
        <f>IF($A33="","",IFERROR(INDEX('10_CLIENTI'!$C$5:$C$204,MATCH($A33,'10_CLIENTI'!$A$5:$A$204,0)),""))</f>
        <v/>
      </c>
      <c r="D33" s="39">
        <f>IF($A33="","",IFERROR(INDEX('10_CLIENTI'!$G$5:$G$204,MATCH($A33,'10_CLIENTI'!$A$5:$A$204,0)),""))</f>
        <v/>
      </c>
      <c r="E33" s="24">
        <f>IF($A33="","",SUMIFS('13_VANZARI'!$H$5:$H$1004,'13_VANZARI'!$D$5:$D$1004,$A33,'13_VANZARI'!$A$5:$A$1004,"&gt;="&amp;'09_PARAMETRI'!$B$5,'13_VANZARI'!$A$5:$A$1004,"&lt;="&amp;'09_PARAMETRI'!$B$6))</f>
        <v/>
      </c>
      <c r="F33" s="24">
        <f>IF($A33="","",SUMIFS('13_VANZARI'!$H$5:$H$1004,'13_VANZARI'!$D$5:$D$1004,$A33,'13_VANZARI'!$A$5:$A$1004,"&gt;="&amp;'09_PARAMETRI'!$B$7,'13_VANZARI'!$A$5:$A$1004,"&lt;="&amp;'09_PARAMETRI'!$B$8))</f>
        <v/>
      </c>
      <c r="G33" s="25">
        <f>IF($A33="","",IFERROR(IF($F33=0,"",($E33-$F33)/ABS($F33)),""))</f>
        <v/>
      </c>
      <c r="H33" s="24">
        <f>IF($A33="","",SUMIFS('13_VANZARI'!$K$5:$K$1004,'13_VANZARI'!$D$5:$D$1004,$A33,'13_VANZARI'!$A$5:$A$1004,"&gt;="&amp;'09_PARAMETRI'!$B$5,'13_VANZARI'!$A$5:$A$1004,"&lt;="&amp;'09_PARAMETRI'!$B$6))</f>
        <v/>
      </c>
      <c r="I33" s="25">
        <f>IF($A33="","",IFERROR($H33/$E33,""))</f>
        <v/>
      </c>
      <c r="J33" s="25">
        <f>IF($A33="","",IFERROR($E33/SUMIFS('13_VANZARI'!$H$5:$H$1004,'13_VANZARI'!$A$5:$A$1004,"&gt;="&amp;'09_PARAMETRI'!$B$5,'13_VANZARI'!$A$5:$A$1004,"&lt;="&amp;'09_PARAMETRI'!$B$6),""))</f>
        <v/>
      </c>
      <c r="K33" s="36">
        <f>IF($A33="","",IFERROR(IF(SUMPRODUCT(MAX(('13_VANZARI'!$D$5:$D$1004=$A33)*('13_VANZARI'!$H$5:$H$1004&lt;&gt;"")*'13_VANZARI'!$A$5:$A$1004))=0,"",SUMPRODUCT(MAX(('13_VANZARI'!$D$5:$D$1004=$A33)*('13_VANZARI'!$H$5:$H$1004&lt;&gt;"")*'13_VANZARI'!$A$5:$A$1004))),""))</f>
        <v/>
      </c>
      <c r="L33" s="24">
        <f>IF(OR($A33="",$K33=""),"",'09_PARAMETRI'!$B$9-$K33)</f>
        <v/>
      </c>
      <c r="M33" s="24">
        <f>IF($A33="","",SUMPRODUCT(('11_PRODUSE'!$A$5:$A$104&lt;&gt;"")*(SUMIFS('13_VANZARI'!$H$5:$H$1004,'13_VANZARI'!$D$5:$D$1004,$A33,'13_VANZARI'!$E$5:$E$1004,'11_PRODUSE'!$A$5:$A$104,'13_VANZARI'!$A$5:$A$1004,"&gt;="&amp;'09_PARAMETRI'!$B$5,'13_VANZARI'!$A$5:$A$1004,"&lt;="&amp;'09_PARAMETRI'!$B$6)&lt;&gt;0)))</f>
        <v/>
      </c>
      <c r="N33" s="50">
        <f>IF($A33="","",IFERROR(AVERAGEIFS('15_NPS'!$F$5:$F$504,'15_NPS'!$C$5:$C$504,$A33,'15_NPS'!$B$5:$B$504,"&gt;="&amp;'09_PARAMETRI'!$B$5,'15_NPS'!$B$5:$B$504,"&lt;="&amp;'09_PARAMETRI'!$B$6),""))</f>
        <v/>
      </c>
      <c r="O33" s="39">
        <f>IF($A33="","",IF(AND($F33&gt;0,$E33=0),"Client pierdut",IF(AND($L33&lt;&gt;"",$L33&gt;'09_PARAMETRI'!$B$16,$F33&gt;0),"Client dormant",IF(AND($G33&lt;&gt;"",$G33&lt;='09_PARAMETRI'!$B$13),"Scădere de venit",IF(AND($N33&lt;&gt;"",$N33&lt;7),"Detractor activ",IF(AND($E33&gt;0,$J33&gt;'09_PARAMETRI'!$B$19),"Risc concentrare",IF(AND($E33&gt;0,$I33&lt;&gt;"",$I33&lt;'09_PARAMETRI'!$B$15),"Marjă sub referință",IF(AND($G33&lt;&gt;"",$G33&gt;='09_PARAMETRI'!$B$14),"În creștere",IF($E33=0,"Fără activitate","Stabil")))))))))</f>
        <v/>
      </c>
      <c r="P33" s="39">
        <f>IF($A33="","",IF($O33="Risc concentrare","Risc concentrare",IF($O33="Client pierdut","Recuperare client",IF($O33="Client dormant","Reactivare client",IF($O33="Scădere de venit","Recuperare client",IF($O33="Detractor activ","Recuperare NPS",IF($O33="Marjă sub referință","Marjă / preț",IF($O33="În creștere","Up-sell",IF($O33="Fără activitate","Reactivare client","Cross-sell")))))))))</f>
        <v/>
      </c>
      <c r="Q33" s="24">
        <f>IF($A33="","",IFERROR(IF($O33="Scădere de venit",MAX(0,$F33-$E33),IF(OR($O33="Client pierdut",$O33="Client dormant",$O33="Fără activitate"),$F33,IF($O33="Marjă sub referință",MAX(0,$E33*('09_PARAMETRI'!$B$15-$I33)),$E33*0.15))),""))</f>
        <v/>
      </c>
      <c r="R33" s="48">
        <f>IF(OR($A33="",$E33="",N($E33)&lt;=0),"",$E33+ROW()/1000000)</f>
        <v/>
      </c>
    </row>
    <row r="34">
      <c r="A34" s="39">
        <f>IF('10_CLIENTI'!$A34="","",'10_CLIENTI'!$A34)</f>
        <v/>
      </c>
      <c r="B34" s="39">
        <f>IF($A34="","",IFERROR(INDEX('10_CLIENTI'!$B$5:$B$204,MATCH($A34,'10_CLIENTI'!$A$5:$A$204,0)),""))</f>
        <v/>
      </c>
      <c r="C34" s="39">
        <f>IF($A34="","",IFERROR(INDEX('10_CLIENTI'!$C$5:$C$204,MATCH($A34,'10_CLIENTI'!$A$5:$A$204,0)),""))</f>
        <v/>
      </c>
      <c r="D34" s="39">
        <f>IF($A34="","",IFERROR(INDEX('10_CLIENTI'!$G$5:$G$204,MATCH($A34,'10_CLIENTI'!$A$5:$A$204,0)),""))</f>
        <v/>
      </c>
      <c r="E34" s="24">
        <f>IF($A34="","",SUMIFS('13_VANZARI'!$H$5:$H$1004,'13_VANZARI'!$D$5:$D$1004,$A34,'13_VANZARI'!$A$5:$A$1004,"&gt;="&amp;'09_PARAMETRI'!$B$5,'13_VANZARI'!$A$5:$A$1004,"&lt;="&amp;'09_PARAMETRI'!$B$6))</f>
        <v/>
      </c>
      <c r="F34" s="24">
        <f>IF($A34="","",SUMIFS('13_VANZARI'!$H$5:$H$1004,'13_VANZARI'!$D$5:$D$1004,$A34,'13_VANZARI'!$A$5:$A$1004,"&gt;="&amp;'09_PARAMETRI'!$B$7,'13_VANZARI'!$A$5:$A$1004,"&lt;="&amp;'09_PARAMETRI'!$B$8))</f>
        <v/>
      </c>
      <c r="G34" s="25">
        <f>IF($A34="","",IFERROR(IF($F34=0,"",($E34-$F34)/ABS($F34)),""))</f>
        <v/>
      </c>
      <c r="H34" s="24">
        <f>IF($A34="","",SUMIFS('13_VANZARI'!$K$5:$K$1004,'13_VANZARI'!$D$5:$D$1004,$A34,'13_VANZARI'!$A$5:$A$1004,"&gt;="&amp;'09_PARAMETRI'!$B$5,'13_VANZARI'!$A$5:$A$1004,"&lt;="&amp;'09_PARAMETRI'!$B$6))</f>
        <v/>
      </c>
      <c r="I34" s="25">
        <f>IF($A34="","",IFERROR($H34/$E34,""))</f>
        <v/>
      </c>
      <c r="J34" s="25">
        <f>IF($A34="","",IFERROR($E34/SUMIFS('13_VANZARI'!$H$5:$H$1004,'13_VANZARI'!$A$5:$A$1004,"&gt;="&amp;'09_PARAMETRI'!$B$5,'13_VANZARI'!$A$5:$A$1004,"&lt;="&amp;'09_PARAMETRI'!$B$6),""))</f>
        <v/>
      </c>
      <c r="K34" s="36">
        <f>IF($A34="","",IFERROR(IF(SUMPRODUCT(MAX(('13_VANZARI'!$D$5:$D$1004=$A34)*('13_VANZARI'!$H$5:$H$1004&lt;&gt;"")*'13_VANZARI'!$A$5:$A$1004))=0,"",SUMPRODUCT(MAX(('13_VANZARI'!$D$5:$D$1004=$A34)*('13_VANZARI'!$H$5:$H$1004&lt;&gt;"")*'13_VANZARI'!$A$5:$A$1004))),""))</f>
        <v/>
      </c>
      <c r="L34" s="24">
        <f>IF(OR($A34="",$K34=""),"",'09_PARAMETRI'!$B$9-$K34)</f>
        <v/>
      </c>
      <c r="M34" s="24">
        <f>IF($A34="","",SUMPRODUCT(('11_PRODUSE'!$A$5:$A$104&lt;&gt;"")*(SUMIFS('13_VANZARI'!$H$5:$H$1004,'13_VANZARI'!$D$5:$D$1004,$A34,'13_VANZARI'!$E$5:$E$1004,'11_PRODUSE'!$A$5:$A$104,'13_VANZARI'!$A$5:$A$1004,"&gt;="&amp;'09_PARAMETRI'!$B$5,'13_VANZARI'!$A$5:$A$1004,"&lt;="&amp;'09_PARAMETRI'!$B$6)&lt;&gt;0)))</f>
        <v/>
      </c>
      <c r="N34" s="50">
        <f>IF($A34="","",IFERROR(AVERAGEIFS('15_NPS'!$F$5:$F$504,'15_NPS'!$C$5:$C$504,$A34,'15_NPS'!$B$5:$B$504,"&gt;="&amp;'09_PARAMETRI'!$B$5,'15_NPS'!$B$5:$B$504,"&lt;="&amp;'09_PARAMETRI'!$B$6),""))</f>
        <v/>
      </c>
      <c r="O34" s="39">
        <f>IF($A34="","",IF(AND($F34&gt;0,$E34=0),"Client pierdut",IF(AND($L34&lt;&gt;"",$L34&gt;'09_PARAMETRI'!$B$16,$F34&gt;0),"Client dormant",IF(AND($G34&lt;&gt;"",$G34&lt;='09_PARAMETRI'!$B$13),"Scădere de venit",IF(AND($N34&lt;&gt;"",$N34&lt;7),"Detractor activ",IF(AND($E34&gt;0,$J34&gt;'09_PARAMETRI'!$B$19),"Risc concentrare",IF(AND($E34&gt;0,$I34&lt;&gt;"",$I34&lt;'09_PARAMETRI'!$B$15),"Marjă sub referință",IF(AND($G34&lt;&gt;"",$G34&gt;='09_PARAMETRI'!$B$14),"În creștere",IF($E34=0,"Fără activitate","Stabil")))))))))</f>
        <v/>
      </c>
      <c r="P34" s="39">
        <f>IF($A34="","",IF($O34="Risc concentrare","Risc concentrare",IF($O34="Client pierdut","Recuperare client",IF($O34="Client dormant","Reactivare client",IF($O34="Scădere de venit","Recuperare client",IF($O34="Detractor activ","Recuperare NPS",IF($O34="Marjă sub referință","Marjă / preț",IF($O34="În creștere","Up-sell",IF($O34="Fără activitate","Reactivare client","Cross-sell")))))))))</f>
        <v/>
      </c>
      <c r="Q34" s="24">
        <f>IF($A34="","",IFERROR(IF($O34="Scădere de venit",MAX(0,$F34-$E34),IF(OR($O34="Client pierdut",$O34="Client dormant",$O34="Fără activitate"),$F34,IF($O34="Marjă sub referință",MAX(0,$E34*('09_PARAMETRI'!$B$15-$I34)),$E34*0.15))),""))</f>
        <v/>
      </c>
      <c r="R34" s="48">
        <f>IF(OR($A34="",$E34="",N($E34)&lt;=0),"",$E34+ROW()/1000000)</f>
        <v/>
      </c>
    </row>
    <row r="35">
      <c r="A35" s="39">
        <f>IF('10_CLIENTI'!$A35="","",'10_CLIENTI'!$A35)</f>
        <v/>
      </c>
      <c r="B35" s="39">
        <f>IF($A35="","",IFERROR(INDEX('10_CLIENTI'!$B$5:$B$204,MATCH($A35,'10_CLIENTI'!$A$5:$A$204,0)),""))</f>
        <v/>
      </c>
      <c r="C35" s="39">
        <f>IF($A35="","",IFERROR(INDEX('10_CLIENTI'!$C$5:$C$204,MATCH($A35,'10_CLIENTI'!$A$5:$A$204,0)),""))</f>
        <v/>
      </c>
      <c r="D35" s="39">
        <f>IF($A35="","",IFERROR(INDEX('10_CLIENTI'!$G$5:$G$204,MATCH($A35,'10_CLIENTI'!$A$5:$A$204,0)),""))</f>
        <v/>
      </c>
      <c r="E35" s="24">
        <f>IF($A35="","",SUMIFS('13_VANZARI'!$H$5:$H$1004,'13_VANZARI'!$D$5:$D$1004,$A35,'13_VANZARI'!$A$5:$A$1004,"&gt;="&amp;'09_PARAMETRI'!$B$5,'13_VANZARI'!$A$5:$A$1004,"&lt;="&amp;'09_PARAMETRI'!$B$6))</f>
        <v/>
      </c>
      <c r="F35" s="24">
        <f>IF($A35="","",SUMIFS('13_VANZARI'!$H$5:$H$1004,'13_VANZARI'!$D$5:$D$1004,$A35,'13_VANZARI'!$A$5:$A$1004,"&gt;="&amp;'09_PARAMETRI'!$B$7,'13_VANZARI'!$A$5:$A$1004,"&lt;="&amp;'09_PARAMETRI'!$B$8))</f>
        <v/>
      </c>
      <c r="G35" s="25">
        <f>IF($A35="","",IFERROR(IF($F35=0,"",($E35-$F35)/ABS($F35)),""))</f>
        <v/>
      </c>
      <c r="H35" s="24">
        <f>IF($A35="","",SUMIFS('13_VANZARI'!$K$5:$K$1004,'13_VANZARI'!$D$5:$D$1004,$A35,'13_VANZARI'!$A$5:$A$1004,"&gt;="&amp;'09_PARAMETRI'!$B$5,'13_VANZARI'!$A$5:$A$1004,"&lt;="&amp;'09_PARAMETRI'!$B$6))</f>
        <v/>
      </c>
      <c r="I35" s="25">
        <f>IF($A35="","",IFERROR($H35/$E35,""))</f>
        <v/>
      </c>
      <c r="J35" s="25">
        <f>IF($A35="","",IFERROR($E35/SUMIFS('13_VANZARI'!$H$5:$H$1004,'13_VANZARI'!$A$5:$A$1004,"&gt;="&amp;'09_PARAMETRI'!$B$5,'13_VANZARI'!$A$5:$A$1004,"&lt;="&amp;'09_PARAMETRI'!$B$6),""))</f>
        <v/>
      </c>
      <c r="K35" s="36">
        <f>IF($A35="","",IFERROR(IF(SUMPRODUCT(MAX(('13_VANZARI'!$D$5:$D$1004=$A35)*('13_VANZARI'!$H$5:$H$1004&lt;&gt;"")*'13_VANZARI'!$A$5:$A$1004))=0,"",SUMPRODUCT(MAX(('13_VANZARI'!$D$5:$D$1004=$A35)*('13_VANZARI'!$H$5:$H$1004&lt;&gt;"")*'13_VANZARI'!$A$5:$A$1004))),""))</f>
        <v/>
      </c>
      <c r="L35" s="24">
        <f>IF(OR($A35="",$K35=""),"",'09_PARAMETRI'!$B$9-$K35)</f>
        <v/>
      </c>
      <c r="M35" s="24">
        <f>IF($A35="","",SUMPRODUCT(('11_PRODUSE'!$A$5:$A$104&lt;&gt;"")*(SUMIFS('13_VANZARI'!$H$5:$H$1004,'13_VANZARI'!$D$5:$D$1004,$A35,'13_VANZARI'!$E$5:$E$1004,'11_PRODUSE'!$A$5:$A$104,'13_VANZARI'!$A$5:$A$1004,"&gt;="&amp;'09_PARAMETRI'!$B$5,'13_VANZARI'!$A$5:$A$1004,"&lt;="&amp;'09_PARAMETRI'!$B$6)&lt;&gt;0)))</f>
        <v/>
      </c>
      <c r="N35" s="50">
        <f>IF($A35="","",IFERROR(AVERAGEIFS('15_NPS'!$F$5:$F$504,'15_NPS'!$C$5:$C$504,$A35,'15_NPS'!$B$5:$B$504,"&gt;="&amp;'09_PARAMETRI'!$B$5,'15_NPS'!$B$5:$B$504,"&lt;="&amp;'09_PARAMETRI'!$B$6),""))</f>
        <v/>
      </c>
      <c r="O35" s="39">
        <f>IF($A35="","",IF(AND($F35&gt;0,$E35=0),"Client pierdut",IF(AND($L35&lt;&gt;"",$L35&gt;'09_PARAMETRI'!$B$16,$F35&gt;0),"Client dormant",IF(AND($G35&lt;&gt;"",$G35&lt;='09_PARAMETRI'!$B$13),"Scădere de venit",IF(AND($N35&lt;&gt;"",$N35&lt;7),"Detractor activ",IF(AND($E35&gt;0,$J35&gt;'09_PARAMETRI'!$B$19),"Risc concentrare",IF(AND($E35&gt;0,$I35&lt;&gt;"",$I35&lt;'09_PARAMETRI'!$B$15),"Marjă sub referință",IF(AND($G35&lt;&gt;"",$G35&gt;='09_PARAMETRI'!$B$14),"În creștere",IF($E35=0,"Fără activitate","Stabil")))))))))</f>
        <v/>
      </c>
      <c r="P35" s="39">
        <f>IF($A35="","",IF($O35="Risc concentrare","Risc concentrare",IF($O35="Client pierdut","Recuperare client",IF($O35="Client dormant","Reactivare client",IF($O35="Scădere de venit","Recuperare client",IF($O35="Detractor activ","Recuperare NPS",IF($O35="Marjă sub referință","Marjă / preț",IF($O35="În creștere","Up-sell",IF($O35="Fără activitate","Reactivare client","Cross-sell")))))))))</f>
        <v/>
      </c>
      <c r="Q35" s="24">
        <f>IF($A35="","",IFERROR(IF($O35="Scădere de venit",MAX(0,$F35-$E35),IF(OR($O35="Client pierdut",$O35="Client dormant",$O35="Fără activitate"),$F35,IF($O35="Marjă sub referință",MAX(0,$E35*('09_PARAMETRI'!$B$15-$I35)),$E35*0.15))),""))</f>
        <v/>
      </c>
      <c r="R35" s="48">
        <f>IF(OR($A35="",$E35="",N($E35)&lt;=0),"",$E35+ROW()/1000000)</f>
        <v/>
      </c>
    </row>
    <row r="36">
      <c r="A36" s="39">
        <f>IF('10_CLIENTI'!$A36="","",'10_CLIENTI'!$A36)</f>
        <v/>
      </c>
      <c r="B36" s="39">
        <f>IF($A36="","",IFERROR(INDEX('10_CLIENTI'!$B$5:$B$204,MATCH($A36,'10_CLIENTI'!$A$5:$A$204,0)),""))</f>
        <v/>
      </c>
      <c r="C36" s="39">
        <f>IF($A36="","",IFERROR(INDEX('10_CLIENTI'!$C$5:$C$204,MATCH($A36,'10_CLIENTI'!$A$5:$A$204,0)),""))</f>
        <v/>
      </c>
      <c r="D36" s="39">
        <f>IF($A36="","",IFERROR(INDEX('10_CLIENTI'!$G$5:$G$204,MATCH($A36,'10_CLIENTI'!$A$5:$A$204,0)),""))</f>
        <v/>
      </c>
      <c r="E36" s="24">
        <f>IF($A36="","",SUMIFS('13_VANZARI'!$H$5:$H$1004,'13_VANZARI'!$D$5:$D$1004,$A36,'13_VANZARI'!$A$5:$A$1004,"&gt;="&amp;'09_PARAMETRI'!$B$5,'13_VANZARI'!$A$5:$A$1004,"&lt;="&amp;'09_PARAMETRI'!$B$6))</f>
        <v/>
      </c>
      <c r="F36" s="24">
        <f>IF($A36="","",SUMIFS('13_VANZARI'!$H$5:$H$1004,'13_VANZARI'!$D$5:$D$1004,$A36,'13_VANZARI'!$A$5:$A$1004,"&gt;="&amp;'09_PARAMETRI'!$B$7,'13_VANZARI'!$A$5:$A$1004,"&lt;="&amp;'09_PARAMETRI'!$B$8))</f>
        <v/>
      </c>
      <c r="G36" s="25">
        <f>IF($A36="","",IFERROR(IF($F36=0,"",($E36-$F36)/ABS($F36)),""))</f>
        <v/>
      </c>
      <c r="H36" s="24">
        <f>IF($A36="","",SUMIFS('13_VANZARI'!$K$5:$K$1004,'13_VANZARI'!$D$5:$D$1004,$A36,'13_VANZARI'!$A$5:$A$1004,"&gt;="&amp;'09_PARAMETRI'!$B$5,'13_VANZARI'!$A$5:$A$1004,"&lt;="&amp;'09_PARAMETRI'!$B$6))</f>
        <v/>
      </c>
      <c r="I36" s="25">
        <f>IF($A36="","",IFERROR($H36/$E36,""))</f>
        <v/>
      </c>
      <c r="J36" s="25">
        <f>IF($A36="","",IFERROR($E36/SUMIFS('13_VANZARI'!$H$5:$H$1004,'13_VANZARI'!$A$5:$A$1004,"&gt;="&amp;'09_PARAMETRI'!$B$5,'13_VANZARI'!$A$5:$A$1004,"&lt;="&amp;'09_PARAMETRI'!$B$6),""))</f>
        <v/>
      </c>
      <c r="K36" s="36">
        <f>IF($A36="","",IFERROR(IF(SUMPRODUCT(MAX(('13_VANZARI'!$D$5:$D$1004=$A36)*('13_VANZARI'!$H$5:$H$1004&lt;&gt;"")*'13_VANZARI'!$A$5:$A$1004))=0,"",SUMPRODUCT(MAX(('13_VANZARI'!$D$5:$D$1004=$A36)*('13_VANZARI'!$H$5:$H$1004&lt;&gt;"")*'13_VANZARI'!$A$5:$A$1004))),""))</f>
        <v/>
      </c>
      <c r="L36" s="24">
        <f>IF(OR($A36="",$K36=""),"",'09_PARAMETRI'!$B$9-$K36)</f>
        <v/>
      </c>
      <c r="M36" s="24">
        <f>IF($A36="","",SUMPRODUCT(('11_PRODUSE'!$A$5:$A$104&lt;&gt;"")*(SUMIFS('13_VANZARI'!$H$5:$H$1004,'13_VANZARI'!$D$5:$D$1004,$A36,'13_VANZARI'!$E$5:$E$1004,'11_PRODUSE'!$A$5:$A$104,'13_VANZARI'!$A$5:$A$1004,"&gt;="&amp;'09_PARAMETRI'!$B$5,'13_VANZARI'!$A$5:$A$1004,"&lt;="&amp;'09_PARAMETRI'!$B$6)&lt;&gt;0)))</f>
        <v/>
      </c>
      <c r="N36" s="50">
        <f>IF($A36="","",IFERROR(AVERAGEIFS('15_NPS'!$F$5:$F$504,'15_NPS'!$C$5:$C$504,$A36,'15_NPS'!$B$5:$B$504,"&gt;="&amp;'09_PARAMETRI'!$B$5,'15_NPS'!$B$5:$B$504,"&lt;="&amp;'09_PARAMETRI'!$B$6),""))</f>
        <v/>
      </c>
      <c r="O36" s="39">
        <f>IF($A36="","",IF(AND($F36&gt;0,$E36=0),"Client pierdut",IF(AND($L36&lt;&gt;"",$L36&gt;'09_PARAMETRI'!$B$16,$F36&gt;0),"Client dormant",IF(AND($G36&lt;&gt;"",$G36&lt;='09_PARAMETRI'!$B$13),"Scădere de venit",IF(AND($N36&lt;&gt;"",$N36&lt;7),"Detractor activ",IF(AND($E36&gt;0,$J36&gt;'09_PARAMETRI'!$B$19),"Risc concentrare",IF(AND($E36&gt;0,$I36&lt;&gt;"",$I36&lt;'09_PARAMETRI'!$B$15),"Marjă sub referință",IF(AND($G36&lt;&gt;"",$G36&gt;='09_PARAMETRI'!$B$14),"În creștere",IF($E36=0,"Fără activitate","Stabil")))))))))</f>
        <v/>
      </c>
      <c r="P36" s="39">
        <f>IF($A36="","",IF($O36="Risc concentrare","Risc concentrare",IF($O36="Client pierdut","Recuperare client",IF($O36="Client dormant","Reactivare client",IF($O36="Scădere de venit","Recuperare client",IF($O36="Detractor activ","Recuperare NPS",IF($O36="Marjă sub referință","Marjă / preț",IF($O36="În creștere","Up-sell",IF($O36="Fără activitate","Reactivare client","Cross-sell")))))))))</f>
        <v/>
      </c>
      <c r="Q36" s="24">
        <f>IF($A36="","",IFERROR(IF($O36="Scădere de venit",MAX(0,$F36-$E36),IF(OR($O36="Client pierdut",$O36="Client dormant",$O36="Fără activitate"),$F36,IF($O36="Marjă sub referință",MAX(0,$E36*('09_PARAMETRI'!$B$15-$I36)),$E36*0.15))),""))</f>
        <v/>
      </c>
      <c r="R36" s="48">
        <f>IF(OR($A36="",$E36="",N($E36)&lt;=0),"",$E36+ROW()/1000000)</f>
        <v/>
      </c>
    </row>
    <row r="37">
      <c r="A37" s="39">
        <f>IF('10_CLIENTI'!$A37="","",'10_CLIENTI'!$A37)</f>
        <v/>
      </c>
      <c r="B37" s="39">
        <f>IF($A37="","",IFERROR(INDEX('10_CLIENTI'!$B$5:$B$204,MATCH($A37,'10_CLIENTI'!$A$5:$A$204,0)),""))</f>
        <v/>
      </c>
      <c r="C37" s="39">
        <f>IF($A37="","",IFERROR(INDEX('10_CLIENTI'!$C$5:$C$204,MATCH($A37,'10_CLIENTI'!$A$5:$A$204,0)),""))</f>
        <v/>
      </c>
      <c r="D37" s="39">
        <f>IF($A37="","",IFERROR(INDEX('10_CLIENTI'!$G$5:$G$204,MATCH($A37,'10_CLIENTI'!$A$5:$A$204,0)),""))</f>
        <v/>
      </c>
      <c r="E37" s="24">
        <f>IF($A37="","",SUMIFS('13_VANZARI'!$H$5:$H$1004,'13_VANZARI'!$D$5:$D$1004,$A37,'13_VANZARI'!$A$5:$A$1004,"&gt;="&amp;'09_PARAMETRI'!$B$5,'13_VANZARI'!$A$5:$A$1004,"&lt;="&amp;'09_PARAMETRI'!$B$6))</f>
        <v/>
      </c>
      <c r="F37" s="24">
        <f>IF($A37="","",SUMIFS('13_VANZARI'!$H$5:$H$1004,'13_VANZARI'!$D$5:$D$1004,$A37,'13_VANZARI'!$A$5:$A$1004,"&gt;="&amp;'09_PARAMETRI'!$B$7,'13_VANZARI'!$A$5:$A$1004,"&lt;="&amp;'09_PARAMETRI'!$B$8))</f>
        <v/>
      </c>
      <c r="G37" s="25">
        <f>IF($A37="","",IFERROR(IF($F37=0,"",($E37-$F37)/ABS($F37)),""))</f>
        <v/>
      </c>
      <c r="H37" s="24">
        <f>IF($A37="","",SUMIFS('13_VANZARI'!$K$5:$K$1004,'13_VANZARI'!$D$5:$D$1004,$A37,'13_VANZARI'!$A$5:$A$1004,"&gt;="&amp;'09_PARAMETRI'!$B$5,'13_VANZARI'!$A$5:$A$1004,"&lt;="&amp;'09_PARAMETRI'!$B$6))</f>
        <v/>
      </c>
      <c r="I37" s="25">
        <f>IF($A37="","",IFERROR($H37/$E37,""))</f>
        <v/>
      </c>
      <c r="J37" s="25">
        <f>IF($A37="","",IFERROR($E37/SUMIFS('13_VANZARI'!$H$5:$H$1004,'13_VANZARI'!$A$5:$A$1004,"&gt;="&amp;'09_PARAMETRI'!$B$5,'13_VANZARI'!$A$5:$A$1004,"&lt;="&amp;'09_PARAMETRI'!$B$6),""))</f>
        <v/>
      </c>
      <c r="K37" s="36">
        <f>IF($A37="","",IFERROR(IF(SUMPRODUCT(MAX(('13_VANZARI'!$D$5:$D$1004=$A37)*('13_VANZARI'!$H$5:$H$1004&lt;&gt;"")*'13_VANZARI'!$A$5:$A$1004))=0,"",SUMPRODUCT(MAX(('13_VANZARI'!$D$5:$D$1004=$A37)*('13_VANZARI'!$H$5:$H$1004&lt;&gt;"")*'13_VANZARI'!$A$5:$A$1004))),""))</f>
        <v/>
      </c>
      <c r="L37" s="24">
        <f>IF(OR($A37="",$K37=""),"",'09_PARAMETRI'!$B$9-$K37)</f>
        <v/>
      </c>
      <c r="M37" s="24">
        <f>IF($A37="","",SUMPRODUCT(('11_PRODUSE'!$A$5:$A$104&lt;&gt;"")*(SUMIFS('13_VANZARI'!$H$5:$H$1004,'13_VANZARI'!$D$5:$D$1004,$A37,'13_VANZARI'!$E$5:$E$1004,'11_PRODUSE'!$A$5:$A$104,'13_VANZARI'!$A$5:$A$1004,"&gt;="&amp;'09_PARAMETRI'!$B$5,'13_VANZARI'!$A$5:$A$1004,"&lt;="&amp;'09_PARAMETRI'!$B$6)&lt;&gt;0)))</f>
        <v/>
      </c>
      <c r="N37" s="50">
        <f>IF($A37="","",IFERROR(AVERAGEIFS('15_NPS'!$F$5:$F$504,'15_NPS'!$C$5:$C$504,$A37,'15_NPS'!$B$5:$B$504,"&gt;="&amp;'09_PARAMETRI'!$B$5,'15_NPS'!$B$5:$B$504,"&lt;="&amp;'09_PARAMETRI'!$B$6),""))</f>
        <v/>
      </c>
      <c r="O37" s="39">
        <f>IF($A37="","",IF(AND($F37&gt;0,$E37=0),"Client pierdut",IF(AND($L37&lt;&gt;"",$L37&gt;'09_PARAMETRI'!$B$16,$F37&gt;0),"Client dormant",IF(AND($G37&lt;&gt;"",$G37&lt;='09_PARAMETRI'!$B$13),"Scădere de venit",IF(AND($N37&lt;&gt;"",$N37&lt;7),"Detractor activ",IF(AND($E37&gt;0,$J37&gt;'09_PARAMETRI'!$B$19),"Risc concentrare",IF(AND($E37&gt;0,$I37&lt;&gt;"",$I37&lt;'09_PARAMETRI'!$B$15),"Marjă sub referință",IF(AND($G37&lt;&gt;"",$G37&gt;='09_PARAMETRI'!$B$14),"În creștere",IF($E37=0,"Fără activitate","Stabil")))))))))</f>
        <v/>
      </c>
      <c r="P37" s="39">
        <f>IF($A37="","",IF($O37="Risc concentrare","Risc concentrare",IF($O37="Client pierdut","Recuperare client",IF($O37="Client dormant","Reactivare client",IF($O37="Scădere de venit","Recuperare client",IF($O37="Detractor activ","Recuperare NPS",IF($O37="Marjă sub referință","Marjă / preț",IF($O37="În creștere","Up-sell",IF($O37="Fără activitate","Reactivare client","Cross-sell")))))))))</f>
        <v/>
      </c>
      <c r="Q37" s="24">
        <f>IF($A37="","",IFERROR(IF($O37="Scădere de venit",MAX(0,$F37-$E37),IF(OR($O37="Client pierdut",$O37="Client dormant",$O37="Fără activitate"),$F37,IF($O37="Marjă sub referință",MAX(0,$E37*('09_PARAMETRI'!$B$15-$I37)),$E37*0.15))),""))</f>
        <v/>
      </c>
      <c r="R37" s="48">
        <f>IF(OR($A37="",$E37="",N($E37)&lt;=0),"",$E37+ROW()/1000000)</f>
        <v/>
      </c>
    </row>
    <row r="38">
      <c r="A38" s="39">
        <f>IF('10_CLIENTI'!$A38="","",'10_CLIENTI'!$A38)</f>
        <v/>
      </c>
      <c r="B38" s="39">
        <f>IF($A38="","",IFERROR(INDEX('10_CLIENTI'!$B$5:$B$204,MATCH($A38,'10_CLIENTI'!$A$5:$A$204,0)),""))</f>
        <v/>
      </c>
      <c r="C38" s="39">
        <f>IF($A38="","",IFERROR(INDEX('10_CLIENTI'!$C$5:$C$204,MATCH($A38,'10_CLIENTI'!$A$5:$A$204,0)),""))</f>
        <v/>
      </c>
      <c r="D38" s="39">
        <f>IF($A38="","",IFERROR(INDEX('10_CLIENTI'!$G$5:$G$204,MATCH($A38,'10_CLIENTI'!$A$5:$A$204,0)),""))</f>
        <v/>
      </c>
      <c r="E38" s="24">
        <f>IF($A38="","",SUMIFS('13_VANZARI'!$H$5:$H$1004,'13_VANZARI'!$D$5:$D$1004,$A38,'13_VANZARI'!$A$5:$A$1004,"&gt;="&amp;'09_PARAMETRI'!$B$5,'13_VANZARI'!$A$5:$A$1004,"&lt;="&amp;'09_PARAMETRI'!$B$6))</f>
        <v/>
      </c>
      <c r="F38" s="24">
        <f>IF($A38="","",SUMIFS('13_VANZARI'!$H$5:$H$1004,'13_VANZARI'!$D$5:$D$1004,$A38,'13_VANZARI'!$A$5:$A$1004,"&gt;="&amp;'09_PARAMETRI'!$B$7,'13_VANZARI'!$A$5:$A$1004,"&lt;="&amp;'09_PARAMETRI'!$B$8))</f>
        <v/>
      </c>
      <c r="G38" s="25">
        <f>IF($A38="","",IFERROR(IF($F38=0,"",($E38-$F38)/ABS($F38)),""))</f>
        <v/>
      </c>
      <c r="H38" s="24">
        <f>IF($A38="","",SUMIFS('13_VANZARI'!$K$5:$K$1004,'13_VANZARI'!$D$5:$D$1004,$A38,'13_VANZARI'!$A$5:$A$1004,"&gt;="&amp;'09_PARAMETRI'!$B$5,'13_VANZARI'!$A$5:$A$1004,"&lt;="&amp;'09_PARAMETRI'!$B$6))</f>
        <v/>
      </c>
      <c r="I38" s="25">
        <f>IF($A38="","",IFERROR($H38/$E38,""))</f>
        <v/>
      </c>
      <c r="J38" s="25">
        <f>IF($A38="","",IFERROR($E38/SUMIFS('13_VANZARI'!$H$5:$H$1004,'13_VANZARI'!$A$5:$A$1004,"&gt;="&amp;'09_PARAMETRI'!$B$5,'13_VANZARI'!$A$5:$A$1004,"&lt;="&amp;'09_PARAMETRI'!$B$6),""))</f>
        <v/>
      </c>
      <c r="K38" s="36">
        <f>IF($A38="","",IFERROR(IF(SUMPRODUCT(MAX(('13_VANZARI'!$D$5:$D$1004=$A38)*('13_VANZARI'!$H$5:$H$1004&lt;&gt;"")*'13_VANZARI'!$A$5:$A$1004))=0,"",SUMPRODUCT(MAX(('13_VANZARI'!$D$5:$D$1004=$A38)*('13_VANZARI'!$H$5:$H$1004&lt;&gt;"")*'13_VANZARI'!$A$5:$A$1004))),""))</f>
        <v/>
      </c>
      <c r="L38" s="24">
        <f>IF(OR($A38="",$K38=""),"",'09_PARAMETRI'!$B$9-$K38)</f>
        <v/>
      </c>
      <c r="M38" s="24">
        <f>IF($A38="","",SUMPRODUCT(('11_PRODUSE'!$A$5:$A$104&lt;&gt;"")*(SUMIFS('13_VANZARI'!$H$5:$H$1004,'13_VANZARI'!$D$5:$D$1004,$A38,'13_VANZARI'!$E$5:$E$1004,'11_PRODUSE'!$A$5:$A$104,'13_VANZARI'!$A$5:$A$1004,"&gt;="&amp;'09_PARAMETRI'!$B$5,'13_VANZARI'!$A$5:$A$1004,"&lt;="&amp;'09_PARAMETRI'!$B$6)&lt;&gt;0)))</f>
        <v/>
      </c>
      <c r="N38" s="50">
        <f>IF($A38="","",IFERROR(AVERAGEIFS('15_NPS'!$F$5:$F$504,'15_NPS'!$C$5:$C$504,$A38,'15_NPS'!$B$5:$B$504,"&gt;="&amp;'09_PARAMETRI'!$B$5,'15_NPS'!$B$5:$B$504,"&lt;="&amp;'09_PARAMETRI'!$B$6),""))</f>
        <v/>
      </c>
      <c r="O38" s="39">
        <f>IF($A38="","",IF(AND($F38&gt;0,$E38=0),"Client pierdut",IF(AND($L38&lt;&gt;"",$L38&gt;'09_PARAMETRI'!$B$16,$F38&gt;0),"Client dormant",IF(AND($G38&lt;&gt;"",$G38&lt;='09_PARAMETRI'!$B$13),"Scădere de venit",IF(AND($N38&lt;&gt;"",$N38&lt;7),"Detractor activ",IF(AND($E38&gt;0,$J38&gt;'09_PARAMETRI'!$B$19),"Risc concentrare",IF(AND($E38&gt;0,$I38&lt;&gt;"",$I38&lt;'09_PARAMETRI'!$B$15),"Marjă sub referință",IF(AND($G38&lt;&gt;"",$G38&gt;='09_PARAMETRI'!$B$14),"În creștere",IF($E38=0,"Fără activitate","Stabil")))))))))</f>
        <v/>
      </c>
      <c r="P38" s="39">
        <f>IF($A38="","",IF($O38="Risc concentrare","Risc concentrare",IF($O38="Client pierdut","Recuperare client",IF($O38="Client dormant","Reactivare client",IF($O38="Scădere de venit","Recuperare client",IF($O38="Detractor activ","Recuperare NPS",IF($O38="Marjă sub referință","Marjă / preț",IF($O38="În creștere","Up-sell",IF($O38="Fără activitate","Reactivare client","Cross-sell")))))))))</f>
        <v/>
      </c>
      <c r="Q38" s="24">
        <f>IF($A38="","",IFERROR(IF($O38="Scădere de venit",MAX(0,$F38-$E38),IF(OR($O38="Client pierdut",$O38="Client dormant",$O38="Fără activitate"),$F38,IF($O38="Marjă sub referință",MAX(0,$E38*('09_PARAMETRI'!$B$15-$I38)),$E38*0.15))),""))</f>
        <v/>
      </c>
      <c r="R38" s="48">
        <f>IF(OR($A38="",$E38="",N($E38)&lt;=0),"",$E38+ROW()/1000000)</f>
        <v/>
      </c>
    </row>
    <row r="39">
      <c r="A39" s="39">
        <f>IF('10_CLIENTI'!$A39="","",'10_CLIENTI'!$A39)</f>
        <v/>
      </c>
      <c r="B39" s="39">
        <f>IF($A39="","",IFERROR(INDEX('10_CLIENTI'!$B$5:$B$204,MATCH($A39,'10_CLIENTI'!$A$5:$A$204,0)),""))</f>
        <v/>
      </c>
      <c r="C39" s="39">
        <f>IF($A39="","",IFERROR(INDEX('10_CLIENTI'!$C$5:$C$204,MATCH($A39,'10_CLIENTI'!$A$5:$A$204,0)),""))</f>
        <v/>
      </c>
      <c r="D39" s="39">
        <f>IF($A39="","",IFERROR(INDEX('10_CLIENTI'!$G$5:$G$204,MATCH($A39,'10_CLIENTI'!$A$5:$A$204,0)),""))</f>
        <v/>
      </c>
      <c r="E39" s="24">
        <f>IF($A39="","",SUMIFS('13_VANZARI'!$H$5:$H$1004,'13_VANZARI'!$D$5:$D$1004,$A39,'13_VANZARI'!$A$5:$A$1004,"&gt;="&amp;'09_PARAMETRI'!$B$5,'13_VANZARI'!$A$5:$A$1004,"&lt;="&amp;'09_PARAMETRI'!$B$6))</f>
        <v/>
      </c>
      <c r="F39" s="24">
        <f>IF($A39="","",SUMIFS('13_VANZARI'!$H$5:$H$1004,'13_VANZARI'!$D$5:$D$1004,$A39,'13_VANZARI'!$A$5:$A$1004,"&gt;="&amp;'09_PARAMETRI'!$B$7,'13_VANZARI'!$A$5:$A$1004,"&lt;="&amp;'09_PARAMETRI'!$B$8))</f>
        <v/>
      </c>
      <c r="G39" s="25">
        <f>IF($A39="","",IFERROR(IF($F39=0,"",($E39-$F39)/ABS($F39)),""))</f>
        <v/>
      </c>
      <c r="H39" s="24">
        <f>IF($A39="","",SUMIFS('13_VANZARI'!$K$5:$K$1004,'13_VANZARI'!$D$5:$D$1004,$A39,'13_VANZARI'!$A$5:$A$1004,"&gt;="&amp;'09_PARAMETRI'!$B$5,'13_VANZARI'!$A$5:$A$1004,"&lt;="&amp;'09_PARAMETRI'!$B$6))</f>
        <v/>
      </c>
      <c r="I39" s="25">
        <f>IF($A39="","",IFERROR($H39/$E39,""))</f>
        <v/>
      </c>
      <c r="J39" s="25">
        <f>IF($A39="","",IFERROR($E39/SUMIFS('13_VANZARI'!$H$5:$H$1004,'13_VANZARI'!$A$5:$A$1004,"&gt;="&amp;'09_PARAMETRI'!$B$5,'13_VANZARI'!$A$5:$A$1004,"&lt;="&amp;'09_PARAMETRI'!$B$6),""))</f>
        <v/>
      </c>
      <c r="K39" s="36">
        <f>IF($A39="","",IFERROR(IF(SUMPRODUCT(MAX(('13_VANZARI'!$D$5:$D$1004=$A39)*('13_VANZARI'!$H$5:$H$1004&lt;&gt;"")*'13_VANZARI'!$A$5:$A$1004))=0,"",SUMPRODUCT(MAX(('13_VANZARI'!$D$5:$D$1004=$A39)*('13_VANZARI'!$H$5:$H$1004&lt;&gt;"")*'13_VANZARI'!$A$5:$A$1004))),""))</f>
        <v/>
      </c>
      <c r="L39" s="24">
        <f>IF(OR($A39="",$K39=""),"",'09_PARAMETRI'!$B$9-$K39)</f>
        <v/>
      </c>
      <c r="M39" s="24">
        <f>IF($A39="","",SUMPRODUCT(('11_PRODUSE'!$A$5:$A$104&lt;&gt;"")*(SUMIFS('13_VANZARI'!$H$5:$H$1004,'13_VANZARI'!$D$5:$D$1004,$A39,'13_VANZARI'!$E$5:$E$1004,'11_PRODUSE'!$A$5:$A$104,'13_VANZARI'!$A$5:$A$1004,"&gt;="&amp;'09_PARAMETRI'!$B$5,'13_VANZARI'!$A$5:$A$1004,"&lt;="&amp;'09_PARAMETRI'!$B$6)&lt;&gt;0)))</f>
        <v/>
      </c>
      <c r="N39" s="50">
        <f>IF($A39="","",IFERROR(AVERAGEIFS('15_NPS'!$F$5:$F$504,'15_NPS'!$C$5:$C$504,$A39,'15_NPS'!$B$5:$B$504,"&gt;="&amp;'09_PARAMETRI'!$B$5,'15_NPS'!$B$5:$B$504,"&lt;="&amp;'09_PARAMETRI'!$B$6),""))</f>
        <v/>
      </c>
      <c r="O39" s="39">
        <f>IF($A39="","",IF(AND($F39&gt;0,$E39=0),"Client pierdut",IF(AND($L39&lt;&gt;"",$L39&gt;'09_PARAMETRI'!$B$16,$F39&gt;0),"Client dormant",IF(AND($G39&lt;&gt;"",$G39&lt;='09_PARAMETRI'!$B$13),"Scădere de venit",IF(AND($N39&lt;&gt;"",$N39&lt;7),"Detractor activ",IF(AND($E39&gt;0,$J39&gt;'09_PARAMETRI'!$B$19),"Risc concentrare",IF(AND($E39&gt;0,$I39&lt;&gt;"",$I39&lt;'09_PARAMETRI'!$B$15),"Marjă sub referință",IF(AND($G39&lt;&gt;"",$G39&gt;='09_PARAMETRI'!$B$14),"În creștere",IF($E39=0,"Fără activitate","Stabil")))))))))</f>
        <v/>
      </c>
      <c r="P39" s="39">
        <f>IF($A39="","",IF($O39="Risc concentrare","Risc concentrare",IF($O39="Client pierdut","Recuperare client",IF($O39="Client dormant","Reactivare client",IF($O39="Scădere de venit","Recuperare client",IF($O39="Detractor activ","Recuperare NPS",IF($O39="Marjă sub referință","Marjă / preț",IF($O39="În creștere","Up-sell",IF($O39="Fără activitate","Reactivare client","Cross-sell")))))))))</f>
        <v/>
      </c>
      <c r="Q39" s="24">
        <f>IF($A39="","",IFERROR(IF($O39="Scădere de venit",MAX(0,$F39-$E39),IF(OR($O39="Client pierdut",$O39="Client dormant",$O39="Fără activitate"),$F39,IF($O39="Marjă sub referință",MAX(0,$E39*('09_PARAMETRI'!$B$15-$I39)),$E39*0.15))),""))</f>
        <v/>
      </c>
      <c r="R39" s="48">
        <f>IF(OR($A39="",$E39="",N($E39)&lt;=0),"",$E39+ROW()/1000000)</f>
        <v/>
      </c>
    </row>
    <row r="40">
      <c r="A40" s="39">
        <f>IF('10_CLIENTI'!$A40="","",'10_CLIENTI'!$A40)</f>
        <v/>
      </c>
      <c r="B40" s="39">
        <f>IF($A40="","",IFERROR(INDEX('10_CLIENTI'!$B$5:$B$204,MATCH($A40,'10_CLIENTI'!$A$5:$A$204,0)),""))</f>
        <v/>
      </c>
      <c r="C40" s="39">
        <f>IF($A40="","",IFERROR(INDEX('10_CLIENTI'!$C$5:$C$204,MATCH($A40,'10_CLIENTI'!$A$5:$A$204,0)),""))</f>
        <v/>
      </c>
      <c r="D40" s="39">
        <f>IF($A40="","",IFERROR(INDEX('10_CLIENTI'!$G$5:$G$204,MATCH($A40,'10_CLIENTI'!$A$5:$A$204,0)),""))</f>
        <v/>
      </c>
      <c r="E40" s="24">
        <f>IF($A40="","",SUMIFS('13_VANZARI'!$H$5:$H$1004,'13_VANZARI'!$D$5:$D$1004,$A40,'13_VANZARI'!$A$5:$A$1004,"&gt;="&amp;'09_PARAMETRI'!$B$5,'13_VANZARI'!$A$5:$A$1004,"&lt;="&amp;'09_PARAMETRI'!$B$6))</f>
        <v/>
      </c>
      <c r="F40" s="24">
        <f>IF($A40="","",SUMIFS('13_VANZARI'!$H$5:$H$1004,'13_VANZARI'!$D$5:$D$1004,$A40,'13_VANZARI'!$A$5:$A$1004,"&gt;="&amp;'09_PARAMETRI'!$B$7,'13_VANZARI'!$A$5:$A$1004,"&lt;="&amp;'09_PARAMETRI'!$B$8))</f>
        <v/>
      </c>
      <c r="G40" s="25">
        <f>IF($A40="","",IFERROR(IF($F40=0,"",($E40-$F40)/ABS($F40)),""))</f>
        <v/>
      </c>
      <c r="H40" s="24">
        <f>IF($A40="","",SUMIFS('13_VANZARI'!$K$5:$K$1004,'13_VANZARI'!$D$5:$D$1004,$A40,'13_VANZARI'!$A$5:$A$1004,"&gt;="&amp;'09_PARAMETRI'!$B$5,'13_VANZARI'!$A$5:$A$1004,"&lt;="&amp;'09_PARAMETRI'!$B$6))</f>
        <v/>
      </c>
      <c r="I40" s="25">
        <f>IF($A40="","",IFERROR($H40/$E40,""))</f>
        <v/>
      </c>
      <c r="J40" s="25">
        <f>IF($A40="","",IFERROR($E40/SUMIFS('13_VANZARI'!$H$5:$H$1004,'13_VANZARI'!$A$5:$A$1004,"&gt;="&amp;'09_PARAMETRI'!$B$5,'13_VANZARI'!$A$5:$A$1004,"&lt;="&amp;'09_PARAMETRI'!$B$6),""))</f>
        <v/>
      </c>
      <c r="K40" s="36">
        <f>IF($A40="","",IFERROR(IF(SUMPRODUCT(MAX(('13_VANZARI'!$D$5:$D$1004=$A40)*('13_VANZARI'!$H$5:$H$1004&lt;&gt;"")*'13_VANZARI'!$A$5:$A$1004))=0,"",SUMPRODUCT(MAX(('13_VANZARI'!$D$5:$D$1004=$A40)*('13_VANZARI'!$H$5:$H$1004&lt;&gt;"")*'13_VANZARI'!$A$5:$A$1004))),""))</f>
        <v/>
      </c>
      <c r="L40" s="24">
        <f>IF(OR($A40="",$K40=""),"",'09_PARAMETRI'!$B$9-$K40)</f>
        <v/>
      </c>
      <c r="M40" s="24">
        <f>IF($A40="","",SUMPRODUCT(('11_PRODUSE'!$A$5:$A$104&lt;&gt;"")*(SUMIFS('13_VANZARI'!$H$5:$H$1004,'13_VANZARI'!$D$5:$D$1004,$A40,'13_VANZARI'!$E$5:$E$1004,'11_PRODUSE'!$A$5:$A$104,'13_VANZARI'!$A$5:$A$1004,"&gt;="&amp;'09_PARAMETRI'!$B$5,'13_VANZARI'!$A$5:$A$1004,"&lt;="&amp;'09_PARAMETRI'!$B$6)&lt;&gt;0)))</f>
        <v/>
      </c>
      <c r="N40" s="50">
        <f>IF($A40="","",IFERROR(AVERAGEIFS('15_NPS'!$F$5:$F$504,'15_NPS'!$C$5:$C$504,$A40,'15_NPS'!$B$5:$B$504,"&gt;="&amp;'09_PARAMETRI'!$B$5,'15_NPS'!$B$5:$B$504,"&lt;="&amp;'09_PARAMETRI'!$B$6),""))</f>
        <v/>
      </c>
      <c r="O40" s="39">
        <f>IF($A40="","",IF(AND($F40&gt;0,$E40=0),"Client pierdut",IF(AND($L40&lt;&gt;"",$L40&gt;'09_PARAMETRI'!$B$16,$F40&gt;0),"Client dormant",IF(AND($G40&lt;&gt;"",$G40&lt;='09_PARAMETRI'!$B$13),"Scădere de venit",IF(AND($N40&lt;&gt;"",$N40&lt;7),"Detractor activ",IF(AND($E40&gt;0,$J40&gt;'09_PARAMETRI'!$B$19),"Risc concentrare",IF(AND($E40&gt;0,$I40&lt;&gt;"",$I40&lt;'09_PARAMETRI'!$B$15),"Marjă sub referință",IF(AND($G40&lt;&gt;"",$G40&gt;='09_PARAMETRI'!$B$14),"În creștere",IF($E40=0,"Fără activitate","Stabil")))))))))</f>
        <v/>
      </c>
      <c r="P40" s="39">
        <f>IF($A40="","",IF($O40="Risc concentrare","Risc concentrare",IF($O40="Client pierdut","Recuperare client",IF($O40="Client dormant","Reactivare client",IF($O40="Scădere de venit","Recuperare client",IF($O40="Detractor activ","Recuperare NPS",IF($O40="Marjă sub referință","Marjă / preț",IF($O40="În creștere","Up-sell",IF($O40="Fără activitate","Reactivare client","Cross-sell")))))))))</f>
        <v/>
      </c>
      <c r="Q40" s="24">
        <f>IF($A40="","",IFERROR(IF($O40="Scădere de venit",MAX(0,$F40-$E40),IF(OR($O40="Client pierdut",$O40="Client dormant",$O40="Fără activitate"),$F40,IF($O40="Marjă sub referință",MAX(0,$E40*('09_PARAMETRI'!$B$15-$I40)),$E40*0.15))),""))</f>
        <v/>
      </c>
      <c r="R40" s="48">
        <f>IF(OR($A40="",$E40="",N($E40)&lt;=0),"",$E40+ROW()/1000000)</f>
        <v/>
      </c>
    </row>
    <row r="41">
      <c r="A41" s="39">
        <f>IF('10_CLIENTI'!$A41="","",'10_CLIENTI'!$A41)</f>
        <v/>
      </c>
      <c r="B41" s="39">
        <f>IF($A41="","",IFERROR(INDEX('10_CLIENTI'!$B$5:$B$204,MATCH($A41,'10_CLIENTI'!$A$5:$A$204,0)),""))</f>
        <v/>
      </c>
      <c r="C41" s="39">
        <f>IF($A41="","",IFERROR(INDEX('10_CLIENTI'!$C$5:$C$204,MATCH($A41,'10_CLIENTI'!$A$5:$A$204,0)),""))</f>
        <v/>
      </c>
      <c r="D41" s="39">
        <f>IF($A41="","",IFERROR(INDEX('10_CLIENTI'!$G$5:$G$204,MATCH($A41,'10_CLIENTI'!$A$5:$A$204,0)),""))</f>
        <v/>
      </c>
      <c r="E41" s="24">
        <f>IF($A41="","",SUMIFS('13_VANZARI'!$H$5:$H$1004,'13_VANZARI'!$D$5:$D$1004,$A41,'13_VANZARI'!$A$5:$A$1004,"&gt;="&amp;'09_PARAMETRI'!$B$5,'13_VANZARI'!$A$5:$A$1004,"&lt;="&amp;'09_PARAMETRI'!$B$6))</f>
        <v/>
      </c>
      <c r="F41" s="24">
        <f>IF($A41="","",SUMIFS('13_VANZARI'!$H$5:$H$1004,'13_VANZARI'!$D$5:$D$1004,$A41,'13_VANZARI'!$A$5:$A$1004,"&gt;="&amp;'09_PARAMETRI'!$B$7,'13_VANZARI'!$A$5:$A$1004,"&lt;="&amp;'09_PARAMETRI'!$B$8))</f>
        <v/>
      </c>
      <c r="G41" s="25">
        <f>IF($A41="","",IFERROR(IF($F41=0,"",($E41-$F41)/ABS($F41)),""))</f>
        <v/>
      </c>
      <c r="H41" s="24">
        <f>IF($A41="","",SUMIFS('13_VANZARI'!$K$5:$K$1004,'13_VANZARI'!$D$5:$D$1004,$A41,'13_VANZARI'!$A$5:$A$1004,"&gt;="&amp;'09_PARAMETRI'!$B$5,'13_VANZARI'!$A$5:$A$1004,"&lt;="&amp;'09_PARAMETRI'!$B$6))</f>
        <v/>
      </c>
      <c r="I41" s="25">
        <f>IF($A41="","",IFERROR($H41/$E41,""))</f>
        <v/>
      </c>
      <c r="J41" s="25">
        <f>IF($A41="","",IFERROR($E41/SUMIFS('13_VANZARI'!$H$5:$H$1004,'13_VANZARI'!$A$5:$A$1004,"&gt;="&amp;'09_PARAMETRI'!$B$5,'13_VANZARI'!$A$5:$A$1004,"&lt;="&amp;'09_PARAMETRI'!$B$6),""))</f>
        <v/>
      </c>
      <c r="K41" s="36">
        <f>IF($A41="","",IFERROR(IF(SUMPRODUCT(MAX(('13_VANZARI'!$D$5:$D$1004=$A41)*('13_VANZARI'!$H$5:$H$1004&lt;&gt;"")*'13_VANZARI'!$A$5:$A$1004))=0,"",SUMPRODUCT(MAX(('13_VANZARI'!$D$5:$D$1004=$A41)*('13_VANZARI'!$H$5:$H$1004&lt;&gt;"")*'13_VANZARI'!$A$5:$A$1004))),""))</f>
        <v/>
      </c>
      <c r="L41" s="24">
        <f>IF(OR($A41="",$K41=""),"",'09_PARAMETRI'!$B$9-$K41)</f>
        <v/>
      </c>
      <c r="M41" s="24">
        <f>IF($A41="","",SUMPRODUCT(('11_PRODUSE'!$A$5:$A$104&lt;&gt;"")*(SUMIFS('13_VANZARI'!$H$5:$H$1004,'13_VANZARI'!$D$5:$D$1004,$A41,'13_VANZARI'!$E$5:$E$1004,'11_PRODUSE'!$A$5:$A$104,'13_VANZARI'!$A$5:$A$1004,"&gt;="&amp;'09_PARAMETRI'!$B$5,'13_VANZARI'!$A$5:$A$1004,"&lt;="&amp;'09_PARAMETRI'!$B$6)&lt;&gt;0)))</f>
        <v/>
      </c>
      <c r="N41" s="50">
        <f>IF($A41="","",IFERROR(AVERAGEIFS('15_NPS'!$F$5:$F$504,'15_NPS'!$C$5:$C$504,$A41,'15_NPS'!$B$5:$B$504,"&gt;="&amp;'09_PARAMETRI'!$B$5,'15_NPS'!$B$5:$B$504,"&lt;="&amp;'09_PARAMETRI'!$B$6),""))</f>
        <v/>
      </c>
      <c r="O41" s="39">
        <f>IF($A41="","",IF(AND($F41&gt;0,$E41=0),"Client pierdut",IF(AND($L41&lt;&gt;"",$L41&gt;'09_PARAMETRI'!$B$16,$F41&gt;0),"Client dormant",IF(AND($G41&lt;&gt;"",$G41&lt;='09_PARAMETRI'!$B$13),"Scădere de venit",IF(AND($N41&lt;&gt;"",$N41&lt;7),"Detractor activ",IF(AND($E41&gt;0,$J41&gt;'09_PARAMETRI'!$B$19),"Risc concentrare",IF(AND($E41&gt;0,$I41&lt;&gt;"",$I41&lt;'09_PARAMETRI'!$B$15),"Marjă sub referință",IF(AND($G41&lt;&gt;"",$G41&gt;='09_PARAMETRI'!$B$14),"În creștere",IF($E41=0,"Fără activitate","Stabil")))))))))</f>
        <v/>
      </c>
      <c r="P41" s="39">
        <f>IF($A41="","",IF($O41="Risc concentrare","Risc concentrare",IF($O41="Client pierdut","Recuperare client",IF($O41="Client dormant","Reactivare client",IF($O41="Scădere de venit","Recuperare client",IF($O41="Detractor activ","Recuperare NPS",IF($O41="Marjă sub referință","Marjă / preț",IF($O41="În creștere","Up-sell",IF($O41="Fără activitate","Reactivare client","Cross-sell")))))))))</f>
        <v/>
      </c>
      <c r="Q41" s="24">
        <f>IF($A41="","",IFERROR(IF($O41="Scădere de venit",MAX(0,$F41-$E41),IF(OR($O41="Client pierdut",$O41="Client dormant",$O41="Fără activitate"),$F41,IF($O41="Marjă sub referință",MAX(0,$E41*('09_PARAMETRI'!$B$15-$I41)),$E41*0.15))),""))</f>
        <v/>
      </c>
      <c r="R41" s="48">
        <f>IF(OR($A41="",$E41="",N($E41)&lt;=0),"",$E41+ROW()/1000000)</f>
        <v/>
      </c>
    </row>
    <row r="42">
      <c r="A42" s="39">
        <f>IF('10_CLIENTI'!$A42="","",'10_CLIENTI'!$A42)</f>
        <v/>
      </c>
      <c r="B42" s="39">
        <f>IF($A42="","",IFERROR(INDEX('10_CLIENTI'!$B$5:$B$204,MATCH($A42,'10_CLIENTI'!$A$5:$A$204,0)),""))</f>
        <v/>
      </c>
      <c r="C42" s="39">
        <f>IF($A42="","",IFERROR(INDEX('10_CLIENTI'!$C$5:$C$204,MATCH($A42,'10_CLIENTI'!$A$5:$A$204,0)),""))</f>
        <v/>
      </c>
      <c r="D42" s="39">
        <f>IF($A42="","",IFERROR(INDEX('10_CLIENTI'!$G$5:$G$204,MATCH($A42,'10_CLIENTI'!$A$5:$A$204,0)),""))</f>
        <v/>
      </c>
      <c r="E42" s="24">
        <f>IF($A42="","",SUMIFS('13_VANZARI'!$H$5:$H$1004,'13_VANZARI'!$D$5:$D$1004,$A42,'13_VANZARI'!$A$5:$A$1004,"&gt;="&amp;'09_PARAMETRI'!$B$5,'13_VANZARI'!$A$5:$A$1004,"&lt;="&amp;'09_PARAMETRI'!$B$6))</f>
        <v/>
      </c>
      <c r="F42" s="24">
        <f>IF($A42="","",SUMIFS('13_VANZARI'!$H$5:$H$1004,'13_VANZARI'!$D$5:$D$1004,$A42,'13_VANZARI'!$A$5:$A$1004,"&gt;="&amp;'09_PARAMETRI'!$B$7,'13_VANZARI'!$A$5:$A$1004,"&lt;="&amp;'09_PARAMETRI'!$B$8))</f>
        <v/>
      </c>
      <c r="G42" s="25">
        <f>IF($A42="","",IFERROR(IF($F42=0,"",($E42-$F42)/ABS($F42)),""))</f>
        <v/>
      </c>
      <c r="H42" s="24">
        <f>IF($A42="","",SUMIFS('13_VANZARI'!$K$5:$K$1004,'13_VANZARI'!$D$5:$D$1004,$A42,'13_VANZARI'!$A$5:$A$1004,"&gt;="&amp;'09_PARAMETRI'!$B$5,'13_VANZARI'!$A$5:$A$1004,"&lt;="&amp;'09_PARAMETRI'!$B$6))</f>
        <v/>
      </c>
      <c r="I42" s="25">
        <f>IF($A42="","",IFERROR($H42/$E42,""))</f>
        <v/>
      </c>
      <c r="J42" s="25">
        <f>IF($A42="","",IFERROR($E42/SUMIFS('13_VANZARI'!$H$5:$H$1004,'13_VANZARI'!$A$5:$A$1004,"&gt;="&amp;'09_PARAMETRI'!$B$5,'13_VANZARI'!$A$5:$A$1004,"&lt;="&amp;'09_PARAMETRI'!$B$6),""))</f>
        <v/>
      </c>
      <c r="K42" s="36">
        <f>IF($A42="","",IFERROR(IF(SUMPRODUCT(MAX(('13_VANZARI'!$D$5:$D$1004=$A42)*('13_VANZARI'!$H$5:$H$1004&lt;&gt;"")*'13_VANZARI'!$A$5:$A$1004))=0,"",SUMPRODUCT(MAX(('13_VANZARI'!$D$5:$D$1004=$A42)*('13_VANZARI'!$H$5:$H$1004&lt;&gt;"")*'13_VANZARI'!$A$5:$A$1004))),""))</f>
        <v/>
      </c>
      <c r="L42" s="24">
        <f>IF(OR($A42="",$K42=""),"",'09_PARAMETRI'!$B$9-$K42)</f>
        <v/>
      </c>
      <c r="M42" s="24">
        <f>IF($A42="","",SUMPRODUCT(('11_PRODUSE'!$A$5:$A$104&lt;&gt;"")*(SUMIFS('13_VANZARI'!$H$5:$H$1004,'13_VANZARI'!$D$5:$D$1004,$A42,'13_VANZARI'!$E$5:$E$1004,'11_PRODUSE'!$A$5:$A$104,'13_VANZARI'!$A$5:$A$1004,"&gt;="&amp;'09_PARAMETRI'!$B$5,'13_VANZARI'!$A$5:$A$1004,"&lt;="&amp;'09_PARAMETRI'!$B$6)&lt;&gt;0)))</f>
        <v/>
      </c>
      <c r="N42" s="50">
        <f>IF($A42="","",IFERROR(AVERAGEIFS('15_NPS'!$F$5:$F$504,'15_NPS'!$C$5:$C$504,$A42,'15_NPS'!$B$5:$B$504,"&gt;="&amp;'09_PARAMETRI'!$B$5,'15_NPS'!$B$5:$B$504,"&lt;="&amp;'09_PARAMETRI'!$B$6),""))</f>
        <v/>
      </c>
      <c r="O42" s="39">
        <f>IF($A42="","",IF(AND($F42&gt;0,$E42=0),"Client pierdut",IF(AND($L42&lt;&gt;"",$L42&gt;'09_PARAMETRI'!$B$16,$F42&gt;0),"Client dormant",IF(AND($G42&lt;&gt;"",$G42&lt;='09_PARAMETRI'!$B$13),"Scădere de venit",IF(AND($N42&lt;&gt;"",$N42&lt;7),"Detractor activ",IF(AND($E42&gt;0,$J42&gt;'09_PARAMETRI'!$B$19),"Risc concentrare",IF(AND($E42&gt;0,$I42&lt;&gt;"",$I42&lt;'09_PARAMETRI'!$B$15),"Marjă sub referință",IF(AND($G42&lt;&gt;"",$G42&gt;='09_PARAMETRI'!$B$14),"În creștere",IF($E42=0,"Fără activitate","Stabil")))))))))</f>
        <v/>
      </c>
      <c r="P42" s="39">
        <f>IF($A42="","",IF($O42="Risc concentrare","Risc concentrare",IF($O42="Client pierdut","Recuperare client",IF($O42="Client dormant","Reactivare client",IF($O42="Scădere de venit","Recuperare client",IF($O42="Detractor activ","Recuperare NPS",IF($O42="Marjă sub referință","Marjă / preț",IF($O42="În creștere","Up-sell",IF($O42="Fără activitate","Reactivare client","Cross-sell")))))))))</f>
        <v/>
      </c>
      <c r="Q42" s="24">
        <f>IF($A42="","",IFERROR(IF($O42="Scădere de venit",MAX(0,$F42-$E42),IF(OR($O42="Client pierdut",$O42="Client dormant",$O42="Fără activitate"),$F42,IF($O42="Marjă sub referință",MAX(0,$E42*('09_PARAMETRI'!$B$15-$I42)),$E42*0.15))),""))</f>
        <v/>
      </c>
      <c r="R42" s="48">
        <f>IF(OR($A42="",$E42="",N($E42)&lt;=0),"",$E42+ROW()/1000000)</f>
        <v/>
      </c>
    </row>
    <row r="43">
      <c r="A43" s="39">
        <f>IF('10_CLIENTI'!$A43="","",'10_CLIENTI'!$A43)</f>
        <v/>
      </c>
      <c r="B43" s="39">
        <f>IF($A43="","",IFERROR(INDEX('10_CLIENTI'!$B$5:$B$204,MATCH($A43,'10_CLIENTI'!$A$5:$A$204,0)),""))</f>
        <v/>
      </c>
      <c r="C43" s="39">
        <f>IF($A43="","",IFERROR(INDEX('10_CLIENTI'!$C$5:$C$204,MATCH($A43,'10_CLIENTI'!$A$5:$A$204,0)),""))</f>
        <v/>
      </c>
      <c r="D43" s="39">
        <f>IF($A43="","",IFERROR(INDEX('10_CLIENTI'!$G$5:$G$204,MATCH($A43,'10_CLIENTI'!$A$5:$A$204,0)),""))</f>
        <v/>
      </c>
      <c r="E43" s="24">
        <f>IF($A43="","",SUMIFS('13_VANZARI'!$H$5:$H$1004,'13_VANZARI'!$D$5:$D$1004,$A43,'13_VANZARI'!$A$5:$A$1004,"&gt;="&amp;'09_PARAMETRI'!$B$5,'13_VANZARI'!$A$5:$A$1004,"&lt;="&amp;'09_PARAMETRI'!$B$6))</f>
        <v/>
      </c>
      <c r="F43" s="24">
        <f>IF($A43="","",SUMIFS('13_VANZARI'!$H$5:$H$1004,'13_VANZARI'!$D$5:$D$1004,$A43,'13_VANZARI'!$A$5:$A$1004,"&gt;="&amp;'09_PARAMETRI'!$B$7,'13_VANZARI'!$A$5:$A$1004,"&lt;="&amp;'09_PARAMETRI'!$B$8))</f>
        <v/>
      </c>
      <c r="G43" s="25">
        <f>IF($A43="","",IFERROR(IF($F43=0,"",($E43-$F43)/ABS($F43)),""))</f>
        <v/>
      </c>
      <c r="H43" s="24">
        <f>IF($A43="","",SUMIFS('13_VANZARI'!$K$5:$K$1004,'13_VANZARI'!$D$5:$D$1004,$A43,'13_VANZARI'!$A$5:$A$1004,"&gt;="&amp;'09_PARAMETRI'!$B$5,'13_VANZARI'!$A$5:$A$1004,"&lt;="&amp;'09_PARAMETRI'!$B$6))</f>
        <v/>
      </c>
      <c r="I43" s="25">
        <f>IF($A43="","",IFERROR($H43/$E43,""))</f>
        <v/>
      </c>
      <c r="J43" s="25">
        <f>IF($A43="","",IFERROR($E43/SUMIFS('13_VANZARI'!$H$5:$H$1004,'13_VANZARI'!$A$5:$A$1004,"&gt;="&amp;'09_PARAMETRI'!$B$5,'13_VANZARI'!$A$5:$A$1004,"&lt;="&amp;'09_PARAMETRI'!$B$6),""))</f>
        <v/>
      </c>
      <c r="K43" s="36">
        <f>IF($A43="","",IFERROR(IF(SUMPRODUCT(MAX(('13_VANZARI'!$D$5:$D$1004=$A43)*('13_VANZARI'!$H$5:$H$1004&lt;&gt;"")*'13_VANZARI'!$A$5:$A$1004))=0,"",SUMPRODUCT(MAX(('13_VANZARI'!$D$5:$D$1004=$A43)*('13_VANZARI'!$H$5:$H$1004&lt;&gt;"")*'13_VANZARI'!$A$5:$A$1004))),""))</f>
        <v/>
      </c>
      <c r="L43" s="24">
        <f>IF(OR($A43="",$K43=""),"",'09_PARAMETRI'!$B$9-$K43)</f>
        <v/>
      </c>
      <c r="M43" s="24">
        <f>IF($A43="","",SUMPRODUCT(('11_PRODUSE'!$A$5:$A$104&lt;&gt;"")*(SUMIFS('13_VANZARI'!$H$5:$H$1004,'13_VANZARI'!$D$5:$D$1004,$A43,'13_VANZARI'!$E$5:$E$1004,'11_PRODUSE'!$A$5:$A$104,'13_VANZARI'!$A$5:$A$1004,"&gt;="&amp;'09_PARAMETRI'!$B$5,'13_VANZARI'!$A$5:$A$1004,"&lt;="&amp;'09_PARAMETRI'!$B$6)&lt;&gt;0)))</f>
        <v/>
      </c>
      <c r="N43" s="50">
        <f>IF($A43="","",IFERROR(AVERAGEIFS('15_NPS'!$F$5:$F$504,'15_NPS'!$C$5:$C$504,$A43,'15_NPS'!$B$5:$B$504,"&gt;="&amp;'09_PARAMETRI'!$B$5,'15_NPS'!$B$5:$B$504,"&lt;="&amp;'09_PARAMETRI'!$B$6),""))</f>
        <v/>
      </c>
      <c r="O43" s="39">
        <f>IF($A43="","",IF(AND($F43&gt;0,$E43=0),"Client pierdut",IF(AND($L43&lt;&gt;"",$L43&gt;'09_PARAMETRI'!$B$16,$F43&gt;0),"Client dormant",IF(AND($G43&lt;&gt;"",$G43&lt;='09_PARAMETRI'!$B$13),"Scădere de venit",IF(AND($N43&lt;&gt;"",$N43&lt;7),"Detractor activ",IF(AND($E43&gt;0,$J43&gt;'09_PARAMETRI'!$B$19),"Risc concentrare",IF(AND($E43&gt;0,$I43&lt;&gt;"",$I43&lt;'09_PARAMETRI'!$B$15),"Marjă sub referință",IF(AND($G43&lt;&gt;"",$G43&gt;='09_PARAMETRI'!$B$14),"În creștere",IF($E43=0,"Fără activitate","Stabil")))))))))</f>
        <v/>
      </c>
      <c r="P43" s="39">
        <f>IF($A43="","",IF($O43="Risc concentrare","Risc concentrare",IF($O43="Client pierdut","Recuperare client",IF($O43="Client dormant","Reactivare client",IF($O43="Scădere de venit","Recuperare client",IF($O43="Detractor activ","Recuperare NPS",IF($O43="Marjă sub referință","Marjă / preț",IF($O43="În creștere","Up-sell",IF($O43="Fără activitate","Reactivare client","Cross-sell")))))))))</f>
        <v/>
      </c>
      <c r="Q43" s="24">
        <f>IF($A43="","",IFERROR(IF($O43="Scădere de venit",MAX(0,$F43-$E43),IF(OR($O43="Client pierdut",$O43="Client dormant",$O43="Fără activitate"),$F43,IF($O43="Marjă sub referință",MAX(0,$E43*('09_PARAMETRI'!$B$15-$I43)),$E43*0.15))),""))</f>
        <v/>
      </c>
      <c r="R43" s="48">
        <f>IF(OR($A43="",$E43="",N($E43)&lt;=0),"",$E43+ROW()/1000000)</f>
        <v/>
      </c>
    </row>
    <row r="44">
      <c r="A44" s="39">
        <f>IF('10_CLIENTI'!$A44="","",'10_CLIENTI'!$A44)</f>
        <v/>
      </c>
      <c r="B44" s="39">
        <f>IF($A44="","",IFERROR(INDEX('10_CLIENTI'!$B$5:$B$204,MATCH($A44,'10_CLIENTI'!$A$5:$A$204,0)),""))</f>
        <v/>
      </c>
      <c r="C44" s="39">
        <f>IF($A44="","",IFERROR(INDEX('10_CLIENTI'!$C$5:$C$204,MATCH($A44,'10_CLIENTI'!$A$5:$A$204,0)),""))</f>
        <v/>
      </c>
      <c r="D44" s="39">
        <f>IF($A44="","",IFERROR(INDEX('10_CLIENTI'!$G$5:$G$204,MATCH($A44,'10_CLIENTI'!$A$5:$A$204,0)),""))</f>
        <v/>
      </c>
      <c r="E44" s="24">
        <f>IF($A44="","",SUMIFS('13_VANZARI'!$H$5:$H$1004,'13_VANZARI'!$D$5:$D$1004,$A44,'13_VANZARI'!$A$5:$A$1004,"&gt;="&amp;'09_PARAMETRI'!$B$5,'13_VANZARI'!$A$5:$A$1004,"&lt;="&amp;'09_PARAMETRI'!$B$6))</f>
        <v/>
      </c>
      <c r="F44" s="24">
        <f>IF($A44="","",SUMIFS('13_VANZARI'!$H$5:$H$1004,'13_VANZARI'!$D$5:$D$1004,$A44,'13_VANZARI'!$A$5:$A$1004,"&gt;="&amp;'09_PARAMETRI'!$B$7,'13_VANZARI'!$A$5:$A$1004,"&lt;="&amp;'09_PARAMETRI'!$B$8))</f>
        <v/>
      </c>
      <c r="G44" s="25">
        <f>IF($A44="","",IFERROR(IF($F44=0,"",($E44-$F44)/ABS($F44)),""))</f>
        <v/>
      </c>
      <c r="H44" s="24">
        <f>IF($A44="","",SUMIFS('13_VANZARI'!$K$5:$K$1004,'13_VANZARI'!$D$5:$D$1004,$A44,'13_VANZARI'!$A$5:$A$1004,"&gt;="&amp;'09_PARAMETRI'!$B$5,'13_VANZARI'!$A$5:$A$1004,"&lt;="&amp;'09_PARAMETRI'!$B$6))</f>
        <v/>
      </c>
      <c r="I44" s="25">
        <f>IF($A44="","",IFERROR($H44/$E44,""))</f>
        <v/>
      </c>
      <c r="J44" s="25">
        <f>IF($A44="","",IFERROR($E44/SUMIFS('13_VANZARI'!$H$5:$H$1004,'13_VANZARI'!$A$5:$A$1004,"&gt;="&amp;'09_PARAMETRI'!$B$5,'13_VANZARI'!$A$5:$A$1004,"&lt;="&amp;'09_PARAMETRI'!$B$6),""))</f>
        <v/>
      </c>
      <c r="K44" s="36">
        <f>IF($A44="","",IFERROR(IF(SUMPRODUCT(MAX(('13_VANZARI'!$D$5:$D$1004=$A44)*('13_VANZARI'!$H$5:$H$1004&lt;&gt;"")*'13_VANZARI'!$A$5:$A$1004))=0,"",SUMPRODUCT(MAX(('13_VANZARI'!$D$5:$D$1004=$A44)*('13_VANZARI'!$H$5:$H$1004&lt;&gt;"")*'13_VANZARI'!$A$5:$A$1004))),""))</f>
        <v/>
      </c>
      <c r="L44" s="24">
        <f>IF(OR($A44="",$K44=""),"",'09_PARAMETRI'!$B$9-$K44)</f>
        <v/>
      </c>
      <c r="M44" s="24">
        <f>IF($A44="","",SUMPRODUCT(('11_PRODUSE'!$A$5:$A$104&lt;&gt;"")*(SUMIFS('13_VANZARI'!$H$5:$H$1004,'13_VANZARI'!$D$5:$D$1004,$A44,'13_VANZARI'!$E$5:$E$1004,'11_PRODUSE'!$A$5:$A$104,'13_VANZARI'!$A$5:$A$1004,"&gt;="&amp;'09_PARAMETRI'!$B$5,'13_VANZARI'!$A$5:$A$1004,"&lt;="&amp;'09_PARAMETRI'!$B$6)&lt;&gt;0)))</f>
        <v/>
      </c>
      <c r="N44" s="50">
        <f>IF($A44="","",IFERROR(AVERAGEIFS('15_NPS'!$F$5:$F$504,'15_NPS'!$C$5:$C$504,$A44,'15_NPS'!$B$5:$B$504,"&gt;="&amp;'09_PARAMETRI'!$B$5,'15_NPS'!$B$5:$B$504,"&lt;="&amp;'09_PARAMETRI'!$B$6),""))</f>
        <v/>
      </c>
      <c r="O44" s="39">
        <f>IF($A44="","",IF(AND($F44&gt;0,$E44=0),"Client pierdut",IF(AND($L44&lt;&gt;"",$L44&gt;'09_PARAMETRI'!$B$16,$F44&gt;0),"Client dormant",IF(AND($G44&lt;&gt;"",$G44&lt;='09_PARAMETRI'!$B$13),"Scădere de venit",IF(AND($N44&lt;&gt;"",$N44&lt;7),"Detractor activ",IF(AND($E44&gt;0,$J44&gt;'09_PARAMETRI'!$B$19),"Risc concentrare",IF(AND($E44&gt;0,$I44&lt;&gt;"",$I44&lt;'09_PARAMETRI'!$B$15),"Marjă sub referință",IF(AND($G44&lt;&gt;"",$G44&gt;='09_PARAMETRI'!$B$14),"În creștere",IF($E44=0,"Fără activitate","Stabil")))))))))</f>
        <v/>
      </c>
      <c r="P44" s="39">
        <f>IF($A44="","",IF($O44="Risc concentrare","Risc concentrare",IF($O44="Client pierdut","Recuperare client",IF($O44="Client dormant","Reactivare client",IF($O44="Scădere de venit","Recuperare client",IF($O44="Detractor activ","Recuperare NPS",IF($O44="Marjă sub referință","Marjă / preț",IF($O44="În creștere","Up-sell",IF($O44="Fără activitate","Reactivare client","Cross-sell")))))))))</f>
        <v/>
      </c>
      <c r="Q44" s="24">
        <f>IF($A44="","",IFERROR(IF($O44="Scădere de venit",MAX(0,$F44-$E44),IF(OR($O44="Client pierdut",$O44="Client dormant",$O44="Fără activitate"),$F44,IF($O44="Marjă sub referință",MAX(0,$E44*('09_PARAMETRI'!$B$15-$I44)),$E44*0.15))),""))</f>
        <v/>
      </c>
      <c r="R44" s="48">
        <f>IF(OR($A44="",$E44="",N($E44)&lt;=0),"",$E44+ROW()/1000000)</f>
        <v/>
      </c>
    </row>
    <row r="45">
      <c r="A45" s="39">
        <f>IF('10_CLIENTI'!$A45="","",'10_CLIENTI'!$A45)</f>
        <v/>
      </c>
      <c r="B45" s="39">
        <f>IF($A45="","",IFERROR(INDEX('10_CLIENTI'!$B$5:$B$204,MATCH($A45,'10_CLIENTI'!$A$5:$A$204,0)),""))</f>
        <v/>
      </c>
      <c r="C45" s="39">
        <f>IF($A45="","",IFERROR(INDEX('10_CLIENTI'!$C$5:$C$204,MATCH($A45,'10_CLIENTI'!$A$5:$A$204,0)),""))</f>
        <v/>
      </c>
      <c r="D45" s="39">
        <f>IF($A45="","",IFERROR(INDEX('10_CLIENTI'!$G$5:$G$204,MATCH($A45,'10_CLIENTI'!$A$5:$A$204,0)),""))</f>
        <v/>
      </c>
      <c r="E45" s="24">
        <f>IF($A45="","",SUMIFS('13_VANZARI'!$H$5:$H$1004,'13_VANZARI'!$D$5:$D$1004,$A45,'13_VANZARI'!$A$5:$A$1004,"&gt;="&amp;'09_PARAMETRI'!$B$5,'13_VANZARI'!$A$5:$A$1004,"&lt;="&amp;'09_PARAMETRI'!$B$6))</f>
        <v/>
      </c>
      <c r="F45" s="24">
        <f>IF($A45="","",SUMIFS('13_VANZARI'!$H$5:$H$1004,'13_VANZARI'!$D$5:$D$1004,$A45,'13_VANZARI'!$A$5:$A$1004,"&gt;="&amp;'09_PARAMETRI'!$B$7,'13_VANZARI'!$A$5:$A$1004,"&lt;="&amp;'09_PARAMETRI'!$B$8))</f>
        <v/>
      </c>
      <c r="G45" s="25">
        <f>IF($A45="","",IFERROR(IF($F45=0,"",($E45-$F45)/ABS($F45)),""))</f>
        <v/>
      </c>
      <c r="H45" s="24">
        <f>IF($A45="","",SUMIFS('13_VANZARI'!$K$5:$K$1004,'13_VANZARI'!$D$5:$D$1004,$A45,'13_VANZARI'!$A$5:$A$1004,"&gt;="&amp;'09_PARAMETRI'!$B$5,'13_VANZARI'!$A$5:$A$1004,"&lt;="&amp;'09_PARAMETRI'!$B$6))</f>
        <v/>
      </c>
      <c r="I45" s="25">
        <f>IF($A45="","",IFERROR($H45/$E45,""))</f>
        <v/>
      </c>
      <c r="J45" s="25">
        <f>IF($A45="","",IFERROR($E45/SUMIFS('13_VANZARI'!$H$5:$H$1004,'13_VANZARI'!$A$5:$A$1004,"&gt;="&amp;'09_PARAMETRI'!$B$5,'13_VANZARI'!$A$5:$A$1004,"&lt;="&amp;'09_PARAMETRI'!$B$6),""))</f>
        <v/>
      </c>
      <c r="K45" s="36">
        <f>IF($A45="","",IFERROR(IF(SUMPRODUCT(MAX(('13_VANZARI'!$D$5:$D$1004=$A45)*('13_VANZARI'!$H$5:$H$1004&lt;&gt;"")*'13_VANZARI'!$A$5:$A$1004))=0,"",SUMPRODUCT(MAX(('13_VANZARI'!$D$5:$D$1004=$A45)*('13_VANZARI'!$H$5:$H$1004&lt;&gt;"")*'13_VANZARI'!$A$5:$A$1004))),""))</f>
        <v/>
      </c>
      <c r="L45" s="24">
        <f>IF(OR($A45="",$K45=""),"",'09_PARAMETRI'!$B$9-$K45)</f>
        <v/>
      </c>
      <c r="M45" s="24">
        <f>IF($A45="","",SUMPRODUCT(('11_PRODUSE'!$A$5:$A$104&lt;&gt;"")*(SUMIFS('13_VANZARI'!$H$5:$H$1004,'13_VANZARI'!$D$5:$D$1004,$A45,'13_VANZARI'!$E$5:$E$1004,'11_PRODUSE'!$A$5:$A$104,'13_VANZARI'!$A$5:$A$1004,"&gt;="&amp;'09_PARAMETRI'!$B$5,'13_VANZARI'!$A$5:$A$1004,"&lt;="&amp;'09_PARAMETRI'!$B$6)&lt;&gt;0)))</f>
        <v/>
      </c>
      <c r="N45" s="50">
        <f>IF($A45="","",IFERROR(AVERAGEIFS('15_NPS'!$F$5:$F$504,'15_NPS'!$C$5:$C$504,$A45,'15_NPS'!$B$5:$B$504,"&gt;="&amp;'09_PARAMETRI'!$B$5,'15_NPS'!$B$5:$B$504,"&lt;="&amp;'09_PARAMETRI'!$B$6),""))</f>
        <v/>
      </c>
      <c r="O45" s="39">
        <f>IF($A45="","",IF(AND($F45&gt;0,$E45=0),"Client pierdut",IF(AND($L45&lt;&gt;"",$L45&gt;'09_PARAMETRI'!$B$16,$F45&gt;0),"Client dormant",IF(AND($G45&lt;&gt;"",$G45&lt;='09_PARAMETRI'!$B$13),"Scădere de venit",IF(AND($N45&lt;&gt;"",$N45&lt;7),"Detractor activ",IF(AND($E45&gt;0,$J45&gt;'09_PARAMETRI'!$B$19),"Risc concentrare",IF(AND($E45&gt;0,$I45&lt;&gt;"",$I45&lt;'09_PARAMETRI'!$B$15),"Marjă sub referință",IF(AND($G45&lt;&gt;"",$G45&gt;='09_PARAMETRI'!$B$14),"În creștere",IF($E45=0,"Fără activitate","Stabil")))))))))</f>
        <v/>
      </c>
      <c r="P45" s="39">
        <f>IF($A45="","",IF($O45="Risc concentrare","Risc concentrare",IF($O45="Client pierdut","Recuperare client",IF($O45="Client dormant","Reactivare client",IF($O45="Scădere de venit","Recuperare client",IF($O45="Detractor activ","Recuperare NPS",IF($O45="Marjă sub referință","Marjă / preț",IF($O45="În creștere","Up-sell",IF($O45="Fără activitate","Reactivare client","Cross-sell")))))))))</f>
        <v/>
      </c>
      <c r="Q45" s="24">
        <f>IF($A45="","",IFERROR(IF($O45="Scădere de venit",MAX(0,$F45-$E45),IF(OR($O45="Client pierdut",$O45="Client dormant",$O45="Fără activitate"),$F45,IF($O45="Marjă sub referință",MAX(0,$E45*('09_PARAMETRI'!$B$15-$I45)),$E45*0.15))),""))</f>
        <v/>
      </c>
      <c r="R45" s="48">
        <f>IF(OR($A45="",$E45="",N($E45)&lt;=0),"",$E45+ROW()/1000000)</f>
        <v/>
      </c>
    </row>
    <row r="46">
      <c r="A46" s="39">
        <f>IF('10_CLIENTI'!$A46="","",'10_CLIENTI'!$A46)</f>
        <v/>
      </c>
      <c r="B46" s="39">
        <f>IF($A46="","",IFERROR(INDEX('10_CLIENTI'!$B$5:$B$204,MATCH($A46,'10_CLIENTI'!$A$5:$A$204,0)),""))</f>
        <v/>
      </c>
      <c r="C46" s="39">
        <f>IF($A46="","",IFERROR(INDEX('10_CLIENTI'!$C$5:$C$204,MATCH($A46,'10_CLIENTI'!$A$5:$A$204,0)),""))</f>
        <v/>
      </c>
      <c r="D46" s="39">
        <f>IF($A46="","",IFERROR(INDEX('10_CLIENTI'!$G$5:$G$204,MATCH($A46,'10_CLIENTI'!$A$5:$A$204,0)),""))</f>
        <v/>
      </c>
      <c r="E46" s="24">
        <f>IF($A46="","",SUMIFS('13_VANZARI'!$H$5:$H$1004,'13_VANZARI'!$D$5:$D$1004,$A46,'13_VANZARI'!$A$5:$A$1004,"&gt;="&amp;'09_PARAMETRI'!$B$5,'13_VANZARI'!$A$5:$A$1004,"&lt;="&amp;'09_PARAMETRI'!$B$6))</f>
        <v/>
      </c>
      <c r="F46" s="24">
        <f>IF($A46="","",SUMIFS('13_VANZARI'!$H$5:$H$1004,'13_VANZARI'!$D$5:$D$1004,$A46,'13_VANZARI'!$A$5:$A$1004,"&gt;="&amp;'09_PARAMETRI'!$B$7,'13_VANZARI'!$A$5:$A$1004,"&lt;="&amp;'09_PARAMETRI'!$B$8))</f>
        <v/>
      </c>
      <c r="G46" s="25">
        <f>IF($A46="","",IFERROR(IF($F46=0,"",($E46-$F46)/ABS($F46)),""))</f>
        <v/>
      </c>
      <c r="H46" s="24">
        <f>IF($A46="","",SUMIFS('13_VANZARI'!$K$5:$K$1004,'13_VANZARI'!$D$5:$D$1004,$A46,'13_VANZARI'!$A$5:$A$1004,"&gt;="&amp;'09_PARAMETRI'!$B$5,'13_VANZARI'!$A$5:$A$1004,"&lt;="&amp;'09_PARAMETRI'!$B$6))</f>
        <v/>
      </c>
      <c r="I46" s="25">
        <f>IF($A46="","",IFERROR($H46/$E46,""))</f>
        <v/>
      </c>
      <c r="J46" s="25">
        <f>IF($A46="","",IFERROR($E46/SUMIFS('13_VANZARI'!$H$5:$H$1004,'13_VANZARI'!$A$5:$A$1004,"&gt;="&amp;'09_PARAMETRI'!$B$5,'13_VANZARI'!$A$5:$A$1004,"&lt;="&amp;'09_PARAMETRI'!$B$6),""))</f>
        <v/>
      </c>
      <c r="K46" s="36">
        <f>IF($A46="","",IFERROR(IF(SUMPRODUCT(MAX(('13_VANZARI'!$D$5:$D$1004=$A46)*('13_VANZARI'!$H$5:$H$1004&lt;&gt;"")*'13_VANZARI'!$A$5:$A$1004))=0,"",SUMPRODUCT(MAX(('13_VANZARI'!$D$5:$D$1004=$A46)*('13_VANZARI'!$H$5:$H$1004&lt;&gt;"")*'13_VANZARI'!$A$5:$A$1004))),""))</f>
        <v/>
      </c>
      <c r="L46" s="24">
        <f>IF(OR($A46="",$K46=""),"",'09_PARAMETRI'!$B$9-$K46)</f>
        <v/>
      </c>
      <c r="M46" s="24">
        <f>IF($A46="","",SUMPRODUCT(('11_PRODUSE'!$A$5:$A$104&lt;&gt;"")*(SUMIFS('13_VANZARI'!$H$5:$H$1004,'13_VANZARI'!$D$5:$D$1004,$A46,'13_VANZARI'!$E$5:$E$1004,'11_PRODUSE'!$A$5:$A$104,'13_VANZARI'!$A$5:$A$1004,"&gt;="&amp;'09_PARAMETRI'!$B$5,'13_VANZARI'!$A$5:$A$1004,"&lt;="&amp;'09_PARAMETRI'!$B$6)&lt;&gt;0)))</f>
        <v/>
      </c>
      <c r="N46" s="50">
        <f>IF($A46="","",IFERROR(AVERAGEIFS('15_NPS'!$F$5:$F$504,'15_NPS'!$C$5:$C$504,$A46,'15_NPS'!$B$5:$B$504,"&gt;="&amp;'09_PARAMETRI'!$B$5,'15_NPS'!$B$5:$B$504,"&lt;="&amp;'09_PARAMETRI'!$B$6),""))</f>
        <v/>
      </c>
      <c r="O46" s="39">
        <f>IF($A46="","",IF(AND($F46&gt;0,$E46=0),"Client pierdut",IF(AND($L46&lt;&gt;"",$L46&gt;'09_PARAMETRI'!$B$16,$F46&gt;0),"Client dormant",IF(AND($G46&lt;&gt;"",$G46&lt;='09_PARAMETRI'!$B$13),"Scădere de venit",IF(AND($N46&lt;&gt;"",$N46&lt;7),"Detractor activ",IF(AND($E46&gt;0,$J46&gt;'09_PARAMETRI'!$B$19),"Risc concentrare",IF(AND($E46&gt;0,$I46&lt;&gt;"",$I46&lt;'09_PARAMETRI'!$B$15),"Marjă sub referință",IF(AND($G46&lt;&gt;"",$G46&gt;='09_PARAMETRI'!$B$14),"În creștere",IF($E46=0,"Fără activitate","Stabil")))))))))</f>
        <v/>
      </c>
      <c r="P46" s="39">
        <f>IF($A46="","",IF($O46="Risc concentrare","Risc concentrare",IF($O46="Client pierdut","Recuperare client",IF($O46="Client dormant","Reactivare client",IF($O46="Scădere de venit","Recuperare client",IF($O46="Detractor activ","Recuperare NPS",IF($O46="Marjă sub referință","Marjă / preț",IF($O46="În creștere","Up-sell",IF($O46="Fără activitate","Reactivare client","Cross-sell")))))))))</f>
        <v/>
      </c>
      <c r="Q46" s="24">
        <f>IF($A46="","",IFERROR(IF($O46="Scădere de venit",MAX(0,$F46-$E46),IF(OR($O46="Client pierdut",$O46="Client dormant",$O46="Fără activitate"),$F46,IF($O46="Marjă sub referință",MAX(0,$E46*('09_PARAMETRI'!$B$15-$I46)),$E46*0.15))),""))</f>
        <v/>
      </c>
      <c r="R46" s="48">
        <f>IF(OR($A46="",$E46="",N($E46)&lt;=0),"",$E46+ROW()/1000000)</f>
        <v/>
      </c>
    </row>
    <row r="47">
      <c r="A47" s="39">
        <f>IF('10_CLIENTI'!$A47="","",'10_CLIENTI'!$A47)</f>
        <v/>
      </c>
      <c r="B47" s="39">
        <f>IF($A47="","",IFERROR(INDEX('10_CLIENTI'!$B$5:$B$204,MATCH($A47,'10_CLIENTI'!$A$5:$A$204,0)),""))</f>
        <v/>
      </c>
      <c r="C47" s="39">
        <f>IF($A47="","",IFERROR(INDEX('10_CLIENTI'!$C$5:$C$204,MATCH($A47,'10_CLIENTI'!$A$5:$A$204,0)),""))</f>
        <v/>
      </c>
      <c r="D47" s="39">
        <f>IF($A47="","",IFERROR(INDEX('10_CLIENTI'!$G$5:$G$204,MATCH($A47,'10_CLIENTI'!$A$5:$A$204,0)),""))</f>
        <v/>
      </c>
      <c r="E47" s="24">
        <f>IF($A47="","",SUMIFS('13_VANZARI'!$H$5:$H$1004,'13_VANZARI'!$D$5:$D$1004,$A47,'13_VANZARI'!$A$5:$A$1004,"&gt;="&amp;'09_PARAMETRI'!$B$5,'13_VANZARI'!$A$5:$A$1004,"&lt;="&amp;'09_PARAMETRI'!$B$6))</f>
        <v/>
      </c>
      <c r="F47" s="24">
        <f>IF($A47="","",SUMIFS('13_VANZARI'!$H$5:$H$1004,'13_VANZARI'!$D$5:$D$1004,$A47,'13_VANZARI'!$A$5:$A$1004,"&gt;="&amp;'09_PARAMETRI'!$B$7,'13_VANZARI'!$A$5:$A$1004,"&lt;="&amp;'09_PARAMETRI'!$B$8))</f>
        <v/>
      </c>
      <c r="G47" s="25">
        <f>IF($A47="","",IFERROR(IF($F47=0,"",($E47-$F47)/ABS($F47)),""))</f>
        <v/>
      </c>
      <c r="H47" s="24">
        <f>IF($A47="","",SUMIFS('13_VANZARI'!$K$5:$K$1004,'13_VANZARI'!$D$5:$D$1004,$A47,'13_VANZARI'!$A$5:$A$1004,"&gt;="&amp;'09_PARAMETRI'!$B$5,'13_VANZARI'!$A$5:$A$1004,"&lt;="&amp;'09_PARAMETRI'!$B$6))</f>
        <v/>
      </c>
      <c r="I47" s="25">
        <f>IF($A47="","",IFERROR($H47/$E47,""))</f>
        <v/>
      </c>
      <c r="J47" s="25">
        <f>IF($A47="","",IFERROR($E47/SUMIFS('13_VANZARI'!$H$5:$H$1004,'13_VANZARI'!$A$5:$A$1004,"&gt;="&amp;'09_PARAMETRI'!$B$5,'13_VANZARI'!$A$5:$A$1004,"&lt;="&amp;'09_PARAMETRI'!$B$6),""))</f>
        <v/>
      </c>
      <c r="K47" s="36">
        <f>IF($A47="","",IFERROR(IF(SUMPRODUCT(MAX(('13_VANZARI'!$D$5:$D$1004=$A47)*('13_VANZARI'!$H$5:$H$1004&lt;&gt;"")*'13_VANZARI'!$A$5:$A$1004))=0,"",SUMPRODUCT(MAX(('13_VANZARI'!$D$5:$D$1004=$A47)*('13_VANZARI'!$H$5:$H$1004&lt;&gt;"")*'13_VANZARI'!$A$5:$A$1004))),""))</f>
        <v/>
      </c>
      <c r="L47" s="24">
        <f>IF(OR($A47="",$K47=""),"",'09_PARAMETRI'!$B$9-$K47)</f>
        <v/>
      </c>
      <c r="M47" s="24">
        <f>IF($A47="","",SUMPRODUCT(('11_PRODUSE'!$A$5:$A$104&lt;&gt;"")*(SUMIFS('13_VANZARI'!$H$5:$H$1004,'13_VANZARI'!$D$5:$D$1004,$A47,'13_VANZARI'!$E$5:$E$1004,'11_PRODUSE'!$A$5:$A$104,'13_VANZARI'!$A$5:$A$1004,"&gt;="&amp;'09_PARAMETRI'!$B$5,'13_VANZARI'!$A$5:$A$1004,"&lt;="&amp;'09_PARAMETRI'!$B$6)&lt;&gt;0)))</f>
        <v/>
      </c>
      <c r="N47" s="50">
        <f>IF($A47="","",IFERROR(AVERAGEIFS('15_NPS'!$F$5:$F$504,'15_NPS'!$C$5:$C$504,$A47,'15_NPS'!$B$5:$B$504,"&gt;="&amp;'09_PARAMETRI'!$B$5,'15_NPS'!$B$5:$B$504,"&lt;="&amp;'09_PARAMETRI'!$B$6),""))</f>
        <v/>
      </c>
      <c r="O47" s="39">
        <f>IF($A47="","",IF(AND($F47&gt;0,$E47=0),"Client pierdut",IF(AND($L47&lt;&gt;"",$L47&gt;'09_PARAMETRI'!$B$16,$F47&gt;0),"Client dormant",IF(AND($G47&lt;&gt;"",$G47&lt;='09_PARAMETRI'!$B$13),"Scădere de venit",IF(AND($N47&lt;&gt;"",$N47&lt;7),"Detractor activ",IF(AND($E47&gt;0,$J47&gt;'09_PARAMETRI'!$B$19),"Risc concentrare",IF(AND($E47&gt;0,$I47&lt;&gt;"",$I47&lt;'09_PARAMETRI'!$B$15),"Marjă sub referință",IF(AND($G47&lt;&gt;"",$G47&gt;='09_PARAMETRI'!$B$14),"În creștere",IF($E47=0,"Fără activitate","Stabil")))))))))</f>
        <v/>
      </c>
      <c r="P47" s="39">
        <f>IF($A47="","",IF($O47="Risc concentrare","Risc concentrare",IF($O47="Client pierdut","Recuperare client",IF($O47="Client dormant","Reactivare client",IF($O47="Scădere de venit","Recuperare client",IF($O47="Detractor activ","Recuperare NPS",IF($O47="Marjă sub referință","Marjă / preț",IF($O47="În creștere","Up-sell",IF($O47="Fără activitate","Reactivare client","Cross-sell")))))))))</f>
        <v/>
      </c>
      <c r="Q47" s="24">
        <f>IF($A47="","",IFERROR(IF($O47="Scădere de venit",MAX(0,$F47-$E47),IF(OR($O47="Client pierdut",$O47="Client dormant",$O47="Fără activitate"),$F47,IF($O47="Marjă sub referință",MAX(0,$E47*('09_PARAMETRI'!$B$15-$I47)),$E47*0.15))),""))</f>
        <v/>
      </c>
      <c r="R47" s="48">
        <f>IF(OR($A47="",$E47="",N($E47)&lt;=0),"",$E47+ROW()/1000000)</f>
        <v/>
      </c>
    </row>
    <row r="48">
      <c r="A48" s="39">
        <f>IF('10_CLIENTI'!$A48="","",'10_CLIENTI'!$A48)</f>
        <v/>
      </c>
      <c r="B48" s="39">
        <f>IF($A48="","",IFERROR(INDEX('10_CLIENTI'!$B$5:$B$204,MATCH($A48,'10_CLIENTI'!$A$5:$A$204,0)),""))</f>
        <v/>
      </c>
      <c r="C48" s="39">
        <f>IF($A48="","",IFERROR(INDEX('10_CLIENTI'!$C$5:$C$204,MATCH($A48,'10_CLIENTI'!$A$5:$A$204,0)),""))</f>
        <v/>
      </c>
      <c r="D48" s="39">
        <f>IF($A48="","",IFERROR(INDEX('10_CLIENTI'!$G$5:$G$204,MATCH($A48,'10_CLIENTI'!$A$5:$A$204,0)),""))</f>
        <v/>
      </c>
      <c r="E48" s="24">
        <f>IF($A48="","",SUMIFS('13_VANZARI'!$H$5:$H$1004,'13_VANZARI'!$D$5:$D$1004,$A48,'13_VANZARI'!$A$5:$A$1004,"&gt;="&amp;'09_PARAMETRI'!$B$5,'13_VANZARI'!$A$5:$A$1004,"&lt;="&amp;'09_PARAMETRI'!$B$6))</f>
        <v/>
      </c>
      <c r="F48" s="24">
        <f>IF($A48="","",SUMIFS('13_VANZARI'!$H$5:$H$1004,'13_VANZARI'!$D$5:$D$1004,$A48,'13_VANZARI'!$A$5:$A$1004,"&gt;="&amp;'09_PARAMETRI'!$B$7,'13_VANZARI'!$A$5:$A$1004,"&lt;="&amp;'09_PARAMETRI'!$B$8))</f>
        <v/>
      </c>
      <c r="G48" s="25">
        <f>IF($A48="","",IFERROR(IF($F48=0,"",($E48-$F48)/ABS($F48)),""))</f>
        <v/>
      </c>
      <c r="H48" s="24">
        <f>IF($A48="","",SUMIFS('13_VANZARI'!$K$5:$K$1004,'13_VANZARI'!$D$5:$D$1004,$A48,'13_VANZARI'!$A$5:$A$1004,"&gt;="&amp;'09_PARAMETRI'!$B$5,'13_VANZARI'!$A$5:$A$1004,"&lt;="&amp;'09_PARAMETRI'!$B$6))</f>
        <v/>
      </c>
      <c r="I48" s="25">
        <f>IF($A48="","",IFERROR($H48/$E48,""))</f>
        <v/>
      </c>
      <c r="J48" s="25">
        <f>IF($A48="","",IFERROR($E48/SUMIFS('13_VANZARI'!$H$5:$H$1004,'13_VANZARI'!$A$5:$A$1004,"&gt;="&amp;'09_PARAMETRI'!$B$5,'13_VANZARI'!$A$5:$A$1004,"&lt;="&amp;'09_PARAMETRI'!$B$6),""))</f>
        <v/>
      </c>
      <c r="K48" s="36">
        <f>IF($A48="","",IFERROR(IF(SUMPRODUCT(MAX(('13_VANZARI'!$D$5:$D$1004=$A48)*('13_VANZARI'!$H$5:$H$1004&lt;&gt;"")*'13_VANZARI'!$A$5:$A$1004))=0,"",SUMPRODUCT(MAX(('13_VANZARI'!$D$5:$D$1004=$A48)*('13_VANZARI'!$H$5:$H$1004&lt;&gt;"")*'13_VANZARI'!$A$5:$A$1004))),""))</f>
        <v/>
      </c>
      <c r="L48" s="24">
        <f>IF(OR($A48="",$K48=""),"",'09_PARAMETRI'!$B$9-$K48)</f>
        <v/>
      </c>
      <c r="M48" s="24">
        <f>IF($A48="","",SUMPRODUCT(('11_PRODUSE'!$A$5:$A$104&lt;&gt;"")*(SUMIFS('13_VANZARI'!$H$5:$H$1004,'13_VANZARI'!$D$5:$D$1004,$A48,'13_VANZARI'!$E$5:$E$1004,'11_PRODUSE'!$A$5:$A$104,'13_VANZARI'!$A$5:$A$1004,"&gt;="&amp;'09_PARAMETRI'!$B$5,'13_VANZARI'!$A$5:$A$1004,"&lt;="&amp;'09_PARAMETRI'!$B$6)&lt;&gt;0)))</f>
        <v/>
      </c>
      <c r="N48" s="50">
        <f>IF($A48="","",IFERROR(AVERAGEIFS('15_NPS'!$F$5:$F$504,'15_NPS'!$C$5:$C$504,$A48,'15_NPS'!$B$5:$B$504,"&gt;="&amp;'09_PARAMETRI'!$B$5,'15_NPS'!$B$5:$B$504,"&lt;="&amp;'09_PARAMETRI'!$B$6),""))</f>
        <v/>
      </c>
      <c r="O48" s="39">
        <f>IF($A48="","",IF(AND($F48&gt;0,$E48=0),"Client pierdut",IF(AND($L48&lt;&gt;"",$L48&gt;'09_PARAMETRI'!$B$16,$F48&gt;0),"Client dormant",IF(AND($G48&lt;&gt;"",$G48&lt;='09_PARAMETRI'!$B$13),"Scădere de venit",IF(AND($N48&lt;&gt;"",$N48&lt;7),"Detractor activ",IF(AND($E48&gt;0,$J48&gt;'09_PARAMETRI'!$B$19),"Risc concentrare",IF(AND($E48&gt;0,$I48&lt;&gt;"",$I48&lt;'09_PARAMETRI'!$B$15),"Marjă sub referință",IF(AND($G48&lt;&gt;"",$G48&gt;='09_PARAMETRI'!$B$14),"În creștere",IF($E48=0,"Fără activitate","Stabil")))))))))</f>
        <v/>
      </c>
      <c r="P48" s="39">
        <f>IF($A48="","",IF($O48="Risc concentrare","Risc concentrare",IF($O48="Client pierdut","Recuperare client",IF($O48="Client dormant","Reactivare client",IF($O48="Scădere de venit","Recuperare client",IF($O48="Detractor activ","Recuperare NPS",IF($O48="Marjă sub referință","Marjă / preț",IF($O48="În creștere","Up-sell",IF($O48="Fără activitate","Reactivare client","Cross-sell")))))))))</f>
        <v/>
      </c>
      <c r="Q48" s="24">
        <f>IF($A48="","",IFERROR(IF($O48="Scădere de venit",MAX(0,$F48-$E48),IF(OR($O48="Client pierdut",$O48="Client dormant",$O48="Fără activitate"),$F48,IF($O48="Marjă sub referință",MAX(0,$E48*('09_PARAMETRI'!$B$15-$I48)),$E48*0.15))),""))</f>
        <v/>
      </c>
      <c r="R48" s="48">
        <f>IF(OR($A48="",$E48="",N($E48)&lt;=0),"",$E48+ROW()/1000000)</f>
        <v/>
      </c>
    </row>
    <row r="49">
      <c r="A49" s="39">
        <f>IF('10_CLIENTI'!$A49="","",'10_CLIENTI'!$A49)</f>
        <v/>
      </c>
      <c r="B49" s="39">
        <f>IF($A49="","",IFERROR(INDEX('10_CLIENTI'!$B$5:$B$204,MATCH($A49,'10_CLIENTI'!$A$5:$A$204,0)),""))</f>
        <v/>
      </c>
      <c r="C49" s="39">
        <f>IF($A49="","",IFERROR(INDEX('10_CLIENTI'!$C$5:$C$204,MATCH($A49,'10_CLIENTI'!$A$5:$A$204,0)),""))</f>
        <v/>
      </c>
      <c r="D49" s="39">
        <f>IF($A49="","",IFERROR(INDEX('10_CLIENTI'!$G$5:$G$204,MATCH($A49,'10_CLIENTI'!$A$5:$A$204,0)),""))</f>
        <v/>
      </c>
      <c r="E49" s="24">
        <f>IF($A49="","",SUMIFS('13_VANZARI'!$H$5:$H$1004,'13_VANZARI'!$D$5:$D$1004,$A49,'13_VANZARI'!$A$5:$A$1004,"&gt;="&amp;'09_PARAMETRI'!$B$5,'13_VANZARI'!$A$5:$A$1004,"&lt;="&amp;'09_PARAMETRI'!$B$6))</f>
        <v/>
      </c>
      <c r="F49" s="24">
        <f>IF($A49="","",SUMIFS('13_VANZARI'!$H$5:$H$1004,'13_VANZARI'!$D$5:$D$1004,$A49,'13_VANZARI'!$A$5:$A$1004,"&gt;="&amp;'09_PARAMETRI'!$B$7,'13_VANZARI'!$A$5:$A$1004,"&lt;="&amp;'09_PARAMETRI'!$B$8))</f>
        <v/>
      </c>
      <c r="G49" s="25">
        <f>IF($A49="","",IFERROR(IF($F49=0,"",($E49-$F49)/ABS($F49)),""))</f>
        <v/>
      </c>
      <c r="H49" s="24">
        <f>IF($A49="","",SUMIFS('13_VANZARI'!$K$5:$K$1004,'13_VANZARI'!$D$5:$D$1004,$A49,'13_VANZARI'!$A$5:$A$1004,"&gt;="&amp;'09_PARAMETRI'!$B$5,'13_VANZARI'!$A$5:$A$1004,"&lt;="&amp;'09_PARAMETRI'!$B$6))</f>
        <v/>
      </c>
      <c r="I49" s="25">
        <f>IF($A49="","",IFERROR($H49/$E49,""))</f>
        <v/>
      </c>
      <c r="J49" s="25">
        <f>IF($A49="","",IFERROR($E49/SUMIFS('13_VANZARI'!$H$5:$H$1004,'13_VANZARI'!$A$5:$A$1004,"&gt;="&amp;'09_PARAMETRI'!$B$5,'13_VANZARI'!$A$5:$A$1004,"&lt;="&amp;'09_PARAMETRI'!$B$6),""))</f>
        <v/>
      </c>
      <c r="K49" s="36">
        <f>IF($A49="","",IFERROR(IF(SUMPRODUCT(MAX(('13_VANZARI'!$D$5:$D$1004=$A49)*('13_VANZARI'!$H$5:$H$1004&lt;&gt;"")*'13_VANZARI'!$A$5:$A$1004))=0,"",SUMPRODUCT(MAX(('13_VANZARI'!$D$5:$D$1004=$A49)*('13_VANZARI'!$H$5:$H$1004&lt;&gt;"")*'13_VANZARI'!$A$5:$A$1004))),""))</f>
        <v/>
      </c>
      <c r="L49" s="24">
        <f>IF(OR($A49="",$K49=""),"",'09_PARAMETRI'!$B$9-$K49)</f>
        <v/>
      </c>
      <c r="M49" s="24">
        <f>IF($A49="","",SUMPRODUCT(('11_PRODUSE'!$A$5:$A$104&lt;&gt;"")*(SUMIFS('13_VANZARI'!$H$5:$H$1004,'13_VANZARI'!$D$5:$D$1004,$A49,'13_VANZARI'!$E$5:$E$1004,'11_PRODUSE'!$A$5:$A$104,'13_VANZARI'!$A$5:$A$1004,"&gt;="&amp;'09_PARAMETRI'!$B$5,'13_VANZARI'!$A$5:$A$1004,"&lt;="&amp;'09_PARAMETRI'!$B$6)&lt;&gt;0)))</f>
        <v/>
      </c>
      <c r="N49" s="50">
        <f>IF($A49="","",IFERROR(AVERAGEIFS('15_NPS'!$F$5:$F$504,'15_NPS'!$C$5:$C$504,$A49,'15_NPS'!$B$5:$B$504,"&gt;="&amp;'09_PARAMETRI'!$B$5,'15_NPS'!$B$5:$B$504,"&lt;="&amp;'09_PARAMETRI'!$B$6),""))</f>
        <v/>
      </c>
      <c r="O49" s="39">
        <f>IF($A49="","",IF(AND($F49&gt;0,$E49=0),"Client pierdut",IF(AND($L49&lt;&gt;"",$L49&gt;'09_PARAMETRI'!$B$16,$F49&gt;0),"Client dormant",IF(AND($G49&lt;&gt;"",$G49&lt;='09_PARAMETRI'!$B$13),"Scădere de venit",IF(AND($N49&lt;&gt;"",$N49&lt;7),"Detractor activ",IF(AND($E49&gt;0,$J49&gt;'09_PARAMETRI'!$B$19),"Risc concentrare",IF(AND($E49&gt;0,$I49&lt;&gt;"",$I49&lt;'09_PARAMETRI'!$B$15),"Marjă sub referință",IF(AND($G49&lt;&gt;"",$G49&gt;='09_PARAMETRI'!$B$14),"În creștere",IF($E49=0,"Fără activitate","Stabil")))))))))</f>
        <v/>
      </c>
      <c r="P49" s="39">
        <f>IF($A49="","",IF($O49="Risc concentrare","Risc concentrare",IF($O49="Client pierdut","Recuperare client",IF($O49="Client dormant","Reactivare client",IF($O49="Scădere de venit","Recuperare client",IF($O49="Detractor activ","Recuperare NPS",IF($O49="Marjă sub referință","Marjă / preț",IF($O49="În creștere","Up-sell",IF($O49="Fără activitate","Reactivare client","Cross-sell")))))))))</f>
        <v/>
      </c>
      <c r="Q49" s="24">
        <f>IF($A49="","",IFERROR(IF($O49="Scădere de venit",MAX(0,$F49-$E49),IF(OR($O49="Client pierdut",$O49="Client dormant",$O49="Fără activitate"),$F49,IF($O49="Marjă sub referință",MAX(0,$E49*('09_PARAMETRI'!$B$15-$I49)),$E49*0.15))),""))</f>
        <v/>
      </c>
      <c r="R49" s="48">
        <f>IF(OR($A49="",$E49="",N($E49)&lt;=0),"",$E49+ROW()/1000000)</f>
        <v/>
      </c>
    </row>
    <row r="50">
      <c r="A50" s="39">
        <f>IF('10_CLIENTI'!$A50="","",'10_CLIENTI'!$A50)</f>
        <v/>
      </c>
      <c r="B50" s="39">
        <f>IF($A50="","",IFERROR(INDEX('10_CLIENTI'!$B$5:$B$204,MATCH($A50,'10_CLIENTI'!$A$5:$A$204,0)),""))</f>
        <v/>
      </c>
      <c r="C50" s="39">
        <f>IF($A50="","",IFERROR(INDEX('10_CLIENTI'!$C$5:$C$204,MATCH($A50,'10_CLIENTI'!$A$5:$A$204,0)),""))</f>
        <v/>
      </c>
      <c r="D50" s="39">
        <f>IF($A50="","",IFERROR(INDEX('10_CLIENTI'!$G$5:$G$204,MATCH($A50,'10_CLIENTI'!$A$5:$A$204,0)),""))</f>
        <v/>
      </c>
      <c r="E50" s="24">
        <f>IF($A50="","",SUMIFS('13_VANZARI'!$H$5:$H$1004,'13_VANZARI'!$D$5:$D$1004,$A50,'13_VANZARI'!$A$5:$A$1004,"&gt;="&amp;'09_PARAMETRI'!$B$5,'13_VANZARI'!$A$5:$A$1004,"&lt;="&amp;'09_PARAMETRI'!$B$6))</f>
        <v/>
      </c>
      <c r="F50" s="24">
        <f>IF($A50="","",SUMIFS('13_VANZARI'!$H$5:$H$1004,'13_VANZARI'!$D$5:$D$1004,$A50,'13_VANZARI'!$A$5:$A$1004,"&gt;="&amp;'09_PARAMETRI'!$B$7,'13_VANZARI'!$A$5:$A$1004,"&lt;="&amp;'09_PARAMETRI'!$B$8))</f>
        <v/>
      </c>
      <c r="G50" s="25">
        <f>IF($A50="","",IFERROR(IF($F50=0,"",($E50-$F50)/ABS($F50)),""))</f>
        <v/>
      </c>
      <c r="H50" s="24">
        <f>IF($A50="","",SUMIFS('13_VANZARI'!$K$5:$K$1004,'13_VANZARI'!$D$5:$D$1004,$A50,'13_VANZARI'!$A$5:$A$1004,"&gt;="&amp;'09_PARAMETRI'!$B$5,'13_VANZARI'!$A$5:$A$1004,"&lt;="&amp;'09_PARAMETRI'!$B$6))</f>
        <v/>
      </c>
      <c r="I50" s="25">
        <f>IF($A50="","",IFERROR($H50/$E50,""))</f>
        <v/>
      </c>
      <c r="J50" s="25">
        <f>IF($A50="","",IFERROR($E50/SUMIFS('13_VANZARI'!$H$5:$H$1004,'13_VANZARI'!$A$5:$A$1004,"&gt;="&amp;'09_PARAMETRI'!$B$5,'13_VANZARI'!$A$5:$A$1004,"&lt;="&amp;'09_PARAMETRI'!$B$6),""))</f>
        <v/>
      </c>
      <c r="K50" s="36">
        <f>IF($A50="","",IFERROR(IF(SUMPRODUCT(MAX(('13_VANZARI'!$D$5:$D$1004=$A50)*('13_VANZARI'!$H$5:$H$1004&lt;&gt;"")*'13_VANZARI'!$A$5:$A$1004))=0,"",SUMPRODUCT(MAX(('13_VANZARI'!$D$5:$D$1004=$A50)*('13_VANZARI'!$H$5:$H$1004&lt;&gt;"")*'13_VANZARI'!$A$5:$A$1004))),""))</f>
        <v/>
      </c>
      <c r="L50" s="24">
        <f>IF(OR($A50="",$K50=""),"",'09_PARAMETRI'!$B$9-$K50)</f>
        <v/>
      </c>
      <c r="M50" s="24">
        <f>IF($A50="","",SUMPRODUCT(('11_PRODUSE'!$A$5:$A$104&lt;&gt;"")*(SUMIFS('13_VANZARI'!$H$5:$H$1004,'13_VANZARI'!$D$5:$D$1004,$A50,'13_VANZARI'!$E$5:$E$1004,'11_PRODUSE'!$A$5:$A$104,'13_VANZARI'!$A$5:$A$1004,"&gt;="&amp;'09_PARAMETRI'!$B$5,'13_VANZARI'!$A$5:$A$1004,"&lt;="&amp;'09_PARAMETRI'!$B$6)&lt;&gt;0)))</f>
        <v/>
      </c>
      <c r="N50" s="50">
        <f>IF($A50="","",IFERROR(AVERAGEIFS('15_NPS'!$F$5:$F$504,'15_NPS'!$C$5:$C$504,$A50,'15_NPS'!$B$5:$B$504,"&gt;="&amp;'09_PARAMETRI'!$B$5,'15_NPS'!$B$5:$B$504,"&lt;="&amp;'09_PARAMETRI'!$B$6),""))</f>
        <v/>
      </c>
      <c r="O50" s="39">
        <f>IF($A50="","",IF(AND($F50&gt;0,$E50=0),"Client pierdut",IF(AND($L50&lt;&gt;"",$L50&gt;'09_PARAMETRI'!$B$16,$F50&gt;0),"Client dormant",IF(AND($G50&lt;&gt;"",$G50&lt;='09_PARAMETRI'!$B$13),"Scădere de venit",IF(AND($N50&lt;&gt;"",$N50&lt;7),"Detractor activ",IF(AND($E50&gt;0,$J50&gt;'09_PARAMETRI'!$B$19),"Risc concentrare",IF(AND($E50&gt;0,$I50&lt;&gt;"",$I50&lt;'09_PARAMETRI'!$B$15),"Marjă sub referință",IF(AND($G50&lt;&gt;"",$G50&gt;='09_PARAMETRI'!$B$14),"În creștere",IF($E50=0,"Fără activitate","Stabil")))))))))</f>
        <v/>
      </c>
      <c r="P50" s="39">
        <f>IF($A50="","",IF($O50="Risc concentrare","Risc concentrare",IF($O50="Client pierdut","Recuperare client",IF($O50="Client dormant","Reactivare client",IF($O50="Scădere de venit","Recuperare client",IF($O50="Detractor activ","Recuperare NPS",IF($O50="Marjă sub referință","Marjă / preț",IF($O50="În creștere","Up-sell",IF($O50="Fără activitate","Reactivare client","Cross-sell")))))))))</f>
        <v/>
      </c>
      <c r="Q50" s="24">
        <f>IF($A50="","",IFERROR(IF($O50="Scădere de venit",MAX(0,$F50-$E50),IF(OR($O50="Client pierdut",$O50="Client dormant",$O50="Fără activitate"),$F50,IF($O50="Marjă sub referință",MAX(0,$E50*('09_PARAMETRI'!$B$15-$I50)),$E50*0.15))),""))</f>
        <v/>
      </c>
      <c r="R50" s="48">
        <f>IF(OR($A50="",$E50="",N($E50)&lt;=0),"",$E50+ROW()/1000000)</f>
        <v/>
      </c>
    </row>
    <row r="51">
      <c r="A51" s="39">
        <f>IF('10_CLIENTI'!$A51="","",'10_CLIENTI'!$A51)</f>
        <v/>
      </c>
      <c r="B51" s="39">
        <f>IF($A51="","",IFERROR(INDEX('10_CLIENTI'!$B$5:$B$204,MATCH($A51,'10_CLIENTI'!$A$5:$A$204,0)),""))</f>
        <v/>
      </c>
      <c r="C51" s="39">
        <f>IF($A51="","",IFERROR(INDEX('10_CLIENTI'!$C$5:$C$204,MATCH($A51,'10_CLIENTI'!$A$5:$A$204,0)),""))</f>
        <v/>
      </c>
      <c r="D51" s="39">
        <f>IF($A51="","",IFERROR(INDEX('10_CLIENTI'!$G$5:$G$204,MATCH($A51,'10_CLIENTI'!$A$5:$A$204,0)),""))</f>
        <v/>
      </c>
      <c r="E51" s="24">
        <f>IF($A51="","",SUMIFS('13_VANZARI'!$H$5:$H$1004,'13_VANZARI'!$D$5:$D$1004,$A51,'13_VANZARI'!$A$5:$A$1004,"&gt;="&amp;'09_PARAMETRI'!$B$5,'13_VANZARI'!$A$5:$A$1004,"&lt;="&amp;'09_PARAMETRI'!$B$6))</f>
        <v/>
      </c>
      <c r="F51" s="24">
        <f>IF($A51="","",SUMIFS('13_VANZARI'!$H$5:$H$1004,'13_VANZARI'!$D$5:$D$1004,$A51,'13_VANZARI'!$A$5:$A$1004,"&gt;="&amp;'09_PARAMETRI'!$B$7,'13_VANZARI'!$A$5:$A$1004,"&lt;="&amp;'09_PARAMETRI'!$B$8))</f>
        <v/>
      </c>
      <c r="G51" s="25">
        <f>IF($A51="","",IFERROR(IF($F51=0,"",($E51-$F51)/ABS($F51)),""))</f>
        <v/>
      </c>
      <c r="H51" s="24">
        <f>IF($A51="","",SUMIFS('13_VANZARI'!$K$5:$K$1004,'13_VANZARI'!$D$5:$D$1004,$A51,'13_VANZARI'!$A$5:$A$1004,"&gt;="&amp;'09_PARAMETRI'!$B$5,'13_VANZARI'!$A$5:$A$1004,"&lt;="&amp;'09_PARAMETRI'!$B$6))</f>
        <v/>
      </c>
      <c r="I51" s="25">
        <f>IF($A51="","",IFERROR($H51/$E51,""))</f>
        <v/>
      </c>
      <c r="J51" s="25">
        <f>IF($A51="","",IFERROR($E51/SUMIFS('13_VANZARI'!$H$5:$H$1004,'13_VANZARI'!$A$5:$A$1004,"&gt;="&amp;'09_PARAMETRI'!$B$5,'13_VANZARI'!$A$5:$A$1004,"&lt;="&amp;'09_PARAMETRI'!$B$6),""))</f>
        <v/>
      </c>
      <c r="K51" s="36">
        <f>IF($A51="","",IFERROR(IF(SUMPRODUCT(MAX(('13_VANZARI'!$D$5:$D$1004=$A51)*('13_VANZARI'!$H$5:$H$1004&lt;&gt;"")*'13_VANZARI'!$A$5:$A$1004))=0,"",SUMPRODUCT(MAX(('13_VANZARI'!$D$5:$D$1004=$A51)*('13_VANZARI'!$H$5:$H$1004&lt;&gt;"")*'13_VANZARI'!$A$5:$A$1004))),""))</f>
        <v/>
      </c>
      <c r="L51" s="24">
        <f>IF(OR($A51="",$K51=""),"",'09_PARAMETRI'!$B$9-$K51)</f>
        <v/>
      </c>
      <c r="M51" s="24">
        <f>IF($A51="","",SUMPRODUCT(('11_PRODUSE'!$A$5:$A$104&lt;&gt;"")*(SUMIFS('13_VANZARI'!$H$5:$H$1004,'13_VANZARI'!$D$5:$D$1004,$A51,'13_VANZARI'!$E$5:$E$1004,'11_PRODUSE'!$A$5:$A$104,'13_VANZARI'!$A$5:$A$1004,"&gt;="&amp;'09_PARAMETRI'!$B$5,'13_VANZARI'!$A$5:$A$1004,"&lt;="&amp;'09_PARAMETRI'!$B$6)&lt;&gt;0)))</f>
        <v/>
      </c>
      <c r="N51" s="50">
        <f>IF($A51="","",IFERROR(AVERAGEIFS('15_NPS'!$F$5:$F$504,'15_NPS'!$C$5:$C$504,$A51,'15_NPS'!$B$5:$B$504,"&gt;="&amp;'09_PARAMETRI'!$B$5,'15_NPS'!$B$5:$B$504,"&lt;="&amp;'09_PARAMETRI'!$B$6),""))</f>
        <v/>
      </c>
      <c r="O51" s="39">
        <f>IF($A51="","",IF(AND($F51&gt;0,$E51=0),"Client pierdut",IF(AND($L51&lt;&gt;"",$L51&gt;'09_PARAMETRI'!$B$16,$F51&gt;0),"Client dormant",IF(AND($G51&lt;&gt;"",$G51&lt;='09_PARAMETRI'!$B$13),"Scădere de venit",IF(AND($N51&lt;&gt;"",$N51&lt;7),"Detractor activ",IF(AND($E51&gt;0,$J51&gt;'09_PARAMETRI'!$B$19),"Risc concentrare",IF(AND($E51&gt;0,$I51&lt;&gt;"",$I51&lt;'09_PARAMETRI'!$B$15),"Marjă sub referință",IF(AND($G51&lt;&gt;"",$G51&gt;='09_PARAMETRI'!$B$14),"În creștere",IF($E51=0,"Fără activitate","Stabil")))))))))</f>
        <v/>
      </c>
      <c r="P51" s="39">
        <f>IF($A51="","",IF($O51="Risc concentrare","Risc concentrare",IF($O51="Client pierdut","Recuperare client",IF($O51="Client dormant","Reactivare client",IF($O51="Scădere de venit","Recuperare client",IF($O51="Detractor activ","Recuperare NPS",IF($O51="Marjă sub referință","Marjă / preț",IF($O51="În creștere","Up-sell",IF($O51="Fără activitate","Reactivare client","Cross-sell")))))))))</f>
        <v/>
      </c>
      <c r="Q51" s="24">
        <f>IF($A51="","",IFERROR(IF($O51="Scădere de venit",MAX(0,$F51-$E51),IF(OR($O51="Client pierdut",$O51="Client dormant",$O51="Fără activitate"),$F51,IF($O51="Marjă sub referință",MAX(0,$E51*('09_PARAMETRI'!$B$15-$I51)),$E51*0.15))),""))</f>
        <v/>
      </c>
      <c r="R51" s="48">
        <f>IF(OR($A51="",$E51="",N($E51)&lt;=0),"",$E51+ROW()/1000000)</f>
        <v/>
      </c>
    </row>
    <row r="52">
      <c r="A52" s="39">
        <f>IF('10_CLIENTI'!$A52="","",'10_CLIENTI'!$A52)</f>
        <v/>
      </c>
      <c r="B52" s="39">
        <f>IF($A52="","",IFERROR(INDEX('10_CLIENTI'!$B$5:$B$204,MATCH($A52,'10_CLIENTI'!$A$5:$A$204,0)),""))</f>
        <v/>
      </c>
      <c r="C52" s="39">
        <f>IF($A52="","",IFERROR(INDEX('10_CLIENTI'!$C$5:$C$204,MATCH($A52,'10_CLIENTI'!$A$5:$A$204,0)),""))</f>
        <v/>
      </c>
      <c r="D52" s="39">
        <f>IF($A52="","",IFERROR(INDEX('10_CLIENTI'!$G$5:$G$204,MATCH($A52,'10_CLIENTI'!$A$5:$A$204,0)),""))</f>
        <v/>
      </c>
      <c r="E52" s="24">
        <f>IF($A52="","",SUMIFS('13_VANZARI'!$H$5:$H$1004,'13_VANZARI'!$D$5:$D$1004,$A52,'13_VANZARI'!$A$5:$A$1004,"&gt;="&amp;'09_PARAMETRI'!$B$5,'13_VANZARI'!$A$5:$A$1004,"&lt;="&amp;'09_PARAMETRI'!$B$6))</f>
        <v/>
      </c>
      <c r="F52" s="24">
        <f>IF($A52="","",SUMIFS('13_VANZARI'!$H$5:$H$1004,'13_VANZARI'!$D$5:$D$1004,$A52,'13_VANZARI'!$A$5:$A$1004,"&gt;="&amp;'09_PARAMETRI'!$B$7,'13_VANZARI'!$A$5:$A$1004,"&lt;="&amp;'09_PARAMETRI'!$B$8))</f>
        <v/>
      </c>
      <c r="G52" s="25">
        <f>IF($A52="","",IFERROR(IF($F52=0,"",($E52-$F52)/ABS($F52)),""))</f>
        <v/>
      </c>
      <c r="H52" s="24">
        <f>IF($A52="","",SUMIFS('13_VANZARI'!$K$5:$K$1004,'13_VANZARI'!$D$5:$D$1004,$A52,'13_VANZARI'!$A$5:$A$1004,"&gt;="&amp;'09_PARAMETRI'!$B$5,'13_VANZARI'!$A$5:$A$1004,"&lt;="&amp;'09_PARAMETRI'!$B$6))</f>
        <v/>
      </c>
      <c r="I52" s="25">
        <f>IF($A52="","",IFERROR($H52/$E52,""))</f>
        <v/>
      </c>
      <c r="J52" s="25">
        <f>IF($A52="","",IFERROR($E52/SUMIFS('13_VANZARI'!$H$5:$H$1004,'13_VANZARI'!$A$5:$A$1004,"&gt;="&amp;'09_PARAMETRI'!$B$5,'13_VANZARI'!$A$5:$A$1004,"&lt;="&amp;'09_PARAMETRI'!$B$6),""))</f>
        <v/>
      </c>
      <c r="K52" s="36">
        <f>IF($A52="","",IFERROR(IF(SUMPRODUCT(MAX(('13_VANZARI'!$D$5:$D$1004=$A52)*('13_VANZARI'!$H$5:$H$1004&lt;&gt;"")*'13_VANZARI'!$A$5:$A$1004))=0,"",SUMPRODUCT(MAX(('13_VANZARI'!$D$5:$D$1004=$A52)*('13_VANZARI'!$H$5:$H$1004&lt;&gt;"")*'13_VANZARI'!$A$5:$A$1004))),""))</f>
        <v/>
      </c>
      <c r="L52" s="24">
        <f>IF(OR($A52="",$K52=""),"",'09_PARAMETRI'!$B$9-$K52)</f>
        <v/>
      </c>
      <c r="M52" s="24">
        <f>IF($A52="","",SUMPRODUCT(('11_PRODUSE'!$A$5:$A$104&lt;&gt;"")*(SUMIFS('13_VANZARI'!$H$5:$H$1004,'13_VANZARI'!$D$5:$D$1004,$A52,'13_VANZARI'!$E$5:$E$1004,'11_PRODUSE'!$A$5:$A$104,'13_VANZARI'!$A$5:$A$1004,"&gt;="&amp;'09_PARAMETRI'!$B$5,'13_VANZARI'!$A$5:$A$1004,"&lt;="&amp;'09_PARAMETRI'!$B$6)&lt;&gt;0)))</f>
        <v/>
      </c>
      <c r="N52" s="50">
        <f>IF($A52="","",IFERROR(AVERAGEIFS('15_NPS'!$F$5:$F$504,'15_NPS'!$C$5:$C$504,$A52,'15_NPS'!$B$5:$B$504,"&gt;="&amp;'09_PARAMETRI'!$B$5,'15_NPS'!$B$5:$B$504,"&lt;="&amp;'09_PARAMETRI'!$B$6),""))</f>
        <v/>
      </c>
      <c r="O52" s="39">
        <f>IF($A52="","",IF(AND($F52&gt;0,$E52=0),"Client pierdut",IF(AND($L52&lt;&gt;"",$L52&gt;'09_PARAMETRI'!$B$16,$F52&gt;0),"Client dormant",IF(AND($G52&lt;&gt;"",$G52&lt;='09_PARAMETRI'!$B$13),"Scădere de venit",IF(AND($N52&lt;&gt;"",$N52&lt;7),"Detractor activ",IF(AND($E52&gt;0,$J52&gt;'09_PARAMETRI'!$B$19),"Risc concentrare",IF(AND($E52&gt;0,$I52&lt;&gt;"",$I52&lt;'09_PARAMETRI'!$B$15),"Marjă sub referință",IF(AND($G52&lt;&gt;"",$G52&gt;='09_PARAMETRI'!$B$14),"În creștere",IF($E52=0,"Fără activitate","Stabil")))))))))</f>
        <v/>
      </c>
      <c r="P52" s="39">
        <f>IF($A52="","",IF($O52="Risc concentrare","Risc concentrare",IF($O52="Client pierdut","Recuperare client",IF($O52="Client dormant","Reactivare client",IF($O52="Scădere de venit","Recuperare client",IF($O52="Detractor activ","Recuperare NPS",IF($O52="Marjă sub referință","Marjă / preț",IF($O52="În creștere","Up-sell",IF($O52="Fără activitate","Reactivare client","Cross-sell")))))))))</f>
        <v/>
      </c>
      <c r="Q52" s="24">
        <f>IF($A52="","",IFERROR(IF($O52="Scădere de venit",MAX(0,$F52-$E52),IF(OR($O52="Client pierdut",$O52="Client dormant",$O52="Fără activitate"),$F52,IF($O52="Marjă sub referință",MAX(0,$E52*('09_PARAMETRI'!$B$15-$I52)),$E52*0.15))),""))</f>
        <v/>
      </c>
      <c r="R52" s="48">
        <f>IF(OR($A52="",$E52="",N($E52)&lt;=0),"",$E52+ROW()/1000000)</f>
        <v/>
      </c>
    </row>
    <row r="53">
      <c r="A53" s="39">
        <f>IF('10_CLIENTI'!$A53="","",'10_CLIENTI'!$A53)</f>
        <v/>
      </c>
      <c r="B53" s="39">
        <f>IF($A53="","",IFERROR(INDEX('10_CLIENTI'!$B$5:$B$204,MATCH($A53,'10_CLIENTI'!$A$5:$A$204,0)),""))</f>
        <v/>
      </c>
      <c r="C53" s="39">
        <f>IF($A53="","",IFERROR(INDEX('10_CLIENTI'!$C$5:$C$204,MATCH($A53,'10_CLIENTI'!$A$5:$A$204,0)),""))</f>
        <v/>
      </c>
      <c r="D53" s="39">
        <f>IF($A53="","",IFERROR(INDEX('10_CLIENTI'!$G$5:$G$204,MATCH($A53,'10_CLIENTI'!$A$5:$A$204,0)),""))</f>
        <v/>
      </c>
      <c r="E53" s="24">
        <f>IF($A53="","",SUMIFS('13_VANZARI'!$H$5:$H$1004,'13_VANZARI'!$D$5:$D$1004,$A53,'13_VANZARI'!$A$5:$A$1004,"&gt;="&amp;'09_PARAMETRI'!$B$5,'13_VANZARI'!$A$5:$A$1004,"&lt;="&amp;'09_PARAMETRI'!$B$6))</f>
        <v/>
      </c>
      <c r="F53" s="24">
        <f>IF($A53="","",SUMIFS('13_VANZARI'!$H$5:$H$1004,'13_VANZARI'!$D$5:$D$1004,$A53,'13_VANZARI'!$A$5:$A$1004,"&gt;="&amp;'09_PARAMETRI'!$B$7,'13_VANZARI'!$A$5:$A$1004,"&lt;="&amp;'09_PARAMETRI'!$B$8))</f>
        <v/>
      </c>
      <c r="G53" s="25">
        <f>IF($A53="","",IFERROR(IF($F53=0,"",($E53-$F53)/ABS($F53)),""))</f>
        <v/>
      </c>
      <c r="H53" s="24">
        <f>IF($A53="","",SUMIFS('13_VANZARI'!$K$5:$K$1004,'13_VANZARI'!$D$5:$D$1004,$A53,'13_VANZARI'!$A$5:$A$1004,"&gt;="&amp;'09_PARAMETRI'!$B$5,'13_VANZARI'!$A$5:$A$1004,"&lt;="&amp;'09_PARAMETRI'!$B$6))</f>
        <v/>
      </c>
      <c r="I53" s="25">
        <f>IF($A53="","",IFERROR($H53/$E53,""))</f>
        <v/>
      </c>
      <c r="J53" s="25">
        <f>IF($A53="","",IFERROR($E53/SUMIFS('13_VANZARI'!$H$5:$H$1004,'13_VANZARI'!$A$5:$A$1004,"&gt;="&amp;'09_PARAMETRI'!$B$5,'13_VANZARI'!$A$5:$A$1004,"&lt;="&amp;'09_PARAMETRI'!$B$6),""))</f>
        <v/>
      </c>
      <c r="K53" s="36">
        <f>IF($A53="","",IFERROR(IF(SUMPRODUCT(MAX(('13_VANZARI'!$D$5:$D$1004=$A53)*('13_VANZARI'!$H$5:$H$1004&lt;&gt;"")*'13_VANZARI'!$A$5:$A$1004))=0,"",SUMPRODUCT(MAX(('13_VANZARI'!$D$5:$D$1004=$A53)*('13_VANZARI'!$H$5:$H$1004&lt;&gt;"")*'13_VANZARI'!$A$5:$A$1004))),""))</f>
        <v/>
      </c>
      <c r="L53" s="24">
        <f>IF(OR($A53="",$K53=""),"",'09_PARAMETRI'!$B$9-$K53)</f>
        <v/>
      </c>
      <c r="M53" s="24">
        <f>IF($A53="","",SUMPRODUCT(('11_PRODUSE'!$A$5:$A$104&lt;&gt;"")*(SUMIFS('13_VANZARI'!$H$5:$H$1004,'13_VANZARI'!$D$5:$D$1004,$A53,'13_VANZARI'!$E$5:$E$1004,'11_PRODUSE'!$A$5:$A$104,'13_VANZARI'!$A$5:$A$1004,"&gt;="&amp;'09_PARAMETRI'!$B$5,'13_VANZARI'!$A$5:$A$1004,"&lt;="&amp;'09_PARAMETRI'!$B$6)&lt;&gt;0)))</f>
        <v/>
      </c>
      <c r="N53" s="50">
        <f>IF($A53="","",IFERROR(AVERAGEIFS('15_NPS'!$F$5:$F$504,'15_NPS'!$C$5:$C$504,$A53,'15_NPS'!$B$5:$B$504,"&gt;="&amp;'09_PARAMETRI'!$B$5,'15_NPS'!$B$5:$B$504,"&lt;="&amp;'09_PARAMETRI'!$B$6),""))</f>
        <v/>
      </c>
      <c r="O53" s="39">
        <f>IF($A53="","",IF(AND($F53&gt;0,$E53=0),"Client pierdut",IF(AND($L53&lt;&gt;"",$L53&gt;'09_PARAMETRI'!$B$16,$F53&gt;0),"Client dormant",IF(AND($G53&lt;&gt;"",$G53&lt;='09_PARAMETRI'!$B$13),"Scădere de venit",IF(AND($N53&lt;&gt;"",$N53&lt;7),"Detractor activ",IF(AND($E53&gt;0,$J53&gt;'09_PARAMETRI'!$B$19),"Risc concentrare",IF(AND($E53&gt;0,$I53&lt;&gt;"",$I53&lt;'09_PARAMETRI'!$B$15),"Marjă sub referință",IF(AND($G53&lt;&gt;"",$G53&gt;='09_PARAMETRI'!$B$14),"În creștere",IF($E53=0,"Fără activitate","Stabil")))))))))</f>
        <v/>
      </c>
      <c r="P53" s="39">
        <f>IF($A53="","",IF($O53="Risc concentrare","Risc concentrare",IF($O53="Client pierdut","Recuperare client",IF($O53="Client dormant","Reactivare client",IF($O53="Scădere de venit","Recuperare client",IF($O53="Detractor activ","Recuperare NPS",IF($O53="Marjă sub referință","Marjă / preț",IF($O53="În creștere","Up-sell",IF($O53="Fără activitate","Reactivare client","Cross-sell")))))))))</f>
        <v/>
      </c>
      <c r="Q53" s="24">
        <f>IF($A53="","",IFERROR(IF($O53="Scădere de venit",MAX(0,$F53-$E53),IF(OR($O53="Client pierdut",$O53="Client dormant",$O53="Fără activitate"),$F53,IF($O53="Marjă sub referință",MAX(0,$E53*('09_PARAMETRI'!$B$15-$I53)),$E53*0.15))),""))</f>
        <v/>
      </c>
      <c r="R53" s="48">
        <f>IF(OR($A53="",$E53="",N($E53)&lt;=0),"",$E53+ROW()/1000000)</f>
        <v/>
      </c>
    </row>
    <row r="54">
      <c r="A54" s="39">
        <f>IF('10_CLIENTI'!$A54="","",'10_CLIENTI'!$A54)</f>
        <v/>
      </c>
      <c r="B54" s="39">
        <f>IF($A54="","",IFERROR(INDEX('10_CLIENTI'!$B$5:$B$204,MATCH($A54,'10_CLIENTI'!$A$5:$A$204,0)),""))</f>
        <v/>
      </c>
      <c r="C54" s="39">
        <f>IF($A54="","",IFERROR(INDEX('10_CLIENTI'!$C$5:$C$204,MATCH($A54,'10_CLIENTI'!$A$5:$A$204,0)),""))</f>
        <v/>
      </c>
      <c r="D54" s="39">
        <f>IF($A54="","",IFERROR(INDEX('10_CLIENTI'!$G$5:$G$204,MATCH($A54,'10_CLIENTI'!$A$5:$A$204,0)),""))</f>
        <v/>
      </c>
      <c r="E54" s="24">
        <f>IF($A54="","",SUMIFS('13_VANZARI'!$H$5:$H$1004,'13_VANZARI'!$D$5:$D$1004,$A54,'13_VANZARI'!$A$5:$A$1004,"&gt;="&amp;'09_PARAMETRI'!$B$5,'13_VANZARI'!$A$5:$A$1004,"&lt;="&amp;'09_PARAMETRI'!$B$6))</f>
        <v/>
      </c>
      <c r="F54" s="24">
        <f>IF($A54="","",SUMIFS('13_VANZARI'!$H$5:$H$1004,'13_VANZARI'!$D$5:$D$1004,$A54,'13_VANZARI'!$A$5:$A$1004,"&gt;="&amp;'09_PARAMETRI'!$B$7,'13_VANZARI'!$A$5:$A$1004,"&lt;="&amp;'09_PARAMETRI'!$B$8))</f>
        <v/>
      </c>
      <c r="G54" s="25">
        <f>IF($A54="","",IFERROR(IF($F54=0,"",($E54-$F54)/ABS($F54)),""))</f>
        <v/>
      </c>
      <c r="H54" s="24">
        <f>IF($A54="","",SUMIFS('13_VANZARI'!$K$5:$K$1004,'13_VANZARI'!$D$5:$D$1004,$A54,'13_VANZARI'!$A$5:$A$1004,"&gt;="&amp;'09_PARAMETRI'!$B$5,'13_VANZARI'!$A$5:$A$1004,"&lt;="&amp;'09_PARAMETRI'!$B$6))</f>
        <v/>
      </c>
      <c r="I54" s="25">
        <f>IF($A54="","",IFERROR($H54/$E54,""))</f>
        <v/>
      </c>
      <c r="J54" s="25">
        <f>IF($A54="","",IFERROR($E54/SUMIFS('13_VANZARI'!$H$5:$H$1004,'13_VANZARI'!$A$5:$A$1004,"&gt;="&amp;'09_PARAMETRI'!$B$5,'13_VANZARI'!$A$5:$A$1004,"&lt;="&amp;'09_PARAMETRI'!$B$6),""))</f>
        <v/>
      </c>
      <c r="K54" s="36">
        <f>IF($A54="","",IFERROR(IF(SUMPRODUCT(MAX(('13_VANZARI'!$D$5:$D$1004=$A54)*('13_VANZARI'!$H$5:$H$1004&lt;&gt;"")*'13_VANZARI'!$A$5:$A$1004))=0,"",SUMPRODUCT(MAX(('13_VANZARI'!$D$5:$D$1004=$A54)*('13_VANZARI'!$H$5:$H$1004&lt;&gt;"")*'13_VANZARI'!$A$5:$A$1004))),""))</f>
        <v/>
      </c>
      <c r="L54" s="24">
        <f>IF(OR($A54="",$K54=""),"",'09_PARAMETRI'!$B$9-$K54)</f>
        <v/>
      </c>
      <c r="M54" s="24">
        <f>IF($A54="","",SUMPRODUCT(('11_PRODUSE'!$A$5:$A$104&lt;&gt;"")*(SUMIFS('13_VANZARI'!$H$5:$H$1004,'13_VANZARI'!$D$5:$D$1004,$A54,'13_VANZARI'!$E$5:$E$1004,'11_PRODUSE'!$A$5:$A$104,'13_VANZARI'!$A$5:$A$1004,"&gt;="&amp;'09_PARAMETRI'!$B$5,'13_VANZARI'!$A$5:$A$1004,"&lt;="&amp;'09_PARAMETRI'!$B$6)&lt;&gt;0)))</f>
        <v/>
      </c>
      <c r="N54" s="50">
        <f>IF($A54="","",IFERROR(AVERAGEIFS('15_NPS'!$F$5:$F$504,'15_NPS'!$C$5:$C$504,$A54,'15_NPS'!$B$5:$B$504,"&gt;="&amp;'09_PARAMETRI'!$B$5,'15_NPS'!$B$5:$B$504,"&lt;="&amp;'09_PARAMETRI'!$B$6),""))</f>
        <v/>
      </c>
      <c r="O54" s="39">
        <f>IF($A54="","",IF(AND($F54&gt;0,$E54=0),"Client pierdut",IF(AND($L54&lt;&gt;"",$L54&gt;'09_PARAMETRI'!$B$16,$F54&gt;0),"Client dormant",IF(AND($G54&lt;&gt;"",$G54&lt;='09_PARAMETRI'!$B$13),"Scădere de venit",IF(AND($N54&lt;&gt;"",$N54&lt;7),"Detractor activ",IF(AND($E54&gt;0,$J54&gt;'09_PARAMETRI'!$B$19),"Risc concentrare",IF(AND($E54&gt;0,$I54&lt;&gt;"",$I54&lt;'09_PARAMETRI'!$B$15),"Marjă sub referință",IF(AND($G54&lt;&gt;"",$G54&gt;='09_PARAMETRI'!$B$14),"În creștere",IF($E54=0,"Fără activitate","Stabil")))))))))</f>
        <v/>
      </c>
      <c r="P54" s="39">
        <f>IF($A54="","",IF($O54="Risc concentrare","Risc concentrare",IF($O54="Client pierdut","Recuperare client",IF($O54="Client dormant","Reactivare client",IF($O54="Scădere de venit","Recuperare client",IF($O54="Detractor activ","Recuperare NPS",IF($O54="Marjă sub referință","Marjă / preț",IF($O54="În creștere","Up-sell",IF($O54="Fără activitate","Reactivare client","Cross-sell")))))))))</f>
        <v/>
      </c>
      <c r="Q54" s="24">
        <f>IF($A54="","",IFERROR(IF($O54="Scădere de venit",MAX(0,$F54-$E54),IF(OR($O54="Client pierdut",$O54="Client dormant",$O54="Fără activitate"),$F54,IF($O54="Marjă sub referință",MAX(0,$E54*('09_PARAMETRI'!$B$15-$I54)),$E54*0.15))),""))</f>
        <v/>
      </c>
      <c r="R54" s="48">
        <f>IF(OR($A54="",$E54="",N($E54)&lt;=0),"",$E54+ROW()/1000000)</f>
        <v/>
      </c>
    </row>
    <row r="55">
      <c r="A55" s="39">
        <f>IF('10_CLIENTI'!$A55="","",'10_CLIENTI'!$A55)</f>
        <v/>
      </c>
      <c r="B55" s="39">
        <f>IF($A55="","",IFERROR(INDEX('10_CLIENTI'!$B$5:$B$204,MATCH($A55,'10_CLIENTI'!$A$5:$A$204,0)),""))</f>
        <v/>
      </c>
      <c r="C55" s="39">
        <f>IF($A55="","",IFERROR(INDEX('10_CLIENTI'!$C$5:$C$204,MATCH($A55,'10_CLIENTI'!$A$5:$A$204,0)),""))</f>
        <v/>
      </c>
      <c r="D55" s="39">
        <f>IF($A55="","",IFERROR(INDEX('10_CLIENTI'!$G$5:$G$204,MATCH($A55,'10_CLIENTI'!$A$5:$A$204,0)),""))</f>
        <v/>
      </c>
      <c r="E55" s="24">
        <f>IF($A55="","",SUMIFS('13_VANZARI'!$H$5:$H$1004,'13_VANZARI'!$D$5:$D$1004,$A55,'13_VANZARI'!$A$5:$A$1004,"&gt;="&amp;'09_PARAMETRI'!$B$5,'13_VANZARI'!$A$5:$A$1004,"&lt;="&amp;'09_PARAMETRI'!$B$6))</f>
        <v/>
      </c>
      <c r="F55" s="24">
        <f>IF($A55="","",SUMIFS('13_VANZARI'!$H$5:$H$1004,'13_VANZARI'!$D$5:$D$1004,$A55,'13_VANZARI'!$A$5:$A$1004,"&gt;="&amp;'09_PARAMETRI'!$B$7,'13_VANZARI'!$A$5:$A$1004,"&lt;="&amp;'09_PARAMETRI'!$B$8))</f>
        <v/>
      </c>
      <c r="G55" s="25">
        <f>IF($A55="","",IFERROR(IF($F55=0,"",($E55-$F55)/ABS($F55)),""))</f>
        <v/>
      </c>
      <c r="H55" s="24">
        <f>IF($A55="","",SUMIFS('13_VANZARI'!$K$5:$K$1004,'13_VANZARI'!$D$5:$D$1004,$A55,'13_VANZARI'!$A$5:$A$1004,"&gt;="&amp;'09_PARAMETRI'!$B$5,'13_VANZARI'!$A$5:$A$1004,"&lt;="&amp;'09_PARAMETRI'!$B$6))</f>
        <v/>
      </c>
      <c r="I55" s="25">
        <f>IF($A55="","",IFERROR($H55/$E55,""))</f>
        <v/>
      </c>
      <c r="J55" s="25">
        <f>IF($A55="","",IFERROR($E55/SUMIFS('13_VANZARI'!$H$5:$H$1004,'13_VANZARI'!$A$5:$A$1004,"&gt;="&amp;'09_PARAMETRI'!$B$5,'13_VANZARI'!$A$5:$A$1004,"&lt;="&amp;'09_PARAMETRI'!$B$6),""))</f>
        <v/>
      </c>
      <c r="K55" s="36">
        <f>IF($A55="","",IFERROR(IF(SUMPRODUCT(MAX(('13_VANZARI'!$D$5:$D$1004=$A55)*('13_VANZARI'!$H$5:$H$1004&lt;&gt;"")*'13_VANZARI'!$A$5:$A$1004))=0,"",SUMPRODUCT(MAX(('13_VANZARI'!$D$5:$D$1004=$A55)*('13_VANZARI'!$H$5:$H$1004&lt;&gt;"")*'13_VANZARI'!$A$5:$A$1004))),""))</f>
        <v/>
      </c>
      <c r="L55" s="24">
        <f>IF(OR($A55="",$K55=""),"",'09_PARAMETRI'!$B$9-$K55)</f>
        <v/>
      </c>
      <c r="M55" s="24">
        <f>IF($A55="","",SUMPRODUCT(('11_PRODUSE'!$A$5:$A$104&lt;&gt;"")*(SUMIFS('13_VANZARI'!$H$5:$H$1004,'13_VANZARI'!$D$5:$D$1004,$A55,'13_VANZARI'!$E$5:$E$1004,'11_PRODUSE'!$A$5:$A$104,'13_VANZARI'!$A$5:$A$1004,"&gt;="&amp;'09_PARAMETRI'!$B$5,'13_VANZARI'!$A$5:$A$1004,"&lt;="&amp;'09_PARAMETRI'!$B$6)&lt;&gt;0)))</f>
        <v/>
      </c>
      <c r="N55" s="50">
        <f>IF($A55="","",IFERROR(AVERAGEIFS('15_NPS'!$F$5:$F$504,'15_NPS'!$C$5:$C$504,$A55,'15_NPS'!$B$5:$B$504,"&gt;="&amp;'09_PARAMETRI'!$B$5,'15_NPS'!$B$5:$B$504,"&lt;="&amp;'09_PARAMETRI'!$B$6),""))</f>
        <v/>
      </c>
      <c r="O55" s="39">
        <f>IF($A55="","",IF(AND($F55&gt;0,$E55=0),"Client pierdut",IF(AND($L55&lt;&gt;"",$L55&gt;'09_PARAMETRI'!$B$16,$F55&gt;0),"Client dormant",IF(AND($G55&lt;&gt;"",$G55&lt;='09_PARAMETRI'!$B$13),"Scădere de venit",IF(AND($N55&lt;&gt;"",$N55&lt;7),"Detractor activ",IF(AND($E55&gt;0,$J55&gt;'09_PARAMETRI'!$B$19),"Risc concentrare",IF(AND($E55&gt;0,$I55&lt;&gt;"",$I55&lt;'09_PARAMETRI'!$B$15),"Marjă sub referință",IF(AND($G55&lt;&gt;"",$G55&gt;='09_PARAMETRI'!$B$14),"În creștere",IF($E55=0,"Fără activitate","Stabil")))))))))</f>
        <v/>
      </c>
      <c r="P55" s="39">
        <f>IF($A55="","",IF($O55="Risc concentrare","Risc concentrare",IF($O55="Client pierdut","Recuperare client",IF($O55="Client dormant","Reactivare client",IF($O55="Scădere de venit","Recuperare client",IF($O55="Detractor activ","Recuperare NPS",IF($O55="Marjă sub referință","Marjă / preț",IF($O55="În creștere","Up-sell",IF($O55="Fără activitate","Reactivare client","Cross-sell")))))))))</f>
        <v/>
      </c>
      <c r="Q55" s="24">
        <f>IF($A55="","",IFERROR(IF($O55="Scădere de venit",MAX(0,$F55-$E55),IF(OR($O55="Client pierdut",$O55="Client dormant",$O55="Fără activitate"),$F55,IF($O55="Marjă sub referință",MAX(0,$E55*('09_PARAMETRI'!$B$15-$I55)),$E55*0.15))),""))</f>
        <v/>
      </c>
      <c r="R55" s="48">
        <f>IF(OR($A55="",$E55="",N($E55)&lt;=0),"",$E55+ROW()/1000000)</f>
        <v/>
      </c>
    </row>
    <row r="56">
      <c r="A56" s="39">
        <f>IF('10_CLIENTI'!$A56="","",'10_CLIENTI'!$A56)</f>
        <v/>
      </c>
      <c r="B56" s="39">
        <f>IF($A56="","",IFERROR(INDEX('10_CLIENTI'!$B$5:$B$204,MATCH($A56,'10_CLIENTI'!$A$5:$A$204,0)),""))</f>
        <v/>
      </c>
      <c r="C56" s="39">
        <f>IF($A56="","",IFERROR(INDEX('10_CLIENTI'!$C$5:$C$204,MATCH($A56,'10_CLIENTI'!$A$5:$A$204,0)),""))</f>
        <v/>
      </c>
      <c r="D56" s="39">
        <f>IF($A56="","",IFERROR(INDEX('10_CLIENTI'!$G$5:$G$204,MATCH($A56,'10_CLIENTI'!$A$5:$A$204,0)),""))</f>
        <v/>
      </c>
      <c r="E56" s="24">
        <f>IF($A56="","",SUMIFS('13_VANZARI'!$H$5:$H$1004,'13_VANZARI'!$D$5:$D$1004,$A56,'13_VANZARI'!$A$5:$A$1004,"&gt;="&amp;'09_PARAMETRI'!$B$5,'13_VANZARI'!$A$5:$A$1004,"&lt;="&amp;'09_PARAMETRI'!$B$6))</f>
        <v/>
      </c>
      <c r="F56" s="24">
        <f>IF($A56="","",SUMIFS('13_VANZARI'!$H$5:$H$1004,'13_VANZARI'!$D$5:$D$1004,$A56,'13_VANZARI'!$A$5:$A$1004,"&gt;="&amp;'09_PARAMETRI'!$B$7,'13_VANZARI'!$A$5:$A$1004,"&lt;="&amp;'09_PARAMETRI'!$B$8))</f>
        <v/>
      </c>
      <c r="G56" s="25">
        <f>IF($A56="","",IFERROR(IF($F56=0,"",($E56-$F56)/ABS($F56)),""))</f>
        <v/>
      </c>
      <c r="H56" s="24">
        <f>IF($A56="","",SUMIFS('13_VANZARI'!$K$5:$K$1004,'13_VANZARI'!$D$5:$D$1004,$A56,'13_VANZARI'!$A$5:$A$1004,"&gt;="&amp;'09_PARAMETRI'!$B$5,'13_VANZARI'!$A$5:$A$1004,"&lt;="&amp;'09_PARAMETRI'!$B$6))</f>
        <v/>
      </c>
      <c r="I56" s="25">
        <f>IF($A56="","",IFERROR($H56/$E56,""))</f>
        <v/>
      </c>
      <c r="J56" s="25">
        <f>IF($A56="","",IFERROR($E56/SUMIFS('13_VANZARI'!$H$5:$H$1004,'13_VANZARI'!$A$5:$A$1004,"&gt;="&amp;'09_PARAMETRI'!$B$5,'13_VANZARI'!$A$5:$A$1004,"&lt;="&amp;'09_PARAMETRI'!$B$6),""))</f>
        <v/>
      </c>
      <c r="K56" s="36">
        <f>IF($A56="","",IFERROR(IF(SUMPRODUCT(MAX(('13_VANZARI'!$D$5:$D$1004=$A56)*('13_VANZARI'!$H$5:$H$1004&lt;&gt;"")*'13_VANZARI'!$A$5:$A$1004))=0,"",SUMPRODUCT(MAX(('13_VANZARI'!$D$5:$D$1004=$A56)*('13_VANZARI'!$H$5:$H$1004&lt;&gt;"")*'13_VANZARI'!$A$5:$A$1004))),""))</f>
        <v/>
      </c>
      <c r="L56" s="24">
        <f>IF(OR($A56="",$K56=""),"",'09_PARAMETRI'!$B$9-$K56)</f>
        <v/>
      </c>
      <c r="M56" s="24">
        <f>IF($A56="","",SUMPRODUCT(('11_PRODUSE'!$A$5:$A$104&lt;&gt;"")*(SUMIFS('13_VANZARI'!$H$5:$H$1004,'13_VANZARI'!$D$5:$D$1004,$A56,'13_VANZARI'!$E$5:$E$1004,'11_PRODUSE'!$A$5:$A$104,'13_VANZARI'!$A$5:$A$1004,"&gt;="&amp;'09_PARAMETRI'!$B$5,'13_VANZARI'!$A$5:$A$1004,"&lt;="&amp;'09_PARAMETRI'!$B$6)&lt;&gt;0)))</f>
        <v/>
      </c>
      <c r="N56" s="50">
        <f>IF($A56="","",IFERROR(AVERAGEIFS('15_NPS'!$F$5:$F$504,'15_NPS'!$C$5:$C$504,$A56,'15_NPS'!$B$5:$B$504,"&gt;="&amp;'09_PARAMETRI'!$B$5,'15_NPS'!$B$5:$B$504,"&lt;="&amp;'09_PARAMETRI'!$B$6),""))</f>
        <v/>
      </c>
      <c r="O56" s="39">
        <f>IF($A56="","",IF(AND($F56&gt;0,$E56=0),"Client pierdut",IF(AND($L56&lt;&gt;"",$L56&gt;'09_PARAMETRI'!$B$16,$F56&gt;0),"Client dormant",IF(AND($G56&lt;&gt;"",$G56&lt;='09_PARAMETRI'!$B$13),"Scădere de venit",IF(AND($N56&lt;&gt;"",$N56&lt;7),"Detractor activ",IF(AND($E56&gt;0,$J56&gt;'09_PARAMETRI'!$B$19),"Risc concentrare",IF(AND($E56&gt;0,$I56&lt;&gt;"",$I56&lt;'09_PARAMETRI'!$B$15),"Marjă sub referință",IF(AND($G56&lt;&gt;"",$G56&gt;='09_PARAMETRI'!$B$14),"În creștere",IF($E56=0,"Fără activitate","Stabil")))))))))</f>
        <v/>
      </c>
      <c r="P56" s="39">
        <f>IF($A56="","",IF($O56="Risc concentrare","Risc concentrare",IF($O56="Client pierdut","Recuperare client",IF($O56="Client dormant","Reactivare client",IF($O56="Scădere de venit","Recuperare client",IF($O56="Detractor activ","Recuperare NPS",IF($O56="Marjă sub referință","Marjă / preț",IF($O56="În creștere","Up-sell",IF($O56="Fără activitate","Reactivare client","Cross-sell")))))))))</f>
        <v/>
      </c>
      <c r="Q56" s="24">
        <f>IF($A56="","",IFERROR(IF($O56="Scădere de venit",MAX(0,$F56-$E56),IF(OR($O56="Client pierdut",$O56="Client dormant",$O56="Fără activitate"),$F56,IF($O56="Marjă sub referință",MAX(0,$E56*('09_PARAMETRI'!$B$15-$I56)),$E56*0.15))),""))</f>
        <v/>
      </c>
      <c r="R56" s="48">
        <f>IF(OR($A56="",$E56="",N($E56)&lt;=0),"",$E56+ROW()/1000000)</f>
        <v/>
      </c>
    </row>
    <row r="57">
      <c r="A57" s="39">
        <f>IF('10_CLIENTI'!$A57="","",'10_CLIENTI'!$A57)</f>
        <v/>
      </c>
      <c r="B57" s="39">
        <f>IF($A57="","",IFERROR(INDEX('10_CLIENTI'!$B$5:$B$204,MATCH($A57,'10_CLIENTI'!$A$5:$A$204,0)),""))</f>
        <v/>
      </c>
      <c r="C57" s="39">
        <f>IF($A57="","",IFERROR(INDEX('10_CLIENTI'!$C$5:$C$204,MATCH($A57,'10_CLIENTI'!$A$5:$A$204,0)),""))</f>
        <v/>
      </c>
      <c r="D57" s="39">
        <f>IF($A57="","",IFERROR(INDEX('10_CLIENTI'!$G$5:$G$204,MATCH($A57,'10_CLIENTI'!$A$5:$A$204,0)),""))</f>
        <v/>
      </c>
      <c r="E57" s="24">
        <f>IF($A57="","",SUMIFS('13_VANZARI'!$H$5:$H$1004,'13_VANZARI'!$D$5:$D$1004,$A57,'13_VANZARI'!$A$5:$A$1004,"&gt;="&amp;'09_PARAMETRI'!$B$5,'13_VANZARI'!$A$5:$A$1004,"&lt;="&amp;'09_PARAMETRI'!$B$6))</f>
        <v/>
      </c>
      <c r="F57" s="24">
        <f>IF($A57="","",SUMIFS('13_VANZARI'!$H$5:$H$1004,'13_VANZARI'!$D$5:$D$1004,$A57,'13_VANZARI'!$A$5:$A$1004,"&gt;="&amp;'09_PARAMETRI'!$B$7,'13_VANZARI'!$A$5:$A$1004,"&lt;="&amp;'09_PARAMETRI'!$B$8))</f>
        <v/>
      </c>
      <c r="G57" s="25">
        <f>IF($A57="","",IFERROR(IF($F57=0,"",($E57-$F57)/ABS($F57)),""))</f>
        <v/>
      </c>
      <c r="H57" s="24">
        <f>IF($A57="","",SUMIFS('13_VANZARI'!$K$5:$K$1004,'13_VANZARI'!$D$5:$D$1004,$A57,'13_VANZARI'!$A$5:$A$1004,"&gt;="&amp;'09_PARAMETRI'!$B$5,'13_VANZARI'!$A$5:$A$1004,"&lt;="&amp;'09_PARAMETRI'!$B$6))</f>
        <v/>
      </c>
      <c r="I57" s="25">
        <f>IF($A57="","",IFERROR($H57/$E57,""))</f>
        <v/>
      </c>
      <c r="J57" s="25">
        <f>IF($A57="","",IFERROR($E57/SUMIFS('13_VANZARI'!$H$5:$H$1004,'13_VANZARI'!$A$5:$A$1004,"&gt;="&amp;'09_PARAMETRI'!$B$5,'13_VANZARI'!$A$5:$A$1004,"&lt;="&amp;'09_PARAMETRI'!$B$6),""))</f>
        <v/>
      </c>
      <c r="K57" s="36">
        <f>IF($A57="","",IFERROR(IF(SUMPRODUCT(MAX(('13_VANZARI'!$D$5:$D$1004=$A57)*('13_VANZARI'!$H$5:$H$1004&lt;&gt;"")*'13_VANZARI'!$A$5:$A$1004))=0,"",SUMPRODUCT(MAX(('13_VANZARI'!$D$5:$D$1004=$A57)*('13_VANZARI'!$H$5:$H$1004&lt;&gt;"")*'13_VANZARI'!$A$5:$A$1004))),""))</f>
        <v/>
      </c>
      <c r="L57" s="24">
        <f>IF(OR($A57="",$K57=""),"",'09_PARAMETRI'!$B$9-$K57)</f>
        <v/>
      </c>
      <c r="M57" s="24">
        <f>IF($A57="","",SUMPRODUCT(('11_PRODUSE'!$A$5:$A$104&lt;&gt;"")*(SUMIFS('13_VANZARI'!$H$5:$H$1004,'13_VANZARI'!$D$5:$D$1004,$A57,'13_VANZARI'!$E$5:$E$1004,'11_PRODUSE'!$A$5:$A$104,'13_VANZARI'!$A$5:$A$1004,"&gt;="&amp;'09_PARAMETRI'!$B$5,'13_VANZARI'!$A$5:$A$1004,"&lt;="&amp;'09_PARAMETRI'!$B$6)&lt;&gt;0)))</f>
        <v/>
      </c>
      <c r="N57" s="50">
        <f>IF($A57="","",IFERROR(AVERAGEIFS('15_NPS'!$F$5:$F$504,'15_NPS'!$C$5:$C$504,$A57,'15_NPS'!$B$5:$B$504,"&gt;="&amp;'09_PARAMETRI'!$B$5,'15_NPS'!$B$5:$B$504,"&lt;="&amp;'09_PARAMETRI'!$B$6),""))</f>
        <v/>
      </c>
      <c r="O57" s="39">
        <f>IF($A57="","",IF(AND($F57&gt;0,$E57=0),"Client pierdut",IF(AND($L57&lt;&gt;"",$L57&gt;'09_PARAMETRI'!$B$16,$F57&gt;0),"Client dormant",IF(AND($G57&lt;&gt;"",$G57&lt;='09_PARAMETRI'!$B$13),"Scădere de venit",IF(AND($N57&lt;&gt;"",$N57&lt;7),"Detractor activ",IF(AND($E57&gt;0,$J57&gt;'09_PARAMETRI'!$B$19),"Risc concentrare",IF(AND($E57&gt;0,$I57&lt;&gt;"",$I57&lt;'09_PARAMETRI'!$B$15),"Marjă sub referință",IF(AND($G57&lt;&gt;"",$G57&gt;='09_PARAMETRI'!$B$14),"În creștere",IF($E57=0,"Fără activitate","Stabil")))))))))</f>
        <v/>
      </c>
      <c r="P57" s="39">
        <f>IF($A57="","",IF($O57="Risc concentrare","Risc concentrare",IF($O57="Client pierdut","Recuperare client",IF($O57="Client dormant","Reactivare client",IF($O57="Scădere de venit","Recuperare client",IF($O57="Detractor activ","Recuperare NPS",IF($O57="Marjă sub referință","Marjă / preț",IF($O57="În creștere","Up-sell",IF($O57="Fără activitate","Reactivare client","Cross-sell")))))))))</f>
        <v/>
      </c>
      <c r="Q57" s="24">
        <f>IF($A57="","",IFERROR(IF($O57="Scădere de venit",MAX(0,$F57-$E57),IF(OR($O57="Client pierdut",$O57="Client dormant",$O57="Fără activitate"),$F57,IF($O57="Marjă sub referință",MAX(0,$E57*('09_PARAMETRI'!$B$15-$I57)),$E57*0.15))),""))</f>
        <v/>
      </c>
      <c r="R57" s="48">
        <f>IF(OR($A57="",$E57="",N($E57)&lt;=0),"",$E57+ROW()/1000000)</f>
        <v/>
      </c>
    </row>
    <row r="58">
      <c r="A58" s="39">
        <f>IF('10_CLIENTI'!$A58="","",'10_CLIENTI'!$A58)</f>
        <v/>
      </c>
      <c r="B58" s="39">
        <f>IF($A58="","",IFERROR(INDEX('10_CLIENTI'!$B$5:$B$204,MATCH($A58,'10_CLIENTI'!$A$5:$A$204,0)),""))</f>
        <v/>
      </c>
      <c r="C58" s="39">
        <f>IF($A58="","",IFERROR(INDEX('10_CLIENTI'!$C$5:$C$204,MATCH($A58,'10_CLIENTI'!$A$5:$A$204,0)),""))</f>
        <v/>
      </c>
      <c r="D58" s="39">
        <f>IF($A58="","",IFERROR(INDEX('10_CLIENTI'!$G$5:$G$204,MATCH($A58,'10_CLIENTI'!$A$5:$A$204,0)),""))</f>
        <v/>
      </c>
      <c r="E58" s="24">
        <f>IF($A58="","",SUMIFS('13_VANZARI'!$H$5:$H$1004,'13_VANZARI'!$D$5:$D$1004,$A58,'13_VANZARI'!$A$5:$A$1004,"&gt;="&amp;'09_PARAMETRI'!$B$5,'13_VANZARI'!$A$5:$A$1004,"&lt;="&amp;'09_PARAMETRI'!$B$6))</f>
        <v/>
      </c>
      <c r="F58" s="24">
        <f>IF($A58="","",SUMIFS('13_VANZARI'!$H$5:$H$1004,'13_VANZARI'!$D$5:$D$1004,$A58,'13_VANZARI'!$A$5:$A$1004,"&gt;="&amp;'09_PARAMETRI'!$B$7,'13_VANZARI'!$A$5:$A$1004,"&lt;="&amp;'09_PARAMETRI'!$B$8))</f>
        <v/>
      </c>
      <c r="G58" s="25">
        <f>IF($A58="","",IFERROR(IF($F58=0,"",($E58-$F58)/ABS($F58)),""))</f>
        <v/>
      </c>
      <c r="H58" s="24">
        <f>IF($A58="","",SUMIFS('13_VANZARI'!$K$5:$K$1004,'13_VANZARI'!$D$5:$D$1004,$A58,'13_VANZARI'!$A$5:$A$1004,"&gt;="&amp;'09_PARAMETRI'!$B$5,'13_VANZARI'!$A$5:$A$1004,"&lt;="&amp;'09_PARAMETRI'!$B$6))</f>
        <v/>
      </c>
      <c r="I58" s="25">
        <f>IF($A58="","",IFERROR($H58/$E58,""))</f>
        <v/>
      </c>
      <c r="J58" s="25">
        <f>IF($A58="","",IFERROR($E58/SUMIFS('13_VANZARI'!$H$5:$H$1004,'13_VANZARI'!$A$5:$A$1004,"&gt;="&amp;'09_PARAMETRI'!$B$5,'13_VANZARI'!$A$5:$A$1004,"&lt;="&amp;'09_PARAMETRI'!$B$6),""))</f>
        <v/>
      </c>
      <c r="K58" s="36">
        <f>IF($A58="","",IFERROR(IF(SUMPRODUCT(MAX(('13_VANZARI'!$D$5:$D$1004=$A58)*('13_VANZARI'!$H$5:$H$1004&lt;&gt;"")*'13_VANZARI'!$A$5:$A$1004))=0,"",SUMPRODUCT(MAX(('13_VANZARI'!$D$5:$D$1004=$A58)*('13_VANZARI'!$H$5:$H$1004&lt;&gt;"")*'13_VANZARI'!$A$5:$A$1004))),""))</f>
        <v/>
      </c>
      <c r="L58" s="24">
        <f>IF(OR($A58="",$K58=""),"",'09_PARAMETRI'!$B$9-$K58)</f>
        <v/>
      </c>
      <c r="M58" s="24">
        <f>IF($A58="","",SUMPRODUCT(('11_PRODUSE'!$A$5:$A$104&lt;&gt;"")*(SUMIFS('13_VANZARI'!$H$5:$H$1004,'13_VANZARI'!$D$5:$D$1004,$A58,'13_VANZARI'!$E$5:$E$1004,'11_PRODUSE'!$A$5:$A$104,'13_VANZARI'!$A$5:$A$1004,"&gt;="&amp;'09_PARAMETRI'!$B$5,'13_VANZARI'!$A$5:$A$1004,"&lt;="&amp;'09_PARAMETRI'!$B$6)&lt;&gt;0)))</f>
        <v/>
      </c>
      <c r="N58" s="50">
        <f>IF($A58="","",IFERROR(AVERAGEIFS('15_NPS'!$F$5:$F$504,'15_NPS'!$C$5:$C$504,$A58,'15_NPS'!$B$5:$B$504,"&gt;="&amp;'09_PARAMETRI'!$B$5,'15_NPS'!$B$5:$B$504,"&lt;="&amp;'09_PARAMETRI'!$B$6),""))</f>
        <v/>
      </c>
      <c r="O58" s="39">
        <f>IF($A58="","",IF(AND($F58&gt;0,$E58=0),"Client pierdut",IF(AND($L58&lt;&gt;"",$L58&gt;'09_PARAMETRI'!$B$16,$F58&gt;0),"Client dormant",IF(AND($G58&lt;&gt;"",$G58&lt;='09_PARAMETRI'!$B$13),"Scădere de venit",IF(AND($N58&lt;&gt;"",$N58&lt;7),"Detractor activ",IF(AND($E58&gt;0,$J58&gt;'09_PARAMETRI'!$B$19),"Risc concentrare",IF(AND($E58&gt;0,$I58&lt;&gt;"",$I58&lt;'09_PARAMETRI'!$B$15),"Marjă sub referință",IF(AND($G58&lt;&gt;"",$G58&gt;='09_PARAMETRI'!$B$14),"În creștere",IF($E58=0,"Fără activitate","Stabil")))))))))</f>
        <v/>
      </c>
      <c r="P58" s="39">
        <f>IF($A58="","",IF($O58="Risc concentrare","Risc concentrare",IF($O58="Client pierdut","Recuperare client",IF($O58="Client dormant","Reactivare client",IF($O58="Scădere de venit","Recuperare client",IF($O58="Detractor activ","Recuperare NPS",IF($O58="Marjă sub referință","Marjă / preț",IF($O58="În creștere","Up-sell",IF($O58="Fără activitate","Reactivare client","Cross-sell")))))))))</f>
        <v/>
      </c>
      <c r="Q58" s="24">
        <f>IF($A58="","",IFERROR(IF($O58="Scădere de venit",MAX(0,$F58-$E58),IF(OR($O58="Client pierdut",$O58="Client dormant",$O58="Fără activitate"),$F58,IF($O58="Marjă sub referință",MAX(0,$E58*('09_PARAMETRI'!$B$15-$I58)),$E58*0.15))),""))</f>
        <v/>
      </c>
      <c r="R58" s="48">
        <f>IF(OR($A58="",$E58="",N($E58)&lt;=0),"",$E58+ROW()/1000000)</f>
        <v/>
      </c>
    </row>
    <row r="59">
      <c r="A59" s="39">
        <f>IF('10_CLIENTI'!$A59="","",'10_CLIENTI'!$A59)</f>
        <v/>
      </c>
      <c r="B59" s="39">
        <f>IF($A59="","",IFERROR(INDEX('10_CLIENTI'!$B$5:$B$204,MATCH($A59,'10_CLIENTI'!$A$5:$A$204,0)),""))</f>
        <v/>
      </c>
      <c r="C59" s="39">
        <f>IF($A59="","",IFERROR(INDEX('10_CLIENTI'!$C$5:$C$204,MATCH($A59,'10_CLIENTI'!$A$5:$A$204,0)),""))</f>
        <v/>
      </c>
      <c r="D59" s="39">
        <f>IF($A59="","",IFERROR(INDEX('10_CLIENTI'!$G$5:$G$204,MATCH($A59,'10_CLIENTI'!$A$5:$A$204,0)),""))</f>
        <v/>
      </c>
      <c r="E59" s="24">
        <f>IF($A59="","",SUMIFS('13_VANZARI'!$H$5:$H$1004,'13_VANZARI'!$D$5:$D$1004,$A59,'13_VANZARI'!$A$5:$A$1004,"&gt;="&amp;'09_PARAMETRI'!$B$5,'13_VANZARI'!$A$5:$A$1004,"&lt;="&amp;'09_PARAMETRI'!$B$6))</f>
        <v/>
      </c>
      <c r="F59" s="24">
        <f>IF($A59="","",SUMIFS('13_VANZARI'!$H$5:$H$1004,'13_VANZARI'!$D$5:$D$1004,$A59,'13_VANZARI'!$A$5:$A$1004,"&gt;="&amp;'09_PARAMETRI'!$B$7,'13_VANZARI'!$A$5:$A$1004,"&lt;="&amp;'09_PARAMETRI'!$B$8))</f>
        <v/>
      </c>
      <c r="G59" s="25">
        <f>IF($A59="","",IFERROR(IF($F59=0,"",($E59-$F59)/ABS($F59)),""))</f>
        <v/>
      </c>
      <c r="H59" s="24">
        <f>IF($A59="","",SUMIFS('13_VANZARI'!$K$5:$K$1004,'13_VANZARI'!$D$5:$D$1004,$A59,'13_VANZARI'!$A$5:$A$1004,"&gt;="&amp;'09_PARAMETRI'!$B$5,'13_VANZARI'!$A$5:$A$1004,"&lt;="&amp;'09_PARAMETRI'!$B$6))</f>
        <v/>
      </c>
      <c r="I59" s="25">
        <f>IF($A59="","",IFERROR($H59/$E59,""))</f>
        <v/>
      </c>
      <c r="J59" s="25">
        <f>IF($A59="","",IFERROR($E59/SUMIFS('13_VANZARI'!$H$5:$H$1004,'13_VANZARI'!$A$5:$A$1004,"&gt;="&amp;'09_PARAMETRI'!$B$5,'13_VANZARI'!$A$5:$A$1004,"&lt;="&amp;'09_PARAMETRI'!$B$6),""))</f>
        <v/>
      </c>
      <c r="K59" s="36">
        <f>IF($A59="","",IFERROR(IF(SUMPRODUCT(MAX(('13_VANZARI'!$D$5:$D$1004=$A59)*('13_VANZARI'!$H$5:$H$1004&lt;&gt;"")*'13_VANZARI'!$A$5:$A$1004))=0,"",SUMPRODUCT(MAX(('13_VANZARI'!$D$5:$D$1004=$A59)*('13_VANZARI'!$H$5:$H$1004&lt;&gt;"")*'13_VANZARI'!$A$5:$A$1004))),""))</f>
        <v/>
      </c>
      <c r="L59" s="24">
        <f>IF(OR($A59="",$K59=""),"",'09_PARAMETRI'!$B$9-$K59)</f>
        <v/>
      </c>
      <c r="M59" s="24">
        <f>IF($A59="","",SUMPRODUCT(('11_PRODUSE'!$A$5:$A$104&lt;&gt;"")*(SUMIFS('13_VANZARI'!$H$5:$H$1004,'13_VANZARI'!$D$5:$D$1004,$A59,'13_VANZARI'!$E$5:$E$1004,'11_PRODUSE'!$A$5:$A$104,'13_VANZARI'!$A$5:$A$1004,"&gt;="&amp;'09_PARAMETRI'!$B$5,'13_VANZARI'!$A$5:$A$1004,"&lt;="&amp;'09_PARAMETRI'!$B$6)&lt;&gt;0)))</f>
        <v/>
      </c>
      <c r="N59" s="50">
        <f>IF($A59="","",IFERROR(AVERAGEIFS('15_NPS'!$F$5:$F$504,'15_NPS'!$C$5:$C$504,$A59,'15_NPS'!$B$5:$B$504,"&gt;="&amp;'09_PARAMETRI'!$B$5,'15_NPS'!$B$5:$B$504,"&lt;="&amp;'09_PARAMETRI'!$B$6),""))</f>
        <v/>
      </c>
      <c r="O59" s="39">
        <f>IF($A59="","",IF(AND($F59&gt;0,$E59=0),"Client pierdut",IF(AND($L59&lt;&gt;"",$L59&gt;'09_PARAMETRI'!$B$16,$F59&gt;0),"Client dormant",IF(AND($G59&lt;&gt;"",$G59&lt;='09_PARAMETRI'!$B$13),"Scădere de venit",IF(AND($N59&lt;&gt;"",$N59&lt;7),"Detractor activ",IF(AND($E59&gt;0,$J59&gt;'09_PARAMETRI'!$B$19),"Risc concentrare",IF(AND($E59&gt;0,$I59&lt;&gt;"",$I59&lt;'09_PARAMETRI'!$B$15),"Marjă sub referință",IF(AND($G59&lt;&gt;"",$G59&gt;='09_PARAMETRI'!$B$14),"În creștere",IF($E59=0,"Fără activitate","Stabil")))))))))</f>
        <v/>
      </c>
      <c r="P59" s="39">
        <f>IF($A59="","",IF($O59="Risc concentrare","Risc concentrare",IF($O59="Client pierdut","Recuperare client",IF($O59="Client dormant","Reactivare client",IF($O59="Scădere de venit","Recuperare client",IF($O59="Detractor activ","Recuperare NPS",IF($O59="Marjă sub referință","Marjă / preț",IF($O59="În creștere","Up-sell",IF($O59="Fără activitate","Reactivare client","Cross-sell")))))))))</f>
        <v/>
      </c>
      <c r="Q59" s="24">
        <f>IF($A59="","",IFERROR(IF($O59="Scădere de venit",MAX(0,$F59-$E59),IF(OR($O59="Client pierdut",$O59="Client dormant",$O59="Fără activitate"),$F59,IF($O59="Marjă sub referință",MAX(0,$E59*('09_PARAMETRI'!$B$15-$I59)),$E59*0.15))),""))</f>
        <v/>
      </c>
      <c r="R59" s="48">
        <f>IF(OR($A59="",$E59="",N($E59)&lt;=0),"",$E59+ROW()/1000000)</f>
        <v/>
      </c>
    </row>
    <row r="60">
      <c r="A60" s="39">
        <f>IF('10_CLIENTI'!$A60="","",'10_CLIENTI'!$A60)</f>
        <v/>
      </c>
      <c r="B60" s="39">
        <f>IF($A60="","",IFERROR(INDEX('10_CLIENTI'!$B$5:$B$204,MATCH($A60,'10_CLIENTI'!$A$5:$A$204,0)),""))</f>
        <v/>
      </c>
      <c r="C60" s="39">
        <f>IF($A60="","",IFERROR(INDEX('10_CLIENTI'!$C$5:$C$204,MATCH($A60,'10_CLIENTI'!$A$5:$A$204,0)),""))</f>
        <v/>
      </c>
      <c r="D60" s="39">
        <f>IF($A60="","",IFERROR(INDEX('10_CLIENTI'!$G$5:$G$204,MATCH($A60,'10_CLIENTI'!$A$5:$A$204,0)),""))</f>
        <v/>
      </c>
      <c r="E60" s="24">
        <f>IF($A60="","",SUMIFS('13_VANZARI'!$H$5:$H$1004,'13_VANZARI'!$D$5:$D$1004,$A60,'13_VANZARI'!$A$5:$A$1004,"&gt;="&amp;'09_PARAMETRI'!$B$5,'13_VANZARI'!$A$5:$A$1004,"&lt;="&amp;'09_PARAMETRI'!$B$6))</f>
        <v/>
      </c>
      <c r="F60" s="24">
        <f>IF($A60="","",SUMIFS('13_VANZARI'!$H$5:$H$1004,'13_VANZARI'!$D$5:$D$1004,$A60,'13_VANZARI'!$A$5:$A$1004,"&gt;="&amp;'09_PARAMETRI'!$B$7,'13_VANZARI'!$A$5:$A$1004,"&lt;="&amp;'09_PARAMETRI'!$B$8))</f>
        <v/>
      </c>
      <c r="G60" s="25">
        <f>IF($A60="","",IFERROR(IF($F60=0,"",($E60-$F60)/ABS($F60)),""))</f>
        <v/>
      </c>
      <c r="H60" s="24">
        <f>IF($A60="","",SUMIFS('13_VANZARI'!$K$5:$K$1004,'13_VANZARI'!$D$5:$D$1004,$A60,'13_VANZARI'!$A$5:$A$1004,"&gt;="&amp;'09_PARAMETRI'!$B$5,'13_VANZARI'!$A$5:$A$1004,"&lt;="&amp;'09_PARAMETRI'!$B$6))</f>
        <v/>
      </c>
      <c r="I60" s="25">
        <f>IF($A60="","",IFERROR($H60/$E60,""))</f>
        <v/>
      </c>
      <c r="J60" s="25">
        <f>IF($A60="","",IFERROR($E60/SUMIFS('13_VANZARI'!$H$5:$H$1004,'13_VANZARI'!$A$5:$A$1004,"&gt;="&amp;'09_PARAMETRI'!$B$5,'13_VANZARI'!$A$5:$A$1004,"&lt;="&amp;'09_PARAMETRI'!$B$6),""))</f>
        <v/>
      </c>
      <c r="K60" s="36">
        <f>IF($A60="","",IFERROR(IF(SUMPRODUCT(MAX(('13_VANZARI'!$D$5:$D$1004=$A60)*('13_VANZARI'!$H$5:$H$1004&lt;&gt;"")*'13_VANZARI'!$A$5:$A$1004))=0,"",SUMPRODUCT(MAX(('13_VANZARI'!$D$5:$D$1004=$A60)*('13_VANZARI'!$H$5:$H$1004&lt;&gt;"")*'13_VANZARI'!$A$5:$A$1004))),""))</f>
        <v/>
      </c>
      <c r="L60" s="24">
        <f>IF(OR($A60="",$K60=""),"",'09_PARAMETRI'!$B$9-$K60)</f>
        <v/>
      </c>
      <c r="M60" s="24">
        <f>IF($A60="","",SUMPRODUCT(('11_PRODUSE'!$A$5:$A$104&lt;&gt;"")*(SUMIFS('13_VANZARI'!$H$5:$H$1004,'13_VANZARI'!$D$5:$D$1004,$A60,'13_VANZARI'!$E$5:$E$1004,'11_PRODUSE'!$A$5:$A$104,'13_VANZARI'!$A$5:$A$1004,"&gt;="&amp;'09_PARAMETRI'!$B$5,'13_VANZARI'!$A$5:$A$1004,"&lt;="&amp;'09_PARAMETRI'!$B$6)&lt;&gt;0)))</f>
        <v/>
      </c>
      <c r="N60" s="50">
        <f>IF($A60="","",IFERROR(AVERAGEIFS('15_NPS'!$F$5:$F$504,'15_NPS'!$C$5:$C$504,$A60,'15_NPS'!$B$5:$B$504,"&gt;="&amp;'09_PARAMETRI'!$B$5,'15_NPS'!$B$5:$B$504,"&lt;="&amp;'09_PARAMETRI'!$B$6),""))</f>
        <v/>
      </c>
      <c r="O60" s="39">
        <f>IF($A60="","",IF(AND($F60&gt;0,$E60=0),"Client pierdut",IF(AND($L60&lt;&gt;"",$L60&gt;'09_PARAMETRI'!$B$16,$F60&gt;0),"Client dormant",IF(AND($G60&lt;&gt;"",$G60&lt;='09_PARAMETRI'!$B$13),"Scădere de venit",IF(AND($N60&lt;&gt;"",$N60&lt;7),"Detractor activ",IF(AND($E60&gt;0,$J60&gt;'09_PARAMETRI'!$B$19),"Risc concentrare",IF(AND($E60&gt;0,$I60&lt;&gt;"",$I60&lt;'09_PARAMETRI'!$B$15),"Marjă sub referință",IF(AND($G60&lt;&gt;"",$G60&gt;='09_PARAMETRI'!$B$14),"În creștere",IF($E60=0,"Fără activitate","Stabil")))))))))</f>
        <v/>
      </c>
      <c r="P60" s="39">
        <f>IF($A60="","",IF($O60="Risc concentrare","Risc concentrare",IF($O60="Client pierdut","Recuperare client",IF($O60="Client dormant","Reactivare client",IF($O60="Scădere de venit","Recuperare client",IF($O60="Detractor activ","Recuperare NPS",IF($O60="Marjă sub referință","Marjă / preț",IF($O60="În creștere","Up-sell",IF($O60="Fără activitate","Reactivare client","Cross-sell")))))))))</f>
        <v/>
      </c>
      <c r="Q60" s="24">
        <f>IF($A60="","",IFERROR(IF($O60="Scădere de venit",MAX(0,$F60-$E60),IF(OR($O60="Client pierdut",$O60="Client dormant",$O60="Fără activitate"),$F60,IF($O60="Marjă sub referință",MAX(0,$E60*('09_PARAMETRI'!$B$15-$I60)),$E60*0.15))),""))</f>
        <v/>
      </c>
      <c r="R60" s="48">
        <f>IF(OR($A60="",$E60="",N($E60)&lt;=0),"",$E60+ROW()/1000000)</f>
        <v/>
      </c>
    </row>
    <row r="61">
      <c r="A61" s="39">
        <f>IF('10_CLIENTI'!$A61="","",'10_CLIENTI'!$A61)</f>
        <v/>
      </c>
      <c r="B61" s="39">
        <f>IF($A61="","",IFERROR(INDEX('10_CLIENTI'!$B$5:$B$204,MATCH($A61,'10_CLIENTI'!$A$5:$A$204,0)),""))</f>
        <v/>
      </c>
      <c r="C61" s="39">
        <f>IF($A61="","",IFERROR(INDEX('10_CLIENTI'!$C$5:$C$204,MATCH($A61,'10_CLIENTI'!$A$5:$A$204,0)),""))</f>
        <v/>
      </c>
      <c r="D61" s="39">
        <f>IF($A61="","",IFERROR(INDEX('10_CLIENTI'!$G$5:$G$204,MATCH($A61,'10_CLIENTI'!$A$5:$A$204,0)),""))</f>
        <v/>
      </c>
      <c r="E61" s="24">
        <f>IF($A61="","",SUMIFS('13_VANZARI'!$H$5:$H$1004,'13_VANZARI'!$D$5:$D$1004,$A61,'13_VANZARI'!$A$5:$A$1004,"&gt;="&amp;'09_PARAMETRI'!$B$5,'13_VANZARI'!$A$5:$A$1004,"&lt;="&amp;'09_PARAMETRI'!$B$6))</f>
        <v/>
      </c>
      <c r="F61" s="24">
        <f>IF($A61="","",SUMIFS('13_VANZARI'!$H$5:$H$1004,'13_VANZARI'!$D$5:$D$1004,$A61,'13_VANZARI'!$A$5:$A$1004,"&gt;="&amp;'09_PARAMETRI'!$B$7,'13_VANZARI'!$A$5:$A$1004,"&lt;="&amp;'09_PARAMETRI'!$B$8))</f>
        <v/>
      </c>
      <c r="G61" s="25">
        <f>IF($A61="","",IFERROR(IF($F61=0,"",($E61-$F61)/ABS($F61)),""))</f>
        <v/>
      </c>
      <c r="H61" s="24">
        <f>IF($A61="","",SUMIFS('13_VANZARI'!$K$5:$K$1004,'13_VANZARI'!$D$5:$D$1004,$A61,'13_VANZARI'!$A$5:$A$1004,"&gt;="&amp;'09_PARAMETRI'!$B$5,'13_VANZARI'!$A$5:$A$1004,"&lt;="&amp;'09_PARAMETRI'!$B$6))</f>
        <v/>
      </c>
      <c r="I61" s="25">
        <f>IF($A61="","",IFERROR($H61/$E61,""))</f>
        <v/>
      </c>
      <c r="J61" s="25">
        <f>IF($A61="","",IFERROR($E61/SUMIFS('13_VANZARI'!$H$5:$H$1004,'13_VANZARI'!$A$5:$A$1004,"&gt;="&amp;'09_PARAMETRI'!$B$5,'13_VANZARI'!$A$5:$A$1004,"&lt;="&amp;'09_PARAMETRI'!$B$6),""))</f>
        <v/>
      </c>
      <c r="K61" s="36">
        <f>IF($A61="","",IFERROR(IF(SUMPRODUCT(MAX(('13_VANZARI'!$D$5:$D$1004=$A61)*('13_VANZARI'!$H$5:$H$1004&lt;&gt;"")*'13_VANZARI'!$A$5:$A$1004))=0,"",SUMPRODUCT(MAX(('13_VANZARI'!$D$5:$D$1004=$A61)*('13_VANZARI'!$H$5:$H$1004&lt;&gt;"")*'13_VANZARI'!$A$5:$A$1004))),""))</f>
        <v/>
      </c>
      <c r="L61" s="24">
        <f>IF(OR($A61="",$K61=""),"",'09_PARAMETRI'!$B$9-$K61)</f>
        <v/>
      </c>
      <c r="M61" s="24">
        <f>IF($A61="","",SUMPRODUCT(('11_PRODUSE'!$A$5:$A$104&lt;&gt;"")*(SUMIFS('13_VANZARI'!$H$5:$H$1004,'13_VANZARI'!$D$5:$D$1004,$A61,'13_VANZARI'!$E$5:$E$1004,'11_PRODUSE'!$A$5:$A$104,'13_VANZARI'!$A$5:$A$1004,"&gt;="&amp;'09_PARAMETRI'!$B$5,'13_VANZARI'!$A$5:$A$1004,"&lt;="&amp;'09_PARAMETRI'!$B$6)&lt;&gt;0)))</f>
        <v/>
      </c>
      <c r="N61" s="50">
        <f>IF($A61="","",IFERROR(AVERAGEIFS('15_NPS'!$F$5:$F$504,'15_NPS'!$C$5:$C$504,$A61,'15_NPS'!$B$5:$B$504,"&gt;="&amp;'09_PARAMETRI'!$B$5,'15_NPS'!$B$5:$B$504,"&lt;="&amp;'09_PARAMETRI'!$B$6),""))</f>
        <v/>
      </c>
      <c r="O61" s="39">
        <f>IF($A61="","",IF(AND($F61&gt;0,$E61=0),"Client pierdut",IF(AND($L61&lt;&gt;"",$L61&gt;'09_PARAMETRI'!$B$16,$F61&gt;0),"Client dormant",IF(AND($G61&lt;&gt;"",$G61&lt;='09_PARAMETRI'!$B$13),"Scădere de venit",IF(AND($N61&lt;&gt;"",$N61&lt;7),"Detractor activ",IF(AND($E61&gt;0,$J61&gt;'09_PARAMETRI'!$B$19),"Risc concentrare",IF(AND($E61&gt;0,$I61&lt;&gt;"",$I61&lt;'09_PARAMETRI'!$B$15),"Marjă sub referință",IF(AND($G61&lt;&gt;"",$G61&gt;='09_PARAMETRI'!$B$14),"În creștere",IF($E61=0,"Fără activitate","Stabil")))))))))</f>
        <v/>
      </c>
      <c r="P61" s="39">
        <f>IF($A61="","",IF($O61="Risc concentrare","Risc concentrare",IF($O61="Client pierdut","Recuperare client",IF($O61="Client dormant","Reactivare client",IF($O61="Scădere de venit","Recuperare client",IF($O61="Detractor activ","Recuperare NPS",IF($O61="Marjă sub referință","Marjă / preț",IF($O61="În creștere","Up-sell",IF($O61="Fără activitate","Reactivare client","Cross-sell")))))))))</f>
        <v/>
      </c>
      <c r="Q61" s="24">
        <f>IF($A61="","",IFERROR(IF($O61="Scădere de venit",MAX(0,$F61-$E61),IF(OR($O61="Client pierdut",$O61="Client dormant",$O61="Fără activitate"),$F61,IF($O61="Marjă sub referință",MAX(0,$E61*('09_PARAMETRI'!$B$15-$I61)),$E61*0.15))),""))</f>
        <v/>
      </c>
      <c r="R61" s="48">
        <f>IF(OR($A61="",$E61="",N($E61)&lt;=0),"",$E61+ROW()/1000000)</f>
        <v/>
      </c>
    </row>
    <row r="62">
      <c r="A62" s="39">
        <f>IF('10_CLIENTI'!$A62="","",'10_CLIENTI'!$A62)</f>
        <v/>
      </c>
      <c r="B62" s="39">
        <f>IF($A62="","",IFERROR(INDEX('10_CLIENTI'!$B$5:$B$204,MATCH($A62,'10_CLIENTI'!$A$5:$A$204,0)),""))</f>
        <v/>
      </c>
      <c r="C62" s="39">
        <f>IF($A62="","",IFERROR(INDEX('10_CLIENTI'!$C$5:$C$204,MATCH($A62,'10_CLIENTI'!$A$5:$A$204,0)),""))</f>
        <v/>
      </c>
      <c r="D62" s="39">
        <f>IF($A62="","",IFERROR(INDEX('10_CLIENTI'!$G$5:$G$204,MATCH($A62,'10_CLIENTI'!$A$5:$A$204,0)),""))</f>
        <v/>
      </c>
      <c r="E62" s="24">
        <f>IF($A62="","",SUMIFS('13_VANZARI'!$H$5:$H$1004,'13_VANZARI'!$D$5:$D$1004,$A62,'13_VANZARI'!$A$5:$A$1004,"&gt;="&amp;'09_PARAMETRI'!$B$5,'13_VANZARI'!$A$5:$A$1004,"&lt;="&amp;'09_PARAMETRI'!$B$6))</f>
        <v/>
      </c>
      <c r="F62" s="24">
        <f>IF($A62="","",SUMIFS('13_VANZARI'!$H$5:$H$1004,'13_VANZARI'!$D$5:$D$1004,$A62,'13_VANZARI'!$A$5:$A$1004,"&gt;="&amp;'09_PARAMETRI'!$B$7,'13_VANZARI'!$A$5:$A$1004,"&lt;="&amp;'09_PARAMETRI'!$B$8))</f>
        <v/>
      </c>
      <c r="G62" s="25">
        <f>IF($A62="","",IFERROR(IF($F62=0,"",($E62-$F62)/ABS($F62)),""))</f>
        <v/>
      </c>
      <c r="H62" s="24">
        <f>IF($A62="","",SUMIFS('13_VANZARI'!$K$5:$K$1004,'13_VANZARI'!$D$5:$D$1004,$A62,'13_VANZARI'!$A$5:$A$1004,"&gt;="&amp;'09_PARAMETRI'!$B$5,'13_VANZARI'!$A$5:$A$1004,"&lt;="&amp;'09_PARAMETRI'!$B$6))</f>
        <v/>
      </c>
      <c r="I62" s="25">
        <f>IF($A62="","",IFERROR($H62/$E62,""))</f>
        <v/>
      </c>
      <c r="J62" s="25">
        <f>IF($A62="","",IFERROR($E62/SUMIFS('13_VANZARI'!$H$5:$H$1004,'13_VANZARI'!$A$5:$A$1004,"&gt;="&amp;'09_PARAMETRI'!$B$5,'13_VANZARI'!$A$5:$A$1004,"&lt;="&amp;'09_PARAMETRI'!$B$6),""))</f>
        <v/>
      </c>
      <c r="K62" s="36">
        <f>IF($A62="","",IFERROR(IF(SUMPRODUCT(MAX(('13_VANZARI'!$D$5:$D$1004=$A62)*('13_VANZARI'!$H$5:$H$1004&lt;&gt;"")*'13_VANZARI'!$A$5:$A$1004))=0,"",SUMPRODUCT(MAX(('13_VANZARI'!$D$5:$D$1004=$A62)*('13_VANZARI'!$H$5:$H$1004&lt;&gt;"")*'13_VANZARI'!$A$5:$A$1004))),""))</f>
        <v/>
      </c>
      <c r="L62" s="24">
        <f>IF(OR($A62="",$K62=""),"",'09_PARAMETRI'!$B$9-$K62)</f>
        <v/>
      </c>
      <c r="M62" s="24">
        <f>IF($A62="","",SUMPRODUCT(('11_PRODUSE'!$A$5:$A$104&lt;&gt;"")*(SUMIFS('13_VANZARI'!$H$5:$H$1004,'13_VANZARI'!$D$5:$D$1004,$A62,'13_VANZARI'!$E$5:$E$1004,'11_PRODUSE'!$A$5:$A$104,'13_VANZARI'!$A$5:$A$1004,"&gt;="&amp;'09_PARAMETRI'!$B$5,'13_VANZARI'!$A$5:$A$1004,"&lt;="&amp;'09_PARAMETRI'!$B$6)&lt;&gt;0)))</f>
        <v/>
      </c>
      <c r="N62" s="50">
        <f>IF($A62="","",IFERROR(AVERAGEIFS('15_NPS'!$F$5:$F$504,'15_NPS'!$C$5:$C$504,$A62,'15_NPS'!$B$5:$B$504,"&gt;="&amp;'09_PARAMETRI'!$B$5,'15_NPS'!$B$5:$B$504,"&lt;="&amp;'09_PARAMETRI'!$B$6),""))</f>
        <v/>
      </c>
      <c r="O62" s="39">
        <f>IF($A62="","",IF(AND($F62&gt;0,$E62=0),"Client pierdut",IF(AND($L62&lt;&gt;"",$L62&gt;'09_PARAMETRI'!$B$16,$F62&gt;0),"Client dormant",IF(AND($G62&lt;&gt;"",$G62&lt;='09_PARAMETRI'!$B$13),"Scădere de venit",IF(AND($N62&lt;&gt;"",$N62&lt;7),"Detractor activ",IF(AND($E62&gt;0,$J62&gt;'09_PARAMETRI'!$B$19),"Risc concentrare",IF(AND($E62&gt;0,$I62&lt;&gt;"",$I62&lt;'09_PARAMETRI'!$B$15),"Marjă sub referință",IF(AND($G62&lt;&gt;"",$G62&gt;='09_PARAMETRI'!$B$14),"În creștere",IF($E62=0,"Fără activitate","Stabil")))))))))</f>
        <v/>
      </c>
      <c r="P62" s="39">
        <f>IF($A62="","",IF($O62="Risc concentrare","Risc concentrare",IF($O62="Client pierdut","Recuperare client",IF($O62="Client dormant","Reactivare client",IF($O62="Scădere de venit","Recuperare client",IF($O62="Detractor activ","Recuperare NPS",IF($O62="Marjă sub referință","Marjă / preț",IF($O62="În creștere","Up-sell",IF($O62="Fără activitate","Reactivare client","Cross-sell")))))))))</f>
        <v/>
      </c>
      <c r="Q62" s="24">
        <f>IF($A62="","",IFERROR(IF($O62="Scădere de venit",MAX(0,$F62-$E62),IF(OR($O62="Client pierdut",$O62="Client dormant",$O62="Fără activitate"),$F62,IF($O62="Marjă sub referință",MAX(0,$E62*('09_PARAMETRI'!$B$15-$I62)),$E62*0.15))),""))</f>
        <v/>
      </c>
      <c r="R62" s="48">
        <f>IF(OR($A62="",$E62="",N($E62)&lt;=0),"",$E62+ROW()/1000000)</f>
        <v/>
      </c>
    </row>
    <row r="63">
      <c r="A63" s="39">
        <f>IF('10_CLIENTI'!$A63="","",'10_CLIENTI'!$A63)</f>
        <v/>
      </c>
      <c r="B63" s="39">
        <f>IF($A63="","",IFERROR(INDEX('10_CLIENTI'!$B$5:$B$204,MATCH($A63,'10_CLIENTI'!$A$5:$A$204,0)),""))</f>
        <v/>
      </c>
      <c r="C63" s="39">
        <f>IF($A63="","",IFERROR(INDEX('10_CLIENTI'!$C$5:$C$204,MATCH($A63,'10_CLIENTI'!$A$5:$A$204,0)),""))</f>
        <v/>
      </c>
      <c r="D63" s="39">
        <f>IF($A63="","",IFERROR(INDEX('10_CLIENTI'!$G$5:$G$204,MATCH($A63,'10_CLIENTI'!$A$5:$A$204,0)),""))</f>
        <v/>
      </c>
      <c r="E63" s="24">
        <f>IF($A63="","",SUMIFS('13_VANZARI'!$H$5:$H$1004,'13_VANZARI'!$D$5:$D$1004,$A63,'13_VANZARI'!$A$5:$A$1004,"&gt;="&amp;'09_PARAMETRI'!$B$5,'13_VANZARI'!$A$5:$A$1004,"&lt;="&amp;'09_PARAMETRI'!$B$6))</f>
        <v/>
      </c>
      <c r="F63" s="24">
        <f>IF($A63="","",SUMIFS('13_VANZARI'!$H$5:$H$1004,'13_VANZARI'!$D$5:$D$1004,$A63,'13_VANZARI'!$A$5:$A$1004,"&gt;="&amp;'09_PARAMETRI'!$B$7,'13_VANZARI'!$A$5:$A$1004,"&lt;="&amp;'09_PARAMETRI'!$B$8))</f>
        <v/>
      </c>
      <c r="G63" s="25">
        <f>IF($A63="","",IFERROR(IF($F63=0,"",($E63-$F63)/ABS($F63)),""))</f>
        <v/>
      </c>
      <c r="H63" s="24">
        <f>IF($A63="","",SUMIFS('13_VANZARI'!$K$5:$K$1004,'13_VANZARI'!$D$5:$D$1004,$A63,'13_VANZARI'!$A$5:$A$1004,"&gt;="&amp;'09_PARAMETRI'!$B$5,'13_VANZARI'!$A$5:$A$1004,"&lt;="&amp;'09_PARAMETRI'!$B$6))</f>
        <v/>
      </c>
      <c r="I63" s="25">
        <f>IF($A63="","",IFERROR($H63/$E63,""))</f>
        <v/>
      </c>
      <c r="J63" s="25">
        <f>IF($A63="","",IFERROR($E63/SUMIFS('13_VANZARI'!$H$5:$H$1004,'13_VANZARI'!$A$5:$A$1004,"&gt;="&amp;'09_PARAMETRI'!$B$5,'13_VANZARI'!$A$5:$A$1004,"&lt;="&amp;'09_PARAMETRI'!$B$6),""))</f>
        <v/>
      </c>
      <c r="K63" s="36">
        <f>IF($A63="","",IFERROR(IF(SUMPRODUCT(MAX(('13_VANZARI'!$D$5:$D$1004=$A63)*('13_VANZARI'!$H$5:$H$1004&lt;&gt;"")*'13_VANZARI'!$A$5:$A$1004))=0,"",SUMPRODUCT(MAX(('13_VANZARI'!$D$5:$D$1004=$A63)*('13_VANZARI'!$H$5:$H$1004&lt;&gt;"")*'13_VANZARI'!$A$5:$A$1004))),""))</f>
        <v/>
      </c>
      <c r="L63" s="24">
        <f>IF(OR($A63="",$K63=""),"",'09_PARAMETRI'!$B$9-$K63)</f>
        <v/>
      </c>
      <c r="M63" s="24">
        <f>IF($A63="","",SUMPRODUCT(('11_PRODUSE'!$A$5:$A$104&lt;&gt;"")*(SUMIFS('13_VANZARI'!$H$5:$H$1004,'13_VANZARI'!$D$5:$D$1004,$A63,'13_VANZARI'!$E$5:$E$1004,'11_PRODUSE'!$A$5:$A$104,'13_VANZARI'!$A$5:$A$1004,"&gt;="&amp;'09_PARAMETRI'!$B$5,'13_VANZARI'!$A$5:$A$1004,"&lt;="&amp;'09_PARAMETRI'!$B$6)&lt;&gt;0)))</f>
        <v/>
      </c>
      <c r="N63" s="50">
        <f>IF($A63="","",IFERROR(AVERAGEIFS('15_NPS'!$F$5:$F$504,'15_NPS'!$C$5:$C$504,$A63,'15_NPS'!$B$5:$B$504,"&gt;="&amp;'09_PARAMETRI'!$B$5,'15_NPS'!$B$5:$B$504,"&lt;="&amp;'09_PARAMETRI'!$B$6),""))</f>
        <v/>
      </c>
      <c r="O63" s="39">
        <f>IF($A63="","",IF(AND($F63&gt;0,$E63=0),"Client pierdut",IF(AND($L63&lt;&gt;"",$L63&gt;'09_PARAMETRI'!$B$16,$F63&gt;0),"Client dormant",IF(AND($G63&lt;&gt;"",$G63&lt;='09_PARAMETRI'!$B$13),"Scădere de venit",IF(AND($N63&lt;&gt;"",$N63&lt;7),"Detractor activ",IF(AND($E63&gt;0,$J63&gt;'09_PARAMETRI'!$B$19),"Risc concentrare",IF(AND($E63&gt;0,$I63&lt;&gt;"",$I63&lt;'09_PARAMETRI'!$B$15),"Marjă sub referință",IF(AND($G63&lt;&gt;"",$G63&gt;='09_PARAMETRI'!$B$14),"În creștere",IF($E63=0,"Fără activitate","Stabil")))))))))</f>
        <v/>
      </c>
      <c r="P63" s="39">
        <f>IF($A63="","",IF($O63="Risc concentrare","Risc concentrare",IF($O63="Client pierdut","Recuperare client",IF($O63="Client dormant","Reactivare client",IF($O63="Scădere de venit","Recuperare client",IF($O63="Detractor activ","Recuperare NPS",IF($O63="Marjă sub referință","Marjă / preț",IF($O63="În creștere","Up-sell",IF($O63="Fără activitate","Reactivare client","Cross-sell")))))))))</f>
        <v/>
      </c>
      <c r="Q63" s="24">
        <f>IF($A63="","",IFERROR(IF($O63="Scădere de venit",MAX(0,$F63-$E63),IF(OR($O63="Client pierdut",$O63="Client dormant",$O63="Fără activitate"),$F63,IF($O63="Marjă sub referință",MAX(0,$E63*('09_PARAMETRI'!$B$15-$I63)),$E63*0.15))),""))</f>
        <v/>
      </c>
      <c r="R63" s="48">
        <f>IF(OR($A63="",$E63="",N($E63)&lt;=0),"",$E63+ROW()/1000000)</f>
        <v/>
      </c>
    </row>
    <row r="64">
      <c r="A64" s="39">
        <f>IF('10_CLIENTI'!$A64="","",'10_CLIENTI'!$A64)</f>
        <v/>
      </c>
      <c r="B64" s="39">
        <f>IF($A64="","",IFERROR(INDEX('10_CLIENTI'!$B$5:$B$204,MATCH($A64,'10_CLIENTI'!$A$5:$A$204,0)),""))</f>
        <v/>
      </c>
      <c r="C64" s="39">
        <f>IF($A64="","",IFERROR(INDEX('10_CLIENTI'!$C$5:$C$204,MATCH($A64,'10_CLIENTI'!$A$5:$A$204,0)),""))</f>
        <v/>
      </c>
      <c r="D64" s="39">
        <f>IF($A64="","",IFERROR(INDEX('10_CLIENTI'!$G$5:$G$204,MATCH($A64,'10_CLIENTI'!$A$5:$A$204,0)),""))</f>
        <v/>
      </c>
      <c r="E64" s="24">
        <f>IF($A64="","",SUMIFS('13_VANZARI'!$H$5:$H$1004,'13_VANZARI'!$D$5:$D$1004,$A64,'13_VANZARI'!$A$5:$A$1004,"&gt;="&amp;'09_PARAMETRI'!$B$5,'13_VANZARI'!$A$5:$A$1004,"&lt;="&amp;'09_PARAMETRI'!$B$6))</f>
        <v/>
      </c>
      <c r="F64" s="24">
        <f>IF($A64="","",SUMIFS('13_VANZARI'!$H$5:$H$1004,'13_VANZARI'!$D$5:$D$1004,$A64,'13_VANZARI'!$A$5:$A$1004,"&gt;="&amp;'09_PARAMETRI'!$B$7,'13_VANZARI'!$A$5:$A$1004,"&lt;="&amp;'09_PARAMETRI'!$B$8))</f>
        <v/>
      </c>
      <c r="G64" s="25">
        <f>IF($A64="","",IFERROR(IF($F64=0,"",($E64-$F64)/ABS($F64)),""))</f>
        <v/>
      </c>
      <c r="H64" s="24">
        <f>IF($A64="","",SUMIFS('13_VANZARI'!$K$5:$K$1004,'13_VANZARI'!$D$5:$D$1004,$A64,'13_VANZARI'!$A$5:$A$1004,"&gt;="&amp;'09_PARAMETRI'!$B$5,'13_VANZARI'!$A$5:$A$1004,"&lt;="&amp;'09_PARAMETRI'!$B$6))</f>
        <v/>
      </c>
      <c r="I64" s="25">
        <f>IF($A64="","",IFERROR($H64/$E64,""))</f>
        <v/>
      </c>
      <c r="J64" s="25">
        <f>IF($A64="","",IFERROR($E64/SUMIFS('13_VANZARI'!$H$5:$H$1004,'13_VANZARI'!$A$5:$A$1004,"&gt;="&amp;'09_PARAMETRI'!$B$5,'13_VANZARI'!$A$5:$A$1004,"&lt;="&amp;'09_PARAMETRI'!$B$6),""))</f>
        <v/>
      </c>
      <c r="K64" s="36">
        <f>IF($A64="","",IFERROR(IF(SUMPRODUCT(MAX(('13_VANZARI'!$D$5:$D$1004=$A64)*('13_VANZARI'!$H$5:$H$1004&lt;&gt;"")*'13_VANZARI'!$A$5:$A$1004))=0,"",SUMPRODUCT(MAX(('13_VANZARI'!$D$5:$D$1004=$A64)*('13_VANZARI'!$H$5:$H$1004&lt;&gt;"")*'13_VANZARI'!$A$5:$A$1004))),""))</f>
        <v/>
      </c>
      <c r="L64" s="24">
        <f>IF(OR($A64="",$K64=""),"",'09_PARAMETRI'!$B$9-$K64)</f>
        <v/>
      </c>
      <c r="M64" s="24">
        <f>IF($A64="","",SUMPRODUCT(('11_PRODUSE'!$A$5:$A$104&lt;&gt;"")*(SUMIFS('13_VANZARI'!$H$5:$H$1004,'13_VANZARI'!$D$5:$D$1004,$A64,'13_VANZARI'!$E$5:$E$1004,'11_PRODUSE'!$A$5:$A$104,'13_VANZARI'!$A$5:$A$1004,"&gt;="&amp;'09_PARAMETRI'!$B$5,'13_VANZARI'!$A$5:$A$1004,"&lt;="&amp;'09_PARAMETRI'!$B$6)&lt;&gt;0)))</f>
        <v/>
      </c>
      <c r="N64" s="50">
        <f>IF($A64="","",IFERROR(AVERAGEIFS('15_NPS'!$F$5:$F$504,'15_NPS'!$C$5:$C$504,$A64,'15_NPS'!$B$5:$B$504,"&gt;="&amp;'09_PARAMETRI'!$B$5,'15_NPS'!$B$5:$B$504,"&lt;="&amp;'09_PARAMETRI'!$B$6),""))</f>
        <v/>
      </c>
      <c r="O64" s="39">
        <f>IF($A64="","",IF(AND($F64&gt;0,$E64=0),"Client pierdut",IF(AND($L64&lt;&gt;"",$L64&gt;'09_PARAMETRI'!$B$16,$F64&gt;0),"Client dormant",IF(AND($G64&lt;&gt;"",$G64&lt;='09_PARAMETRI'!$B$13),"Scădere de venit",IF(AND($N64&lt;&gt;"",$N64&lt;7),"Detractor activ",IF(AND($E64&gt;0,$J64&gt;'09_PARAMETRI'!$B$19),"Risc concentrare",IF(AND($E64&gt;0,$I64&lt;&gt;"",$I64&lt;'09_PARAMETRI'!$B$15),"Marjă sub referință",IF(AND($G64&lt;&gt;"",$G64&gt;='09_PARAMETRI'!$B$14),"În creștere",IF($E64=0,"Fără activitate","Stabil")))))))))</f>
        <v/>
      </c>
      <c r="P64" s="39">
        <f>IF($A64="","",IF($O64="Risc concentrare","Risc concentrare",IF($O64="Client pierdut","Recuperare client",IF($O64="Client dormant","Reactivare client",IF($O64="Scădere de venit","Recuperare client",IF($O64="Detractor activ","Recuperare NPS",IF($O64="Marjă sub referință","Marjă / preț",IF($O64="În creștere","Up-sell",IF($O64="Fără activitate","Reactivare client","Cross-sell")))))))))</f>
        <v/>
      </c>
      <c r="Q64" s="24">
        <f>IF($A64="","",IFERROR(IF($O64="Scădere de venit",MAX(0,$F64-$E64),IF(OR($O64="Client pierdut",$O64="Client dormant",$O64="Fără activitate"),$F64,IF($O64="Marjă sub referință",MAX(0,$E64*('09_PARAMETRI'!$B$15-$I64)),$E64*0.15))),""))</f>
        <v/>
      </c>
      <c r="R64" s="48">
        <f>IF(OR($A64="",$E64="",N($E64)&lt;=0),"",$E64+ROW()/1000000)</f>
        <v/>
      </c>
    </row>
    <row r="65">
      <c r="A65" s="39">
        <f>IF('10_CLIENTI'!$A65="","",'10_CLIENTI'!$A65)</f>
        <v/>
      </c>
      <c r="B65" s="39">
        <f>IF($A65="","",IFERROR(INDEX('10_CLIENTI'!$B$5:$B$204,MATCH($A65,'10_CLIENTI'!$A$5:$A$204,0)),""))</f>
        <v/>
      </c>
      <c r="C65" s="39">
        <f>IF($A65="","",IFERROR(INDEX('10_CLIENTI'!$C$5:$C$204,MATCH($A65,'10_CLIENTI'!$A$5:$A$204,0)),""))</f>
        <v/>
      </c>
      <c r="D65" s="39">
        <f>IF($A65="","",IFERROR(INDEX('10_CLIENTI'!$G$5:$G$204,MATCH($A65,'10_CLIENTI'!$A$5:$A$204,0)),""))</f>
        <v/>
      </c>
      <c r="E65" s="24">
        <f>IF($A65="","",SUMIFS('13_VANZARI'!$H$5:$H$1004,'13_VANZARI'!$D$5:$D$1004,$A65,'13_VANZARI'!$A$5:$A$1004,"&gt;="&amp;'09_PARAMETRI'!$B$5,'13_VANZARI'!$A$5:$A$1004,"&lt;="&amp;'09_PARAMETRI'!$B$6))</f>
        <v/>
      </c>
      <c r="F65" s="24">
        <f>IF($A65="","",SUMIFS('13_VANZARI'!$H$5:$H$1004,'13_VANZARI'!$D$5:$D$1004,$A65,'13_VANZARI'!$A$5:$A$1004,"&gt;="&amp;'09_PARAMETRI'!$B$7,'13_VANZARI'!$A$5:$A$1004,"&lt;="&amp;'09_PARAMETRI'!$B$8))</f>
        <v/>
      </c>
      <c r="G65" s="25">
        <f>IF($A65="","",IFERROR(IF($F65=0,"",($E65-$F65)/ABS($F65)),""))</f>
        <v/>
      </c>
      <c r="H65" s="24">
        <f>IF($A65="","",SUMIFS('13_VANZARI'!$K$5:$K$1004,'13_VANZARI'!$D$5:$D$1004,$A65,'13_VANZARI'!$A$5:$A$1004,"&gt;="&amp;'09_PARAMETRI'!$B$5,'13_VANZARI'!$A$5:$A$1004,"&lt;="&amp;'09_PARAMETRI'!$B$6))</f>
        <v/>
      </c>
      <c r="I65" s="25">
        <f>IF($A65="","",IFERROR($H65/$E65,""))</f>
        <v/>
      </c>
      <c r="J65" s="25">
        <f>IF($A65="","",IFERROR($E65/SUMIFS('13_VANZARI'!$H$5:$H$1004,'13_VANZARI'!$A$5:$A$1004,"&gt;="&amp;'09_PARAMETRI'!$B$5,'13_VANZARI'!$A$5:$A$1004,"&lt;="&amp;'09_PARAMETRI'!$B$6),""))</f>
        <v/>
      </c>
      <c r="K65" s="36">
        <f>IF($A65="","",IFERROR(IF(SUMPRODUCT(MAX(('13_VANZARI'!$D$5:$D$1004=$A65)*('13_VANZARI'!$H$5:$H$1004&lt;&gt;"")*'13_VANZARI'!$A$5:$A$1004))=0,"",SUMPRODUCT(MAX(('13_VANZARI'!$D$5:$D$1004=$A65)*('13_VANZARI'!$H$5:$H$1004&lt;&gt;"")*'13_VANZARI'!$A$5:$A$1004))),""))</f>
        <v/>
      </c>
      <c r="L65" s="24">
        <f>IF(OR($A65="",$K65=""),"",'09_PARAMETRI'!$B$9-$K65)</f>
        <v/>
      </c>
      <c r="M65" s="24">
        <f>IF($A65="","",SUMPRODUCT(('11_PRODUSE'!$A$5:$A$104&lt;&gt;"")*(SUMIFS('13_VANZARI'!$H$5:$H$1004,'13_VANZARI'!$D$5:$D$1004,$A65,'13_VANZARI'!$E$5:$E$1004,'11_PRODUSE'!$A$5:$A$104,'13_VANZARI'!$A$5:$A$1004,"&gt;="&amp;'09_PARAMETRI'!$B$5,'13_VANZARI'!$A$5:$A$1004,"&lt;="&amp;'09_PARAMETRI'!$B$6)&lt;&gt;0)))</f>
        <v/>
      </c>
      <c r="N65" s="50">
        <f>IF($A65="","",IFERROR(AVERAGEIFS('15_NPS'!$F$5:$F$504,'15_NPS'!$C$5:$C$504,$A65,'15_NPS'!$B$5:$B$504,"&gt;="&amp;'09_PARAMETRI'!$B$5,'15_NPS'!$B$5:$B$504,"&lt;="&amp;'09_PARAMETRI'!$B$6),""))</f>
        <v/>
      </c>
      <c r="O65" s="39">
        <f>IF($A65="","",IF(AND($F65&gt;0,$E65=0),"Client pierdut",IF(AND($L65&lt;&gt;"",$L65&gt;'09_PARAMETRI'!$B$16,$F65&gt;0),"Client dormant",IF(AND($G65&lt;&gt;"",$G65&lt;='09_PARAMETRI'!$B$13),"Scădere de venit",IF(AND($N65&lt;&gt;"",$N65&lt;7),"Detractor activ",IF(AND($E65&gt;0,$J65&gt;'09_PARAMETRI'!$B$19),"Risc concentrare",IF(AND($E65&gt;0,$I65&lt;&gt;"",$I65&lt;'09_PARAMETRI'!$B$15),"Marjă sub referință",IF(AND($G65&lt;&gt;"",$G65&gt;='09_PARAMETRI'!$B$14),"În creștere",IF($E65=0,"Fără activitate","Stabil")))))))))</f>
        <v/>
      </c>
      <c r="P65" s="39">
        <f>IF($A65="","",IF($O65="Risc concentrare","Risc concentrare",IF($O65="Client pierdut","Recuperare client",IF($O65="Client dormant","Reactivare client",IF($O65="Scădere de venit","Recuperare client",IF($O65="Detractor activ","Recuperare NPS",IF($O65="Marjă sub referință","Marjă / preț",IF($O65="În creștere","Up-sell",IF($O65="Fără activitate","Reactivare client","Cross-sell")))))))))</f>
        <v/>
      </c>
      <c r="Q65" s="24">
        <f>IF($A65="","",IFERROR(IF($O65="Scădere de venit",MAX(0,$F65-$E65),IF(OR($O65="Client pierdut",$O65="Client dormant",$O65="Fără activitate"),$F65,IF($O65="Marjă sub referință",MAX(0,$E65*('09_PARAMETRI'!$B$15-$I65)),$E65*0.15))),""))</f>
        <v/>
      </c>
      <c r="R65" s="48">
        <f>IF(OR($A65="",$E65="",N($E65)&lt;=0),"",$E65+ROW()/1000000)</f>
        <v/>
      </c>
    </row>
    <row r="66">
      <c r="A66" s="39">
        <f>IF('10_CLIENTI'!$A66="","",'10_CLIENTI'!$A66)</f>
        <v/>
      </c>
      <c r="B66" s="39">
        <f>IF($A66="","",IFERROR(INDEX('10_CLIENTI'!$B$5:$B$204,MATCH($A66,'10_CLIENTI'!$A$5:$A$204,0)),""))</f>
        <v/>
      </c>
      <c r="C66" s="39">
        <f>IF($A66="","",IFERROR(INDEX('10_CLIENTI'!$C$5:$C$204,MATCH($A66,'10_CLIENTI'!$A$5:$A$204,0)),""))</f>
        <v/>
      </c>
      <c r="D66" s="39">
        <f>IF($A66="","",IFERROR(INDEX('10_CLIENTI'!$G$5:$G$204,MATCH($A66,'10_CLIENTI'!$A$5:$A$204,0)),""))</f>
        <v/>
      </c>
      <c r="E66" s="24">
        <f>IF($A66="","",SUMIFS('13_VANZARI'!$H$5:$H$1004,'13_VANZARI'!$D$5:$D$1004,$A66,'13_VANZARI'!$A$5:$A$1004,"&gt;="&amp;'09_PARAMETRI'!$B$5,'13_VANZARI'!$A$5:$A$1004,"&lt;="&amp;'09_PARAMETRI'!$B$6))</f>
        <v/>
      </c>
      <c r="F66" s="24">
        <f>IF($A66="","",SUMIFS('13_VANZARI'!$H$5:$H$1004,'13_VANZARI'!$D$5:$D$1004,$A66,'13_VANZARI'!$A$5:$A$1004,"&gt;="&amp;'09_PARAMETRI'!$B$7,'13_VANZARI'!$A$5:$A$1004,"&lt;="&amp;'09_PARAMETRI'!$B$8))</f>
        <v/>
      </c>
      <c r="G66" s="25">
        <f>IF($A66="","",IFERROR(IF($F66=0,"",($E66-$F66)/ABS($F66)),""))</f>
        <v/>
      </c>
      <c r="H66" s="24">
        <f>IF($A66="","",SUMIFS('13_VANZARI'!$K$5:$K$1004,'13_VANZARI'!$D$5:$D$1004,$A66,'13_VANZARI'!$A$5:$A$1004,"&gt;="&amp;'09_PARAMETRI'!$B$5,'13_VANZARI'!$A$5:$A$1004,"&lt;="&amp;'09_PARAMETRI'!$B$6))</f>
        <v/>
      </c>
      <c r="I66" s="25">
        <f>IF($A66="","",IFERROR($H66/$E66,""))</f>
        <v/>
      </c>
      <c r="J66" s="25">
        <f>IF($A66="","",IFERROR($E66/SUMIFS('13_VANZARI'!$H$5:$H$1004,'13_VANZARI'!$A$5:$A$1004,"&gt;="&amp;'09_PARAMETRI'!$B$5,'13_VANZARI'!$A$5:$A$1004,"&lt;="&amp;'09_PARAMETRI'!$B$6),""))</f>
        <v/>
      </c>
      <c r="K66" s="36">
        <f>IF($A66="","",IFERROR(IF(SUMPRODUCT(MAX(('13_VANZARI'!$D$5:$D$1004=$A66)*('13_VANZARI'!$H$5:$H$1004&lt;&gt;"")*'13_VANZARI'!$A$5:$A$1004))=0,"",SUMPRODUCT(MAX(('13_VANZARI'!$D$5:$D$1004=$A66)*('13_VANZARI'!$H$5:$H$1004&lt;&gt;"")*'13_VANZARI'!$A$5:$A$1004))),""))</f>
        <v/>
      </c>
      <c r="L66" s="24">
        <f>IF(OR($A66="",$K66=""),"",'09_PARAMETRI'!$B$9-$K66)</f>
        <v/>
      </c>
      <c r="M66" s="24">
        <f>IF($A66="","",SUMPRODUCT(('11_PRODUSE'!$A$5:$A$104&lt;&gt;"")*(SUMIFS('13_VANZARI'!$H$5:$H$1004,'13_VANZARI'!$D$5:$D$1004,$A66,'13_VANZARI'!$E$5:$E$1004,'11_PRODUSE'!$A$5:$A$104,'13_VANZARI'!$A$5:$A$1004,"&gt;="&amp;'09_PARAMETRI'!$B$5,'13_VANZARI'!$A$5:$A$1004,"&lt;="&amp;'09_PARAMETRI'!$B$6)&lt;&gt;0)))</f>
        <v/>
      </c>
      <c r="N66" s="50">
        <f>IF($A66="","",IFERROR(AVERAGEIFS('15_NPS'!$F$5:$F$504,'15_NPS'!$C$5:$C$504,$A66,'15_NPS'!$B$5:$B$504,"&gt;="&amp;'09_PARAMETRI'!$B$5,'15_NPS'!$B$5:$B$504,"&lt;="&amp;'09_PARAMETRI'!$B$6),""))</f>
        <v/>
      </c>
      <c r="O66" s="39">
        <f>IF($A66="","",IF(AND($F66&gt;0,$E66=0),"Client pierdut",IF(AND($L66&lt;&gt;"",$L66&gt;'09_PARAMETRI'!$B$16,$F66&gt;0),"Client dormant",IF(AND($G66&lt;&gt;"",$G66&lt;='09_PARAMETRI'!$B$13),"Scădere de venit",IF(AND($N66&lt;&gt;"",$N66&lt;7),"Detractor activ",IF(AND($E66&gt;0,$J66&gt;'09_PARAMETRI'!$B$19),"Risc concentrare",IF(AND($E66&gt;0,$I66&lt;&gt;"",$I66&lt;'09_PARAMETRI'!$B$15),"Marjă sub referință",IF(AND($G66&lt;&gt;"",$G66&gt;='09_PARAMETRI'!$B$14),"În creștere",IF($E66=0,"Fără activitate","Stabil")))))))))</f>
        <v/>
      </c>
      <c r="P66" s="39">
        <f>IF($A66="","",IF($O66="Risc concentrare","Risc concentrare",IF($O66="Client pierdut","Recuperare client",IF($O66="Client dormant","Reactivare client",IF($O66="Scădere de venit","Recuperare client",IF($O66="Detractor activ","Recuperare NPS",IF($O66="Marjă sub referință","Marjă / preț",IF($O66="În creștere","Up-sell",IF($O66="Fără activitate","Reactivare client","Cross-sell")))))))))</f>
        <v/>
      </c>
      <c r="Q66" s="24">
        <f>IF($A66="","",IFERROR(IF($O66="Scădere de venit",MAX(0,$F66-$E66),IF(OR($O66="Client pierdut",$O66="Client dormant",$O66="Fără activitate"),$F66,IF($O66="Marjă sub referință",MAX(0,$E66*('09_PARAMETRI'!$B$15-$I66)),$E66*0.15))),""))</f>
        <v/>
      </c>
      <c r="R66" s="48">
        <f>IF(OR($A66="",$E66="",N($E66)&lt;=0),"",$E66+ROW()/1000000)</f>
        <v/>
      </c>
    </row>
    <row r="67">
      <c r="A67" s="39">
        <f>IF('10_CLIENTI'!$A67="","",'10_CLIENTI'!$A67)</f>
        <v/>
      </c>
      <c r="B67" s="39">
        <f>IF($A67="","",IFERROR(INDEX('10_CLIENTI'!$B$5:$B$204,MATCH($A67,'10_CLIENTI'!$A$5:$A$204,0)),""))</f>
        <v/>
      </c>
      <c r="C67" s="39">
        <f>IF($A67="","",IFERROR(INDEX('10_CLIENTI'!$C$5:$C$204,MATCH($A67,'10_CLIENTI'!$A$5:$A$204,0)),""))</f>
        <v/>
      </c>
      <c r="D67" s="39">
        <f>IF($A67="","",IFERROR(INDEX('10_CLIENTI'!$G$5:$G$204,MATCH($A67,'10_CLIENTI'!$A$5:$A$204,0)),""))</f>
        <v/>
      </c>
      <c r="E67" s="24">
        <f>IF($A67="","",SUMIFS('13_VANZARI'!$H$5:$H$1004,'13_VANZARI'!$D$5:$D$1004,$A67,'13_VANZARI'!$A$5:$A$1004,"&gt;="&amp;'09_PARAMETRI'!$B$5,'13_VANZARI'!$A$5:$A$1004,"&lt;="&amp;'09_PARAMETRI'!$B$6))</f>
        <v/>
      </c>
      <c r="F67" s="24">
        <f>IF($A67="","",SUMIFS('13_VANZARI'!$H$5:$H$1004,'13_VANZARI'!$D$5:$D$1004,$A67,'13_VANZARI'!$A$5:$A$1004,"&gt;="&amp;'09_PARAMETRI'!$B$7,'13_VANZARI'!$A$5:$A$1004,"&lt;="&amp;'09_PARAMETRI'!$B$8))</f>
        <v/>
      </c>
      <c r="G67" s="25">
        <f>IF($A67="","",IFERROR(IF($F67=0,"",($E67-$F67)/ABS($F67)),""))</f>
        <v/>
      </c>
      <c r="H67" s="24">
        <f>IF($A67="","",SUMIFS('13_VANZARI'!$K$5:$K$1004,'13_VANZARI'!$D$5:$D$1004,$A67,'13_VANZARI'!$A$5:$A$1004,"&gt;="&amp;'09_PARAMETRI'!$B$5,'13_VANZARI'!$A$5:$A$1004,"&lt;="&amp;'09_PARAMETRI'!$B$6))</f>
        <v/>
      </c>
      <c r="I67" s="25">
        <f>IF($A67="","",IFERROR($H67/$E67,""))</f>
        <v/>
      </c>
      <c r="J67" s="25">
        <f>IF($A67="","",IFERROR($E67/SUMIFS('13_VANZARI'!$H$5:$H$1004,'13_VANZARI'!$A$5:$A$1004,"&gt;="&amp;'09_PARAMETRI'!$B$5,'13_VANZARI'!$A$5:$A$1004,"&lt;="&amp;'09_PARAMETRI'!$B$6),""))</f>
        <v/>
      </c>
      <c r="K67" s="36">
        <f>IF($A67="","",IFERROR(IF(SUMPRODUCT(MAX(('13_VANZARI'!$D$5:$D$1004=$A67)*('13_VANZARI'!$H$5:$H$1004&lt;&gt;"")*'13_VANZARI'!$A$5:$A$1004))=0,"",SUMPRODUCT(MAX(('13_VANZARI'!$D$5:$D$1004=$A67)*('13_VANZARI'!$H$5:$H$1004&lt;&gt;"")*'13_VANZARI'!$A$5:$A$1004))),""))</f>
        <v/>
      </c>
      <c r="L67" s="24">
        <f>IF(OR($A67="",$K67=""),"",'09_PARAMETRI'!$B$9-$K67)</f>
        <v/>
      </c>
      <c r="M67" s="24">
        <f>IF($A67="","",SUMPRODUCT(('11_PRODUSE'!$A$5:$A$104&lt;&gt;"")*(SUMIFS('13_VANZARI'!$H$5:$H$1004,'13_VANZARI'!$D$5:$D$1004,$A67,'13_VANZARI'!$E$5:$E$1004,'11_PRODUSE'!$A$5:$A$104,'13_VANZARI'!$A$5:$A$1004,"&gt;="&amp;'09_PARAMETRI'!$B$5,'13_VANZARI'!$A$5:$A$1004,"&lt;="&amp;'09_PARAMETRI'!$B$6)&lt;&gt;0)))</f>
        <v/>
      </c>
      <c r="N67" s="50">
        <f>IF($A67="","",IFERROR(AVERAGEIFS('15_NPS'!$F$5:$F$504,'15_NPS'!$C$5:$C$504,$A67,'15_NPS'!$B$5:$B$504,"&gt;="&amp;'09_PARAMETRI'!$B$5,'15_NPS'!$B$5:$B$504,"&lt;="&amp;'09_PARAMETRI'!$B$6),""))</f>
        <v/>
      </c>
      <c r="O67" s="39">
        <f>IF($A67="","",IF(AND($F67&gt;0,$E67=0),"Client pierdut",IF(AND($L67&lt;&gt;"",$L67&gt;'09_PARAMETRI'!$B$16,$F67&gt;0),"Client dormant",IF(AND($G67&lt;&gt;"",$G67&lt;='09_PARAMETRI'!$B$13),"Scădere de venit",IF(AND($N67&lt;&gt;"",$N67&lt;7),"Detractor activ",IF(AND($E67&gt;0,$J67&gt;'09_PARAMETRI'!$B$19),"Risc concentrare",IF(AND($E67&gt;0,$I67&lt;&gt;"",$I67&lt;'09_PARAMETRI'!$B$15),"Marjă sub referință",IF(AND($G67&lt;&gt;"",$G67&gt;='09_PARAMETRI'!$B$14),"În creștere",IF($E67=0,"Fără activitate","Stabil")))))))))</f>
        <v/>
      </c>
      <c r="P67" s="39">
        <f>IF($A67="","",IF($O67="Risc concentrare","Risc concentrare",IF($O67="Client pierdut","Recuperare client",IF($O67="Client dormant","Reactivare client",IF($O67="Scădere de venit","Recuperare client",IF($O67="Detractor activ","Recuperare NPS",IF($O67="Marjă sub referință","Marjă / preț",IF($O67="În creștere","Up-sell",IF($O67="Fără activitate","Reactivare client","Cross-sell")))))))))</f>
        <v/>
      </c>
      <c r="Q67" s="24">
        <f>IF($A67="","",IFERROR(IF($O67="Scădere de venit",MAX(0,$F67-$E67),IF(OR($O67="Client pierdut",$O67="Client dormant",$O67="Fără activitate"),$F67,IF($O67="Marjă sub referință",MAX(0,$E67*('09_PARAMETRI'!$B$15-$I67)),$E67*0.15))),""))</f>
        <v/>
      </c>
      <c r="R67" s="48">
        <f>IF(OR($A67="",$E67="",N($E67)&lt;=0),"",$E67+ROW()/1000000)</f>
        <v/>
      </c>
    </row>
    <row r="68">
      <c r="A68" s="39">
        <f>IF('10_CLIENTI'!$A68="","",'10_CLIENTI'!$A68)</f>
        <v/>
      </c>
      <c r="B68" s="39">
        <f>IF($A68="","",IFERROR(INDEX('10_CLIENTI'!$B$5:$B$204,MATCH($A68,'10_CLIENTI'!$A$5:$A$204,0)),""))</f>
        <v/>
      </c>
      <c r="C68" s="39">
        <f>IF($A68="","",IFERROR(INDEX('10_CLIENTI'!$C$5:$C$204,MATCH($A68,'10_CLIENTI'!$A$5:$A$204,0)),""))</f>
        <v/>
      </c>
      <c r="D68" s="39">
        <f>IF($A68="","",IFERROR(INDEX('10_CLIENTI'!$G$5:$G$204,MATCH($A68,'10_CLIENTI'!$A$5:$A$204,0)),""))</f>
        <v/>
      </c>
      <c r="E68" s="24">
        <f>IF($A68="","",SUMIFS('13_VANZARI'!$H$5:$H$1004,'13_VANZARI'!$D$5:$D$1004,$A68,'13_VANZARI'!$A$5:$A$1004,"&gt;="&amp;'09_PARAMETRI'!$B$5,'13_VANZARI'!$A$5:$A$1004,"&lt;="&amp;'09_PARAMETRI'!$B$6))</f>
        <v/>
      </c>
      <c r="F68" s="24">
        <f>IF($A68="","",SUMIFS('13_VANZARI'!$H$5:$H$1004,'13_VANZARI'!$D$5:$D$1004,$A68,'13_VANZARI'!$A$5:$A$1004,"&gt;="&amp;'09_PARAMETRI'!$B$7,'13_VANZARI'!$A$5:$A$1004,"&lt;="&amp;'09_PARAMETRI'!$B$8))</f>
        <v/>
      </c>
      <c r="G68" s="25">
        <f>IF($A68="","",IFERROR(IF($F68=0,"",($E68-$F68)/ABS($F68)),""))</f>
        <v/>
      </c>
      <c r="H68" s="24">
        <f>IF($A68="","",SUMIFS('13_VANZARI'!$K$5:$K$1004,'13_VANZARI'!$D$5:$D$1004,$A68,'13_VANZARI'!$A$5:$A$1004,"&gt;="&amp;'09_PARAMETRI'!$B$5,'13_VANZARI'!$A$5:$A$1004,"&lt;="&amp;'09_PARAMETRI'!$B$6))</f>
        <v/>
      </c>
      <c r="I68" s="25">
        <f>IF($A68="","",IFERROR($H68/$E68,""))</f>
        <v/>
      </c>
      <c r="J68" s="25">
        <f>IF($A68="","",IFERROR($E68/SUMIFS('13_VANZARI'!$H$5:$H$1004,'13_VANZARI'!$A$5:$A$1004,"&gt;="&amp;'09_PARAMETRI'!$B$5,'13_VANZARI'!$A$5:$A$1004,"&lt;="&amp;'09_PARAMETRI'!$B$6),""))</f>
        <v/>
      </c>
      <c r="K68" s="36">
        <f>IF($A68="","",IFERROR(IF(SUMPRODUCT(MAX(('13_VANZARI'!$D$5:$D$1004=$A68)*('13_VANZARI'!$H$5:$H$1004&lt;&gt;"")*'13_VANZARI'!$A$5:$A$1004))=0,"",SUMPRODUCT(MAX(('13_VANZARI'!$D$5:$D$1004=$A68)*('13_VANZARI'!$H$5:$H$1004&lt;&gt;"")*'13_VANZARI'!$A$5:$A$1004))),""))</f>
        <v/>
      </c>
      <c r="L68" s="24">
        <f>IF(OR($A68="",$K68=""),"",'09_PARAMETRI'!$B$9-$K68)</f>
        <v/>
      </c>
      <c r="M68" s="24">
        <f>IF($A68="","",SUMPRODUCT(('11_PRODUSE'!$A$5:$A$104&lt;&gt;"")*(SUMIFS('13_VANZARI'!$H$5:$H$1004,'13_VANZARI'!$D$5:$D$1004,$A68,'13_VANZARI'!$E$5:$E$1004,'11_PRODUSE'!$A$5:$A$104,'13_VANZARI'!$A$5:$A$1004,"&gt;="&amp;'09_PARAMETRI'!$B$5,'13_VANZARI'!$A$5:$A$1004,"&lt;="&amp;'09_PARAMETRI'!$B$6)&lt;&gt;0)))</f>
        <v/>
      </c>
      <c r="N68" s="50">
        <f>IF($A68="","",IFERROR(AVERAGEIFS('15_NPS'!$F$5:$F$504,'15_NPS'!$C$5:$C$504,$A68,'15_NPS'!$B$5:$B$504,"&gt;="&amp;'09_PARAMETRI'!$B$5,'15_NPS'!$B$5:$B$504,"&lt;="&amp;'09_PARAMETRI'!$B$6),""))</f>
        <v/>
      </c>
      <c r="O68" s="39">
        <f>IF($A68="","",IF(AND($F68&gt;0,$E68=0),"Client pierdut",IF(AND($L68&lt;&gt;"",$L68&gt;'09_PARAMETRI'!$B$16,$F68&gt;0),"Client dormant",IF(AND($G68&lt;&gt;"",$G68&lt;='09_PARAMETRI'!$B$13),"Scădere de venit",IF(AND($N68&lt;&gt;"",$N68&lt;7),"Detractor activ",IF(AND($E68&gt;0,$J68&gt;'09_PARAMETRI'!$B$19),"Risc concentrare",IF(AND($E68&gt;0,$I68&lt;&gt;"",$I68&lt;'09_PARAMETRI'!$B$15),"Marjă sub referință",IF(AND($G68&lt;&gt;"",$G68&gt;='09_PARAMETRI'!$B$14),"În creștere",IF($E68=0,"Fără activitate","Stabil")))))))))</f>
        <v/>
      </c>
      <c r="P68" s="39">
        <f>IF($A68="","",IF($O68="Risc concentrare","Risc concentrare",IF($O68="Client pierdut","Recuperare client",IF($O68="Client dormant","Reactivare client",IF($O68="Scădere de venit","Recuperare client",IF($O68="Detractor activ","Recuperare NPS",IF($O68="Marjă sub referință","Marjă / preț",IF($O68="În creștere","Up-sell",IF($O68="Fără activitate","Reactivare client","Cross-sell")))))))))</f>
        <v/>
      </c>
      <c r="Q68" s="24">
        <f>IF($A68="","",IFERROR(IF($O68="Scădere de venit",MAX(0,$F68-$E68),IF(OR($O68="Client pierdut",$O68="Client dormant",$O68="Fără activitate"),$F68,IF($O68="Marjă sub referință",MAX(0,$E68*('09_PARAMETRI'!$B$15-$I68)),$E68*0.15))),""))</f>
        <v/>
      </c>
      <c r="R68" s="48">
        <f>IF(OR($A68="",$E68="",N($E68)&lt;=0),"",$E68+ROW()/1000000)</f>
        <v/>
      </c>
    </row>
    <row r="69">
      <c r="A69" s="39">
        <f>IF('10_CLIENTI'!$A69="","",'10_CLIENTI'!$A69)</f>
        <v/>
      </c>
      <c r="B69" s="39">
        <f>IF($A69="","",IFERROR(INDEX('10_CLIENTI'!$B$5:$B$204,MATCH($A69,'10_CLIENTI'!$A$5:$A$204,0)),""))</f>
        <v/>
      </c>
      <c r="C69" s="39">
        <f>IF($A69="","",IFERROR(INDEX('10_CLIENTI'!$C$5:$C$204,MATCH($A69,'10_CLIENTI'!$A$5:$A$204,0)),""))</f>
        <v/>
      </c>
      <c r="D69" s="39">
        <f>IF($A69="","",IFERROR(INDEX('10_CLIENTI'!$G$5:$G$204,MATCH($A69,'10_CLIENTI'!$A$5:$A$204,0)),""))</f>
        <v/>
      </c>
      <c r="E69" s="24">
        <f>IF($A69="","",SUMIFS('13_VANZARI'!$H$5:$H$1004,'13_VANZARI'!$D$5:$D$1004,$A69,'13_VANZARI'!$A$5:$A$1004,"&gt;="&amp;'09_PARAMETRI'!$B$5,'13_VANZARI'!$A$5:$A$1004,"&lt;="&amp;'09_PARAMETRI'!$B$6))</f>
        <v/>
      </c>
      <c r="F69" s="24">
        <f>IF($A69="","",SUMIFS('13_VANZARI'!$H$5:$H$1004,'13_VANZARI'!$D$5:$D$1004,$A69,'13_VANZARI'!$A$5:$A$1004,"&gt;="&amp;'09_PARAMETRI'!$B$7,'13_VANZARI'!$A$5:$A$1004,"&lt;="&amp;'09_PARAMETRI'!$B$8))</f>
        <v/>
      </c>
      <c r="G69" s="25">
        <f>IF($A69="","",IFERROR(IF($F69=0,"",($E69-$F69)/ABS($F69)),""))</f>
        <v/>
      </c>
      <c r="H69" s="24">
        <f>IF($A69="","",SUMIFS('13_VANZARI'!$K$5:$K$1004,'13_VANZARI'!$D$5:$D$1004,$A69,'13_VANZARI'!$A$5:$A$1004,"&gt;="&amp;'09_PARAMETRI'!$B$5,'13_VANZARI'!$A$5:$A$1004,"&lt;="&amp;'09_PARAMETRI'!$B$6))</f>
        <v/>
      </c>
      <c r="I69" s="25">
        <f>IF($A69="","",IFERROR($H69/$E69,""))</f>
        <v/>
      </c>
      <c r="J69" s="25">
        <f>IF($A69="","",IFERROR($E69/SUMIFS('13_VANZARI'!$H$5:$H$1004,'13_VANZARI'!$A$5:$A$1004,"&gt;="&amp;'09_PARAMETRI'!$B$5,'13_VANZARI'!$A$5:$A$1004,"&lt;="&amp;'09_PARAMETRI'!$B$6),""))</f>
        <v/>
      </c>
      <c r="K69" s="36">
        <f>IF($A69="","",IFERROR(IF(SUMPRODUCT(MAX(('13_VANZARI'!$D$5:$D$1004=$A69)*('13_VANZARI'!$H$5:$H$1004&lt;&gt;"")*'13_VANZARI'!$A$5:$A$1004))=0,"",SUMPRODUCT(MAX(('13_VANZARI'!$D$5:$D$1004=$A69)*('13_VANZARI'!$H$5:$H$1004&lt;&gt;"")*'13_VANZARI'!$A$5:$A$1004))),""))</f>
        <v/>
      </c>
      <c r="L69" s="24">
        <f>IF(OR($A69="",$K69=""),"",'09_PARAMETRI'!$B$9-$K69)</f>
        <v/>
      </c>
      <c r="M69" s="24">
        <f>IF($A69="","",SUMPRODUCT(('11_PRODUSE'!$A$5:$A$104&lt;&gt;"")*(SUMIFS('13_VANZARI'!$H$5:$H$1004,'13_VANZARI'!$D$5:$D$1004,$A69,'13_VANZARI'!$E$5:$E$1004,'11_PRODUSE'!$A$5:$A$104,'13_VANZARI'!$A$5:$A$1004,"&gt;="&amp;'09_PARAMETRI'!$B$5,'13_VANZARI'!$A$5:$A$1004,"&lt;="&amp;'09_PARAMETRI'!$B$6)&lt;&gt;0)))</f>
        <v/>
      </c>
      <c r="N69" s="50">
        <f>IF($A69="","",IFERROR(AVERAGEIFS('15_NPS'!$F$5:$F$504,'15_NPS'!$C$5:$C$504,$A69,'15_NPS'!$B$5:$B$504,"&gt;="&amp;'09_PARAMETRI'!$B$5,'15_NPS'!$B$5:$B$504,"&lt;="&amp;'09_PARAMETRI'!$B$6),""))</f>
        <v/>
      </c>
      <c r="O69" s="39">
        <f>IF($A69="","",IF(AND($F69&gt;0,$E69=0),"Client pierdut",IF(AND($L69&lt;&gt;"",$L69&gt;'09_PARAMETRI'!$B$16,$F69&gt;0),"Client dormant",IF(AND($G69&lt;&gt;"",$G69&lt;='09_PARAMETRI'!$B$13),"Scădere de venit",IF(AND($N69&lt;&gt;"",$N69&lt;7),"Detractor activ",IF(AND($E69&gt;0,$J69&gt;'09_PARAMETRI'!$B$19),"Risc concentrare",IF(AND($E69&gt;0,$I69&lt;&gt;"",$I69&lt;'09_PARAMETRI'!$B$15),"Marjă sub referință",IF(AND($G69&lt;&gt;"",$G69&gt;='09_PARAMETRI'!$B$14),"În creștere",IF($E69=0,"Fără activitate","Stabil")))))))))</f>
        <v/>
      </c>
      <c r="P69" s="39">
        <f>IF($A69="","",IF($O69="Risc concentrare","Risc concentrare",IF($O69="Client pierdut","Recuperare client",IF($O69="Client dormant","Reactivare client",IF($O69="Scădere de venit","Recuperare client",IF($O69="Detractor activ","Recuperare NPS",IF($O69="Marjă sub referință","Marjă / preț",IF($O69="În creștere","Up-sell",IF($O69="Fără activitate","Reactivare client","Cross-sell")))))))))</f>
        <v/>
      </c>
      <c r="Q69" s="24">
        <f>IF($A69="","",IFERROR(IF($O69="Scădere de venit",MAX(0,$F69-$E69),IF(OR($O69="Client pierdut",$O69="Client dormant",$O69="Fără activitate"),$F69,IF($O69="Marjă sub referință",MAX(0,$E69*('09_PARAMETRI'!$B$15-$I69)),$E69*0.15))),""))</f>
        <v/>
      </c>
      <c r="R69" s="48">
        <f>IF(OR($A69="",$E69="",N($E69)&lt;=0),"",$E69+ROW()/1000000)</f>
        <v/>
      </c>
    </row>
    <row r="70">
      <c r="A70" s="39">
        <f>IF('10_CLIENTI'!$A70="","",'10_CLIENTI'!$A70)</f>
        <v/>
      </c>
      <c r="B70" s="39">
        <f>IF($A70="","",IFERROR(INDEX('10_CLIENTI'!$B$5:$B$204,MATCH($A70,'10_CLIENTI'!$A$5:$A$204,0)),""))</f>
        <v/>
      </c>
      <c r="C70" s="39">
        <f>IF($A70="","",IFERROR(INDEX('10_CLIENTI'!$C$5:$C$204,MATCH($A70,'10_CLIENTI'!$A$5:$A$204,0)),""))</f>
        <v/>
      </c>
      <c r="D70" s="39">
        <f>IF($A70="","",IFERROR(INDEX('10_CLIENTI'!$G$5:$G$204,MATCH($A70,'10_CLIENTI'!$A$5:$A$204,0)),""))</f>
        <v/>
      </c>
      <c r="E70" s="24">
        <f>IF($A70="","",SUMIFS('13_VANZARI'!$H$5:$H$1004,'13_VANZARI'!$D$5:$D$1004,$A70,'13_VANZARI'!$A$5:$A$1004,"&gt;="&amp;'09_PARAMETRI'!$B$5,'13_VANZARI'!$A$5:$A$1004,"&lt;="&amp;'09_PARAMETRI'!$B$6))</f>
        <v/>
      </c>
      <c r="F70" s="24">
        <f>IF($A70="","",SUMIFS('13_VANZARI'!$H$5:$H$1004,'13_VANZARI'!$D$5:$D$1004,$A70,'13_VANZARI'!$A$5:$A$1004,"&gt;="&amp;'09_PARAMETRI'!$B$7,'13_VANZARI'!$A$5:$A$1004,"&lt;="&amp;'09_PARAMETRI'!$B$8))</f>
        <v/>
      </c>
      <c r="G70" s="25">
        <f>IF($A70="","",IFERROR(IF($F70=0,"",($E70-$F70)/ABS($F70)),""))</f>
        <v/>
      </c>
      <c r="H70" s="24">
        <f>IF($A70="","",SUMIFS('13_VANZARI'!$K$5:$K$1004,'13_VANZARI'!$D$5:$D$1004,$A70,'13_VANZARI'!$A$5:$A$1004,"&gt;="&amp;'09_PARAMETRI'!$B$5,'13_VANZARI'!$A$5:$A$1004,"&lt;="&amp;'09_PARAMETRI'!$B$6))</f>
        <v/>
      </c>
      <c r="I70" s="25">
        <f>IF($A70="","",IFERROR($H70/$E70,""))</f>
        <v/>
      </c>
      <c r="J70" s="25">
        <f>IF($A70="","",IFERROR($E70/SUMIFS('13_VANZARI'!$H$5:$H$1004,'13_VANZARI'!$A$5:$A$1004,"&gt;="&amp;'09_PARAMETRI'!$B$5,'13_VANZARI'!$A$5:$A$1004,"&lt;="&amp;'09_PARAMETRI'!$B$6),""))</f>
        <v/>
      </c>
      <c r="K70" s="36">
        <f>IF($A70="","",IFERROR(IF(SUMPRODUCT(MAX(('13_VANZARI'!$D$5:$D$1004=$A70)*('13_VANZARI'!$H$5:$H$1004&lt;&gt;"")*'13_VANZARI'!$A$5:$A$1004))=0,"",SUMPRODUCT(MAX(('13_VANZARI'!$D$5:$D$1004=$A70)*('13_VANZARI'!$H$5:$H$1004&lt;&gt;"")*'13_VANZARI'!$A$5:$A$1004))),""))</f>
        <v/>
      </c>
      <c r="L70" s="24">
        <f>IF(OR($A70="",$K70=""),"",'09_PARAMETRI'!$B$9-$K70)</f>
        <v/>
      </c>
      <c r="M70" s="24">
        <f>IF($A70="","",SUMPRODUCT(('11_PRODUSE'!$A$5:$A$104&lt;&gt;"")*(SUMIFS('13_VANZARI'!$H$5:$H$1004,'13_VANZARI'!$D$5:$D$1004,$A70,'13_VANZARI'!$E$5:$E$1004,'11_PRODUSE'!$A$5:$A$104,'13_VANZARI'!$A$5:$A$1004,"&gt;="&amp;'09_PARAMETRI'!$B$5,'13_VANZARI'!$A$5:$A$1004,"&lt;="&amp;'09_PARAMETRI'!$B$6)&lt;&gt;0)))</f>
        <v/>
      </c>
      <c r="N70" s="50">
        <f>IF($A70="","",IFERROR(AVERAGEIFS('15_NPS'!$F$5:$F$504,'15_NPS'!$C$5:$C$504,$A70,'15_NPS'!$B$5:$B$504,"&gt;="&amp;'09_PARAMETRI'!$B$5,'15_NPS'!$B$5:$B$504,"&lt;="&amp;'09_PARAMETRI'!$B$6),""))</f>
        <v/>
      </c>
      <c r="O70" s="39">
        <f>IF($A70="","",IF(AND($F70&gt;0,$E70=0),"Client pierdut",IF(AND($L70&lt;&gt;"",$L70&gt;'09_PARAMETRI'!$B$16,$F70&gt;0),"Client dormant",IF(AND($G70&lt;&gt;"",$G70&lt;='09_PARAMETRI'!$B$13),"Scădere de venit",IF(AND($N70&lt;&gt;"",$N70&lt;7),"Detractor activ",IF(AND($E70&gt;0,$J70&gt;'09_PARAMETRI'!$B$19),"Risc concentrare",IF(AND($E70&gt;0,$I70&lt;&gt;"",$I70&lt;'09_PARAMETRI'!$B$15),"Marjă sub referință",IF(AND($G70&lt;&gt;"",$G70&gt;='09_PARAMETRI'!$B$14),"În creștere",IF($E70=0,"Fără activitate","Stabil")))))))))</f>
        <v/>
      </c>
      <c r="P70" s="39">
        <f>IF($A70="","",IF($O70="Risc concentrare","Risc concentrare",IF($O70="Client pierdut","Recuperare client",IF($O70="Client dormant","Reactivare client",IF($O70="Scădere de venit","Recuperare client",IF($O70="Detractor activ","Recuperare NPS",IF($O70="Marjă sub referință","Marjă / preț",IF($O70="În creștere","Up-sell",IF($O70="Fără activitate","Reactivare client","Cross-sell")))))))))</f>
        <v/>
      </c>
      <c r="Q70" s="24">
        <f>IF($A70="","",IFERROR(IF($O70="Scădere de venit",MAX(0,$F70-$E70),IF(OR($O70="Client pierdut",$O70="Client dormant",$O70="Fără activitate"),$F70,IF($O70="Marjă sub referință",MAX(0,$E70*('09_PARAMETRI'!$B$15-$I70)),$E70*0.15))),""))</f>
        <v/>
      </c>
      <c r="R70" s="48">
        <f>IF(OR($A70="",$E70="",N($E70)&lt;=0),"",$E70+ROW()/1000000)</f>
        <v/>
      </c>
    </row>
    <row r="71">
      <c r="A71" s="39">
        <f>IF('10_CLIENTI'!$A71="","",'10_CLIENTI'!$A71)</f>
        <v/>
      </c>
      <c r="B71" s="39">
        <f>IF($A71="","",IFERROR(INDEX('10_CLIENTI'!$B$5:$B$204,MATCH($A71,'10_CLIENTI'!$A$5:$A$204,0)),""))</f>
        <v/>
      </c>
      <c r="C71" s="39">
        <f>IF($A71="","",IFERROR(INDEX('10_CLIENTI'!$C$5:$C$204,MATCH($A71,'10_CLIENTI'!$A$5:$A$204,0)),""))</f>
        <v/>
      </c>
      <c r="D71" s="39">
        <f>IF($A71="","",IFERROR(INDEX('10_CLIENTI'!$G$5:$G$204,MATCH($A71,'10_CLIENTI'!$A$5:$A$204,0)),""))</f>
        <v/>
      </c>
      <c r="E71" s="24">
        <f>IF($A71="","",SUMIFS('13_VANZARI'!$H$5:$H$1004,'13_VANZARI'!$D$5:$D$1004,$A71,'13_VANZARI'!$A$5:$A$1004,"&gt;="&amp;'09_PARAMETRI'!$B$5,'13_VANZARI'!$A$5:$A$1004,"&lt;="&amp;'09_PARAMETRI'!$B$6))</f>
        <v/>
      </c>
      <c r="F71" s="24">
        <f>IF($A71="","",SUMIFS('13_VANZARI'!$H$5:$H$1004,'13_VANZARI'!$D$5:$D$1004,$A71,'13_VANZARI'!$A$5:$A$1004,"&gt;="&amp;'09_PARAMETRI'!$B$7,'13_VANZARI'!$A$5:$A$1004,"&lt;="&amp;'09_PARAMETRI'!$B$8))</f>
        <v/>
      </c>
      <c r="G71" s="25">
        <f>IF($A71="","",IFERROR(IF($F71=0,"",($E71-$F71)/ABS($F71)),""))</f>
        <v/>
      </c>
      <c r="H71" s="24">
        <f>IF($A71="","",SUMIFS('13_VANZARI'!$K$5:$K$1004,'13_VANZARI'!$D$5:$D$1004,$A71,'13_VANZARI'!$A$5:$A$1004,"&gt;="&amp;'09_PARAMETRI'!$B$5,'13_VANZARI'!$A$5:$A$1004,"&lt;="&amp;'09_PARAMETRI'!$B$6))</f>
        <v/>
      </c>
      <c r="I71" s="25">
        <f>IF($A71="","",IFERROR($H71/$E71,""))</f>
        <v/>
      </c>
      <c r="J71" s="25">
        <f>IF($A71="","",IFERROR($E71/SUMIFS('13_VANZARI'!$H$5:$H$1004,'13_VANZARI'!$A$5:$A$1004,"&gt;="&amp;'09_PARAMETRI'!$B$5,'13_VANZARI'!$A$5:$A$1004,"&lt;="&amp;'09_PARAMETRI'!$B$6),""))</f>
        <v/>
      </c>
      <c r="K71" s="36">
        <f>IF($A71="","",IFERROR(IF(SUMPRODUCT(MAX(('13_VANZARI'!$D$5:$D$1004=$A71)*('13_VANZARI'!$H$5:$H$1004&lt;&gt;"")*'13_VANZARI'!$A$5:$A$1004))=0,"",SUMPRODUCT(MAX(('13_VANZARI'!$D$5:$D$1004=$A71)*('13_VANZARI'!$H$5:$H$1004&lt;&gt;"")*'13_VANZARI'!$A$5:$A$1004))),""))</f>
        <v/>
      </c>
      <c r="L71" s="24">
        <f>IF(OR($A71="",$K71=""),"",'09_PARAMETRI'!$B$9-$K71)</f>
        <v/>
      </c>
      <c r="M71" s="24">
        <f>IF($A71="","",SUMPRODUCT(('11_PRODUSE'!$A$5:$A$104&lt;&gt;"")*(SUMIFS('13_VANZARI'!$H$5:$H$1004,'13_VANZARI'!$D$5:$D$1004,$A71,'13_VANZARI'!$E$5:$E$1004,'11_PRODUSE'!$A$5:$A$104,'13_VANZARI'!$A$5:$A$1004,"&gt;="&amp;'09_PARAMETRI'!$B$5,'13_VANZARI'!$A$5:$A$1004,"&lt;="&amp;'09_PARAMETRI'!$B$6)&lt;&gt;0)))</f>
        <v/>
      </c>
      <c r="N71" s="50">
        <f>IF($A71="","",IFERROR(AVERAGEIFS('15_NPS'!$F$5:$F$504,'15_NPS'!$C$5:$C$504,$A71,'15_NPS'!$B$5:$B$504,"&gt;="&amp;'09_PARAMETRI'!$B$5,'15_NPS'!$B$5:$B$504,"&lt;="&amp;'09_PARAMETRI'!$B$6),""))</f>
        <v/>
      </c>
      <c r="O71" s="39">
        <f>IF($A71="","",IF(AND($F71&gt;0,$E71=0),"Client pierdut",IF(AND($L71&lt;&gt;"",$L71&gt;'09_PARAMETRI'!$B$16,$F71&gt;0),"Client dormant",IF(AND($G71&lt;&gt;"",$G71&lt;='09_PARAMETRI'!$B$13),"Scădere de venit",IF(AND($N71&lt;&gt;"",$N71&lt;7),"Detractor activ",IF(AND($E71&gt;0,$J71&gt;'09_PARAMETRI'!$B$19),"Risc concentrare",IF(AND($E71&gt;0,$I71&lt;&gt;"",$I71&lt;'09_PARAMETRI'!$B$15),"Marjă sub referință",IF(AND($G71&lt;&gt;"",$G71&gt;='09_PARAMETRI'!$B$14),"În creștere",IF($E71=0,"Fără activitate","Stabil")))))))))</f>
        <v/>
      </c>
      <c r="P71" s="39">
        <f>IF($A71="","",IF($O71="Risc concentrare","Risc concentrare",IF($O71="Client pierdut","Recuperare client",IF($O71="Client dormant","Reactivare client",IF($O71="Scădere de venit","Recuperare client",IF($O71="Detractor activ","Recuperare NPS",IF($O71="Marjă sub referință","Marjă / preț",IF($O71="În creștere","Up-sell",IF($O71="Fără activitate","Reactivare client","Cross-sell")))))))))</f>
        <v/>
      </c>
      <c r="Q71" s="24">
        <f>IF($A71="","",IFERROR(IF($O71="Scădere de venit",MAX(0,$F71-$E71),IF(OR($O71="Client pierdut",$O71="Client dormant",$O71="Fără activitate"),$F71,IF($O71="Marjă sub referință",MAX(0,$E71*('09_PARAMETRI'!$B$15-$I71)),$E71*0.15))),""))</f>
        <v/>
      </c>
      <c r="R71" s="48">
        <f>IF(OR($A71="",$E71="",N($E71)&lt;=0),"",$E71+ROW()/1000000)</f>
        <v/>
      </c>
    </row>
    <row r="72">
      <c r="A72" s="39">
        <f>IF('10_CLIENTI'!$A72="","",'10_CLIENTI'!$A72)</f>
        <v/>
      </c>
      <c r="B72" s="39">
        <f>IF($A72="","",IFERROR(INDEX('10_CLIENTI'!$B$5:$B$204,MATCH($A72,'10_CLIENTI'!$A$5:$A$204,0)),""))</f>
        <v/>
      </c>
      <c r="C72" s="39">
        <f>IF($A72="","",IFERROR(INDEX('10_CLIENTI'!$C$5:$C$204,MATCH($A72,'10_CLIENTI'!$A$5:$A$204,0)),""))</f>
        <v/>
      </c>
      <c r="D72" s="39">
        <f>IF($A72="","",IFERROR(INDEX('10_CLIENTI'!$G$5:$G$204,MATCH($A72,'10_CLIENTI'!$A$5:$A$204,0)),""))</f>
        <v/>
      </c>
      <c r="E72" s="24">
        <f>IF($A72="","",SUMIFS('13_VANZARI'!$H$5:$H$1004,'13_VANZARI'!$D$5:$D$1004,$A72,'13_VANZARI'!$A$5:$A$1004,"&gt;="&amp;'09_PARAMETRI'!$B$5,'13_VANZARI'!$A$5:$A$1004,"&lt;="&amp;'09_PARAMETRI'!$B$6))</f>
        <v/>
      </c>
      <c r="F72" s="24">
        <f>IF($A72="","",SUMIFS('13_VANZARI'!$H$5:$H$1004,'13_VANZARI'!$D$5:$D$1004,$A72,'13_VANZARI'!$A$5:$A$1004,"&gt;="&amp;'09_PARAMETRI'!$B$7,'13_VANZARI'!$A$5:$A$1004,"&lt;="&amp;'09_PARAMETRI'!$B$8))</f>
        <v/>
      </c>
      <c r="G72" s="25">
        <f>IF($A72="","",IFERROR(IF($F72=0,"",($E72-$F72)/ABS($F72)),""))</f>
        <v/>
      </c>
      <c r="H72" s="24">
        <f>IF($A72="","",SUMIFS('13_VANZARI'!$K$5:$K$1004,'13_VANZARI'!$D$5:$D$1004,$A72,'13_VANZARI'!$A$5:$A$1004,"&gt;="&amp;'09_PARAMETRI'!$B$5,'13_VANZARI'!$A$5:$A$1004,"&lt;="&amp;'09_PARAMETRI'!$B$6))</f>
        <v/>
      </c>
      <c r="I72" s="25">
        <f>IF($A72="","",IFERROR($H72/$E72,""))</f>
        <v/>
      </c>
      <c r="J72" s="25">
        <f>IF($A72="","",IFERROR($E72/SUMIFS('13_VANZARI'!$H$5:$H$1004,'13_VANZARI'!$A$5:$A$1004,"&gt;="&amp;'09_PARAMETRI'!$B$5,'13_VANZARI'!$A$5:$A$1004,"&lt;="&amp;'09_PARAMETRI'!$B$6),""))</f>
        <v/>
      </c>
      <c r="K72" s="36">
        <f>IF($A72="","",IFERROR(IF(SUMPRODUCT(MAX(('13_VANZARI'!$D$5:$D$1004=$A72)*('13_VANZARI'!$H$5:$H$1004&lt;&gt;"")*'13_VANZARI'!$A$5:$A$1004))=0,"",SUMPRODUCT(MAX(('13_VANZARI'!$D$5:$D$1004=$A72)*('13_VANZARI'!$H$5:$H$1004&lt;&gt;"")*'13_VANZARI'!$A$5:$A$1004))),""))</f>
        <v/>
      </c>
      <c r="L72" s="24">
        <f>IF(OR($A72="",$K72=""),"",'09_PARAMETRI'!$B$9-$K72)</f>
        <v/>
      </c>
      <c r="M72" s="24">
        <f>IF($A72="","",SUMPRODUCT(('11_PRODUSE'!$A$5:$A$104&lt;&gt;"")*(SUMIFS('13_VANZARI'!$H$5:$H$1004,'13_VANZARI'!$D$5:$D$1004,$A72,'13_VANZARI'!$E$5:$E$1004,'11_PRODUSE'!$A$5:$A$104,'13_VANZARI'!$A$5:$A$1004,"&gt;="&amp;'09_PARAMETRI'!$B$5,'13_VANZARI'!$A$5:$A$1004,"&lt;="&amp;'09_PARAMETRI'!$B$6)&lt;&gt;0)))</f>
        <v/>
      </c>
      <c r="N72" s="50">
        <f>IF($A72="","",IFERROR(AVERAGEIFS('15_NPS'!$F$5:$F$504,'15_NPS'!$C$5:$C$504,$A72,'15_NPS'!$B$5:$B$504,"&gt;="&amp;'09_PARAMETRI'!$B$5,'15_NPS'!$B$5:$B$504,"&lt;="&amp;'09_PARAMETRI'!$B$6),""))</f>
        <v/>
      </c>
      <c r="O72" s="39">
        <f>IF($A72="","",IF(AND($F72&gt;0,$E72=0),"Client pierdut",IF(AND($L72&lt;&gt;"",$L72&gt;'09_PARAMETRI'!$B$16,$F72&gt;0),"Client dormant",IF(AND($G72&lt;&gt;"",$G72&lt;='09_PARAMETRI'!$B$13),"Scădere de venit",IF(AND($N72&lt;&gt;"",$N72&lt;7),"Detractor activ",IF(AND($E72&gt;0,$J72&gt;'09_PARAMETRI'!$B$19),"Risc concentrare",IF(AND($E72&gt;0,$I72&lt;&gt;"",$I72&lt;'09_PARAMETRI'!$B$15),"Marjă sub referință",IF(AND($G72&lt;&gt;"",$G72&gt;='09_PARAMETRI'!$B$14),"În creștere",IF($E72=0,"Fără activitate","Stabil")))))))))</f>
        <v/>
      </c>
      <c r="P72" s="39">
        <f>IF($A72="","",IF($O72="Risc concentrare","Risc concentrare",IF($O72="Client pierdut","Recuperare client",IF($O72="Client dormant","Reactivare client",IF($O72="Scădere de venit","Recuperare client",IF($O72="Detractor activ","Recuperare NPS",IF($O72="Marjă sub referință","Marjă / preț",IF($O72="În creștere","Up-sell",IF($O72="Fără activitate","Reactivare client","Cross-sell")))))))))</f>
        <v/>
      </c>
      <c r="Q72" s="24">
        <f>IF($A72="","",IFERROR(IF($O72="Scădere de venit",MAX(0,$F72-$E72),IF(OR($O72="Client pierdut",$O72="Client dormant",$O72="Fără activitate"),$F72,IF($O72="Marjă sub referință",MAX(0,$E72*('09_PARAMETRI'!$B$15-$I72)),$E72*0.15))),""))</f>
        <v/>
      </c>
      <c r="R72" s="48">
        <f>IF(OR($A72="",$E72="",N($E72)&lt;=0),"",$E72+ROW()/1000000)</f>
        <v/>
      </c>
    </row>
    <row r="73">
      <c r="A73" s="39">
        <f>IF('10_CLIENTI'!$A73="","",'10_CLIENTI'!$A73)</f>
        <v/>
      </c>
      <c r="B73" s="39">
        <f>IF($A73="","",IFERROR(INDEX('10_CLIENTI'!$B$5:$B$204,MATCH($A73,'10_CLIENTI'!$A$5:$A$204,0)),""))</f>
        <v/>
      </c>
      <c r="C73" s="39">
        <f>IF($A73="","",IFERROR(INDEX('10_CLIENTI'!$C$5:$C$204,MATCH($A73,'10_CLIENTI'!$A$5:$A$204,0)),""))</f>
        <v/>
      </c>
      <c r="D73" s="39">
        <f>IF($A73="","",IFERROR(INDEX('10_CLIENTI'!$G$5:$G$204,MATCH($A73,'10_CLIENTI'!$A$5:$A$204,0)),""))</f>
        <v/>
      </c>
      <c r="E73" s="24">
        <f>IF($A73="","",SUMIFS('13_VANZARI'!$H$5:$H$1004,'13_VANZARI'!$D$5:$D$1004,$A73,'13_VANZARI'!$A$5:$A$1004,"&gt;="&amp;'09_PARAMETRI'!$B$5,'13_VANZARI'!$A$5:$A$1004,"&lt;="&amp;'09_PARAMETRI'!$B$6))</f>
        <v/>
      </c>
      <c r="F73" s="24">
        <f>IF($A73="","",SUMIFS('13_VANZARI'!$H$5:$H$1004,'13_VANZARI'!$D$5:$D$1004,$A73,'13_VANZARI'!$A$5:$A$1004,"&gt;="&amp;'09_PARAMETRI'!$B$7,'13_VANZARI'!$A$5:$A$1004,"&lt;="&amp;'09_PARAMETRI'!$B$8))</f>
        <v/>
      </c>
      <c r="G73" s="25">
        <f>IF($A73="","",IFERROR(IF($F73=0,"",($E73-$F73)/ABS($F73)),""))</f>
        <v/>
      </c>
      <c r="H73" s="24">
        <f>IF($A73="","",SUMIFS('13_VANZARI'!$K$5:$K$1004,'13_VANZARI'!$D$5:$D$1004,$A73,'13_VANZARI'!$A$5:$A$1004,"&gt;="&amp;'09_PARAMETRI'!$B$5,'13_VANZARI'!$A$5:$A$1004,"&lt;="&amp;'09_PARAMETRI'!$B$6))</f>
        <v/>
      </c>
      <c r="I73" s="25">
        <f>IF($A73="","",IFERROR($H73/$E73,""))</f>
        <v/>
      </c>
      <c r="J73" s="25">
        <f>IF($A73="","",IFERROR($E73/SUMIFS('13_VANZARI'!$H$5:$H$1004,'13_VANZARI'!$A$5:$A$1004,"&gt;="&amp;'09_PARAMETRI'!$B$5,'13_VANZARI'!$A$5:$A$1004,"&lt;="&amp;'09_PARAMETRI'!$B$6),""))</f>
        <v/>
      </c>
      <c r="K73" s="36">
        <f>IF($A73="","",IFERROR(IF(SUMPRODUCT(MAX(('13_VANZARI'!$D$5:$D$1004=$A73)*('13_VANZARI'!$H$5:$H$1004&lt;&gt;"")*'13_VANZARI'!$A$5:$A$1004))=0,"",SUMPRODUCT(MAX(('13_VANZARI'!$D$5:$D$1004=$A73)*('13_VANZARI'!$H$5:$H$1004&lt;&gt;"")*'13_VANZARI'!$A$5:$A$1004))),""))</f>
        <v/>
      </c>
      <c r="L73" s="24">
        <f>IF(OR($A73="",$K73=""),"",'09_PARAMETRI'!$B$9-$K73)</f>
        <v/>
      </c>
      <c r="M73" s="24">
        <f>IF($A73="","",SUMPRODUCT(('11_PRODUSE'!$A$5:$A$104&lt;&gt;"")*(SUMIFS('13_VANZARI'!$H$5:$H$1004,'13_VANZARI'!$D$5:$D$1004,$A73,'13_VANZARI'!$E$5:$E$1004,'11_PRODUSE'!$A$5:$A$104,'13_VANZARI'!$A$5:$A$1004,"&gt;="&amp;'09_PARAMETRI'!$B$5,'13_VANZARI'!$A$5:$A$1004,"&lt;="&amp;'09_PARAMETRI'!$B$6)&lt;&gt;0)))</f>
        <v/>
      </c>
      <c r="N73" s="50">
        <f>IF($A73="","",IFERROR(AVERAGEIFS('15_NPS'!$F$5:$F$504,'15_NPS'!$C$5:$C$504,$A73,'15_NPS'!$B$5:$B$504,"&gt;="&amp;'09_PARAMETRI'!$B$5,'15_NPS'!$B$5:$B$504,"&lt;="&amp;'09_PARAMETRI'!$B$6),""))</f>
        <v/>
      </c>
      <c r="O73" s="39">
        <f>IF($A73="","",IF(AND($F73&gt;0,$E73=0),"Client pierdut",IF(AND($L73&lt;&gt;"",$L73&gt;'09_PARAMETRI'!$B$16,$F73&gt;0),"Client dormant",IF(AND($G73&lt;&gt;"",$G73&lt;='09_PARAMETRI'!$B$13),"Scădere de venit",IF(AND($N73&lt;&gt;"",$N73&lt;7),"Detractor activ",IF(AND($E73&gt;0,$J73&gt;'09_PARAMETRI'!$B$19),"Risc concentrare",IF(AND($E73&gt;0,$I73&lt;&gt;"",$I73&lt;'09_PARAMETRI'!$B$15),"Marjă sub referință",IF(AND($G73&lt;&gt;"",$G73&gt;='09_PARAMETRI'!$B$14),"În creștere",IF($E73=0,"Fără activitate","Stabil")))))))))</f>
        <v/>
      </c>
      <c r="P73" s="39">
        <f>IF($A73="","",IF($O73="Risc concentrare","Risc concentrare",IF($O73="Client pierdut","Recuperare client",IF($O73="Client dormant","Reactivare client",IF($O73="Scădere de venit","Recuperare client",IF($O73="Detractor activ","Recuperare NPS",IF($O73="Marjă sub referință","Marjă / preț",IF($O73="În creștere","Up-sell",IF($O73="Fără activitate","Reactivare client","Cross-sell")))))))))</f>
        <v/>
      </c>
      <c r="Q73" s="24">
        <f>IF($A73="","",IFERROR(IF($O73="Scădere de venit",MAX(0,$F73-$E73),IF(OR($O73="Client pierdut",$O73="Client dormant",$O73="Fără activitate"),$F73,IF($O73="Marjă sub referință",MAX(0,$E73*('09_PARAMETRI'!$B$15-$I73)),$E73*0.15))),""))</f>
        <v/>
      </c>
      <c r="R73" s="48">
        <f>IF(OR($A73="",$E73="",N($E73)&lt;=0),"",$E73+ROW()/1000000)</f>
        <v/>
      </c>
    </row>
    <row r="74">
      <c r="A74" s="39">
        <f>IF('10_CLIENTI'!$A74="","",'10_CLIENTI'!$A74)</f>
        <v/>
      </c>
      <c r="B74" s="39">
        <f>IF($A74="","",IFERROR(INDEX('10_CLIENTI'!$B$5:$B$204,MATCH($A74,'10_CLIENTI'!$A$5:$A$204,0)),""))</f>
        <v/>
      </c>
      <c r="C74" s="39">
        <f>IF($A74="","",IFERROR(INDEX('10_CLIENTI'!$C$5:$C$204,MATCH($A74,'10_CLIENTI'!$A$5:$A$204,0)),""))</f>
        <v/>
      </c>
      <c r="D74" s="39">
        <f>IF($A74="","",IFERROR(INDEX('10_CLIENTI'!$G$5:$G$204,MATCH($A74,'10_CLIENTI'!$A$5:$A$204,0)),""))</f>
        <v/>
      </c>
      <c r="E74" s="24">
        <f>IF($A74="","",SUMIFS('13_VANZARI'!$H$5:$H$1004,'13_VANZARI'!$D$5:$D$1004,$A74,'13_VANZARI'!$A$5:$A$1004,"&gt;="&amp;'09_PARAMETRI'!$B$5,'13_VANZARI'!$A$5:$A$1004,"&lt;="&amp;'09_PARAMETRI'!$B$6))</f>
        <v/>
      </c>
      <c r="F74" s="24">
        <f>IF($A74="","",SUMIFS('13_VANZARI'!$H$5:$H$1004,'13_VANZARI'!$D$5:$D$1004,$A74,'13_VANZARI'!$A$5:$A$1004,"&gt;="&amp;'09_PARAMETRI'!$B$7,'13_VANZARI'!$A$5:$A$1004,"&lt;="&amp;'09_PARAMETRI'!$B$8))</f>
        <v/>
      </c>
      <c r="G74" s="25">
        <f>IF($A74="","",IFERROR(IF($F74=0,"",($E74-$F74)/ABS($F74)),""))</f>
        <v/>
      </c>
      <c r="H74" s="24">
        <f>IF($A74="","",SUMIFS('13_VANZARI'!$K$5:$K$1004,'13_VANZARI'!$D$5:$D$1004,$A74,'13_VANZARI'!$A$5:$A$1004,"&gt;="&amp;'09_PARAMETRI'!$B$5,'13_VANZARI'!$A$5:$A$1004,"&lt;="&amp;'09_PARAMETRI'!$B$6))</f>
        <v/>
      </c>
      <c r="I74" s="25">
        <f>IF($A74="","",IFERROR($H74/$E74,""))</f>
        <v/>
      </c>
      <c r="J74" s="25">
        <f>IF($A74="","",IFERROR($E74/SUMIFS('13_VANZARI'!$H$5:$H$1004,'13_VANZARI'!$A$5:$A$1004,"&gt;="&amp;'09_PARAMETRI'!$B$5,'13_VANZARI'!$A$5:$A$1004,"&lt;="&amp;'09_PARAMETRI'!$B$6),""))</f>
        <v/>
      </c>
      <c r="K74" s="36">
        <f>IF($A74="","",IFERROR(IF(SUMPRODUCT(MAX(('13_VANZARI'!$D$5:$D$1004=$A74)*('13_VANZARI'!$H$5:$H$1004&lt;&gt;"")*'13_VANZARI'!$A$5:$A$1004))=0,"",SUMPRODUCT(MAX(('13_VANZARI'!$D$5:$D$1004=$A74)*('13_VANZARI'!$H$5:$H$1004&lt;&gt;"")*'13_VANZARI'!$A$5:$A$1004))),""))</f>
        <v/>
      </c>
      <c r="L74" s="24">
        <f>IF(OR($A74="",$K74=""),"",'09_PARAMETRI'!$B$9-$K74)</f>
        <v/>
      </c>
      <c r="M74" s="24">
        <f>IF($A74="","",SUMPRODUCT(('11_PRODUSE'!$A$5:$A$104&lt;&gt;"")*(SUMIFS('13_VANZARI'!$H$5:$H$1004,'13_VANZARI'!$D$5:$D$1004,$A74,'13_VANZARI'!$E$5:$E$1004,'11_PRODUSE'!$A$5:$A$104,'13_VANZARI'!$A$5:$A$1004,"&gt;="&amp;'09_PARAMETRI'!$B$5,'13_VANZARI'!$A$5:$A$1004,"&lt;="&amp;'09_PARAMETRI'!$B$6)&lt;&gt;0)))</f>
        <v/>
      </c>
      <c r="N74" s="50">
        <f>IF($A74="","",IFERROR(AVERAGEIFS('15_NPS'!$F$5:$F$504,'15_NPS'!$C$5:$C$504,$A74,'15_NPS'!$B$5:$B$504,"&gt;="&amp;'09_PARAMETRI'!$B$5,'15_NPS'!$B$5:$B$504,"&lt;="&amp;'09_PARAMETRI'!$B$6),""))</f>
        <v/>
      </c>
      <c r="O74" s="39">
        <f>IF($A74="","",IF(AND($F74&gt;0,$E74=0),"Client pierdut",IF(AND($L74&lt;&gt;"",$L74&gt;'09_PARAMETRI'!$B$16,$F74&gt;0),"Client dormant",IF(AND($G74&lt;&gt;"",$G74&lt;='09_PARAMETRI'!$B$13),"Scădere de venit",IF(AND($N74&lt;&gt;"",$N74&lt;7),"Detractor activ",IF(AND($E74&gt;0,$J74&gt;'09_PARAMETRI'!$B$19),"Risc concentrare",IF(AND($E74&gt;0,$I74&lt;&gt;"",$I74&lt;'09_PARAMETRI'!$B$15),"Marjă sub referință",IF(AND($G74&lt;&gt;"",$G74&gt;='09_PARAMETRI'!$B$14),"În creștere",IF($E74=0,"Fără activitate","Stabil")))))))))</f>
        <v/>
      </c>
      <c r="P74" s="39">
        <f>IF($A74="","",IF($O74="Risc concentrare","Risc concentrare",IF($O74="Client pierdut","Recuperare client",IF($O74="Client dormant","Reactivare client",IF($O74="Scădere de venit","Recuperare client",IF($O74="Detractor activ","Recuperare NPS",IF($O74="Marjă sub referință","Marjă / preț",IF($O74="În creștere","Up-sell",IF($O74="Fără activitate","Reactivare client","Cross-sell")))))))))</f>
        <v/>
      </c>
      <c r="Q74" s="24">
        <f>IF($A74="","",IFERROR(IF($O74="Scădere de venit",MAX(0,$F74-$E74),IF(OR($O74="Client pierdut",$O74="Client dormant",$O74="Fără activitate"),$F74,IF($O74="Marjă sub referință",MAX(0,$E74*('09_PARAMETRI'!$B$15-$I74)),$E74*0.15))),""))</f>
        <v/>
      </c>
      <c r="R74" s="48">
        <f>IF(OR($A74="",$E74="",N($E74)&lt;=0),"",$E74+ROW()/1000000)</f>
        <v/>
      </c>
    </row>
    <row r="75">
      <c r="A75" s="39">
        <f>IF('10_CLIENTI'!$A75="","",'10_CLIENTI'!$A75)</f>
        <v/>
      </c>
      <c r="B75" s="39">
        <f>IF($A75="","",IFERROR(INDEX('10_CLIENTI'!$B$5:$B$204,MATCH($A75,'10_CLIENTI'!$A$5:$A$204,0)),""))</f>
        <v/>
      </c>
      <c r="C75" s="39">
        <f>IF($A75="","",IFERROR(INDEX('10_CLIENTI'!$C$5:$C$204,MATCH($A75,'10_CLIENTI'!$A$5:$A$204,0)),""))</f>
        <v/>
      </c>
      <c r="D75" s="39">
        <f>IF($A75="","",IFERROR(INDEX('10_CLIENTI'!$G$5:$G$204,MATCH($A75,'10_CLIENTI'!$A$5:$A$204,0)),""))</f>
        <v/>
      </c>
      <c r="E75" s="24">
        <f>IF($A75="","",SUMIFS('13_VANZARI'!$H$5:$H$1004,'13_VANZARI'!$D$5:$D$1004,$A75,'13_VANZARI'!$A$5:$A$1004,"&gt;="&amp;'09_PARAMETRI'!$B$5,'13_VANZARI'!$A$5:$A$1004,"&lt;="&amp;'09_PARAMETRI'!$B$6))</f>
        <v/>
      </c>
      <c r="F75" s="24">
        <f>IF($A75="","",SUMIFS('13_VANZARI'!$H$5:$H$1004,'13_VANZARI'!$D$5:$D$1004,$A75,'13_VANZARI'!$A$5:$A$1004,"&gt;="&amp;'09_PARAMETRI'!$B$7,'13_VANZARI'!$A$5:$A$1004,"&lt;="&amp;'09_PARAMETRI'!$B$8))</f>
        <v/>
      </c>
      <c r="G75" s="25">
        <f>IF($A75="","",IFERROR(IF($F75=0,"",($E75-$F75)/ABS($F75)),""))</f>
        <v/>
      </c>
      <c r="H75" s="24">
        <f>IF($A75="","",SUMIFS('13_VANZARI'!$K$5:$K$1004,'13_VANZARI'!$D$5:$D$1004,$A75,'13_VANZARI'!$A$5:$A$1004,"&gt;="&amp;'09_PARAMETRI'!$B$5,'13_VANZARI'!$A$5:$A$1004,"&lt;="&amp;'09_PARAMETRI'!$B$6))</f>
        <v/>
      </c>
      <c r="I75" s="25">
        <f>IF($A75="","",IFERROR($H75/$E75,""))</f>
        <v/>
      </c>
      <c r="J75" s="25">
        <f>IF($A75="","",IFERROR($E75/SUMIFS('13_VANZARI'!$H$5:$H$1004,'13_VANZARI'!$A$5:$A$1004,"&gt;="&amp;'09_PARAMETRI'!$B$5,'13_VANZARI'!$A$5:$A$1004,"&lt;="&amp;'09_PARAMETRI'!$B$6),""))</f>
        <v/>
      </c>
      <c r="K75" s="36">
        <f>IF($A75="","",IFERROR(IF(SUMPRODUCT(MAX(('13_VANZARI'!$D$5:$D$1004=$A75)*('13_VANZARI'!$H$5:$H$1004&lt;&gt;"")*'13_VANZARI'!$A$5:$A$1004))=0,"",SUMPRODUCT(MAX(('13_VANZARI'!$D$5:$D$1004=$A75)*('13_VANZARI'!$H$5:$H$1004&lt;&gt;"")*'13_VANZARI'!$A$5:$A$1004))),""))</f>
        <v/>
      </c>
      <c r="L75" s="24">
        <f>IF(OR($A75="",$K75=""),"",'09_PARAMETRI'!$B$9-$K75)</f>
        <v/>
      </c>
      <c r="M75" s="24">
        <f>IF($A75="","",SUMPRODUCT(('11_PRODUSE'!$A$5:$A$104&lt;&gt;"")*(SUMIFS('13_VANZARI'!$H$5:$H$1004,'13_VANZARI'!$D$5:$D$1004,$A75,'13_VANZARI'!$E$5:$E$1004,'11_PRODUSE'!$A$5:$A$104,'13_VANZARI'!$A$5:$A$1004,"&gt;="&amp;'09_PARAMETRI'!$B$5,'13_VANZARI'!$A$5:$A$1004,"&lt;="&amp;'09_PARAMETRI'!$B$6)&lt;&gt;0)))</f>
        <v/>
      </c>
      <c r="N75" s="50">
        <f>IF($A75="","",IFERROR(AVERAGEIFS('15_NPS'!$F$5:$F$504,'15_NPS'!$C$5:$C$504,$A75,'15_NPS'!$B$5:$B$504,"&gt;="&amp;'09_PARAMETRI'!$B$5,'15_NPS'!$B$5:$B$504,"&lt;="&amp;'09_PARAMETRI'!$B$6),""))</f>
        <v/>
      </c>
      <c r="O75" s="39">
        <f>IF($A75="","",IF(AND($F75&gt;0,$E75=0),"Client pierdut",IF(AND($L75&lt;&gt;"",$L75&gt;'09_PARAMETRI'!$B$16,$F75&gt;0),"Client dormant",IF(AND($G75&lt;&gt;"",$G75&lt;='09_PARAMETRI'!$B$13),"Scădere de venit",IF(AND($N75&lt;&gt;"",$N75&lt;7),"Detractor activ",IF(AND($E75&gt;0,$J75&gt;'09_PARAMETRI'!$B$19),"Risc concentrare",IF(AND($E75&gt;0,$I75&lt;&gt;"",$I75&lt;'09_PARAMETRI'!$B$15),"Marjă sub referință",IF(AND($G75&lt;&gt;"",$G75&gt;='09_PARAMETRI'!$B$14),"În creștere",IF($E75=0,"Fără activitate","Stabil")))))))))</f>
        <v/>
      </c>
      <c r="P75" s="39">
        <f>IF($A75="","",IF($O75="Risc concentrare","Risc concentrare",IF($O75="Client pierdut","Recuperare client",IF($O75="Client dormant","Reactivare client",IF($O75="Scădere de venit","Recuperare client",IF($O75="Detractor activ","Recuperare NPS",IF($O75="Marjă sub referință","Marjă / preț",IF($O75="În creștere","Up-sell",IF($O75="Fără activitate","Reactivare client","Cross-sell")))))))))</f>
        <v/>
      </c>
      <c r="Q75" s="24">
        <f>IF($A75="","",IFERROR(IF($O75="Scădere de venit",MAX(0,$F75-$E75),IF(OR($O75="Client pierdut",$O75="Client dormant",$O75="Fără activitate"),$F75,IF($O75="Marjă sub referință",MAX(0,$E75*('09_PARAMETRI'!$B$15-$I75)),$E75*0.15))),""))</f>
        <v/>
      </c>
      <c r="R75" s="48">
        <f>IF(OR($A75="",$E75="",N($E75)&lt;=0),"",$E75+ROW()/1000000)</f>
        <v/>
      </c>
    </row>
    <row r="76">
      <c r="A76" s="39">
        <f>IF('10_CLIENTI'!$A76="","",'10_CLIENTI'!$A76)</f>
        <v/>
      </c>
      <c r="B76" s="39">
        <f>IF($A76="","",IFERROR(INDEX('10_CLIENTI'!$B$5:$B$204,MATCH($A76,'10_CLIENTI'!$A$5:$A$204,0)),""))</f>
        <v/>
      </c>
      <c r="C76" s="39">
        <f>IF($A76="","",IFERROR(INDEX('10_CLIENTI'!$C$5:$C$204,MATCH($A76,'10_CLIENTI'!$A$5:$A$204,0)),""))</f>
        <v/>
      </c>
      <c r="D76" s="39">
        <f>IF($A76="","",IFERROR(INDEX('10_CLIENTI'!$G$5:$G$204,MATCH($A76,'10_CLIENTI'!$A$5:$A$204,0)),""))</f>
        <v/>
      </c>
      <c r="E76" s="24">
        <f>IF($A76="","",SUMIFS('13_VANZARI'!$H$5:$H$1004,'13_VANZARI'!$D$5:$D$1004,$A76,'13_VANZARI'!$A$5:$A$1004,"&gt;="&amp;'09_PARAMETRI'!$B$5,'13_VANZARI'!$A$5:$A$1004,"&lt;="&amp;'09_PARAMETRI'!$B$6))</f>
        <v/>
      </c>
      <c r="F76" s="24">
        <f>IF($A76="","",SUMIFS('13_VANZARI'!$H$5:$H$1004,'13_VANZARI'!$D$5:$D$1004,$A76,'13_VANZARI'!$A$5:$A$1004,"&gt;="&amp;'09_PARAMETRI'!$B$7,'13_VANZARI'!$A$5:$A$1004,"&lt;="&amp;'09_PARAMETRI'!$B$8))</f>
        <v/>
      </c>
      <c r="G76" s="25">
        <f>IF($A76="","",IFERROR(IF($F76=0,"",($E76-$F76)/ABS($F76)),""))</f>
        <v/>
      </c>
      <c r="H76" s="24">
        <f>IF($A76="","",SUMIFS('13_VANZARI'!$K$5:$K$1004,'13_VANZARI'!$D$5:$D$1004,$A76,'13_VANZARI'!$A$5:$A$1004,"&gt;="&amp;'09_PARAMETRI'!$B$5,'13_VANZARI'!$A$5:$A$1004,"&lt;="&amp;'09_PARAMETRI'!$B$6))</f>
        <v/>
      </c>
      <c r="I76" s="25">
        <f>IF($A76="","",IFERROR($H76/$E76,""))</f>
        <v/>
      </c>
      <c r="J76" s="25">
        <f>IF($A76="","",IFERROR($E76/SUMIFS('13_VANZARI'!$H$5:$H$1004,'13_VANZARI'!$A$5:$A$1004,"&gt;="&amp;'09_PARAMETRI'!$B$5,'13_VANZARI'!$A$5:$A$1004,"&lt;="&amp;'09_PARAMETRI'!$B$6),""))</f>
        <v/>
      </c>
      <c r="K76" s="36">
        <f>IF($A76="","",IFERROR(IF(SUMPRODUCT(MAX(('13_VANZARI'!$D$5:$D$1004=$A76)*('13_VANZARI'!$H$5:$H$1004&lt;&gt;"")*'13_VANZARI'!$A$5:$A$1004))=0,"",SUMPRODUCT(MAX(('13_VANZARI'!$D$5:$D$1004=$A76)*('13_VANZARI'!$H$5:$H$1004&lt;&gt;"")*'13_VANZARI'!$A$5:$A$1004))),""))</f>
        <v/>
      </c>
      <c r="L76" s="24">
        <f>IF(OR($A76="",$K76=""),"",'09_PARAMETRI'!$B$9-$K76)</f>
        <v/>
      </c>
      <c r="M76" s="24">
        <f>IF($A76="","",SUMPRODUCT(('11_PRODUSE'!$A$5:$A$104&lt;&gt;"")*(SUMIFS('13_VANZARI'!$H$5:$H$1004,'13_VANZARI'!$D$5:$D$1004,$A76,'13_VANZARI'!$E$5:$E$1004,'11_PRODUSE'!$A$5:$A$104,'13_VANZARI'!$A$5:$A$1004,"&gt;="&amp;'09_PARAMETRI'!$B$5,'13_VANZARI'!$A$5:$A$1004,"&lt;="&amp;'09_PARAMETRI'!$B$6)&lt;&gt;0)))</f>
        <v/>
      </c>
      <c r="N76" s="50">
        <f>IF($A76="","",IFERROR(AVERAGEIFS('15_NPS'!$F$5:$F$504,'15_NPS'!$C$5:$C$504,$A76,'15_NPS'!$B$5:$B$504,"&gt;="&amp;'09_PARAMETRI'!$B$5,'15_NPS'!$B$5:$B$504,"&lt;="&amp;'09_PARAMETRI'!$B$6),""))</f>
        <v/>
      </c>
      <c r="O76" s="39">
        <f>IF($A76="","",IF(AND($F76&gt;0,$E76=0),"Client pierdut",IF(AND($L76&lt;&gt;"",$L76&gt;'09_PARAMETRI'!$B$16,$F76&gt;0),"Client dormant",IF(AND($G76&lt;&gt;"",$G76&lt;='09_PARAMETRI'!$B$13),"Scădere de venit",IF(AND($N76&lt;&gt;"",$N76&lt;7),"Detractor activ",IF(AND($E76&gt;0,$J76&gt;'09_PARAMETRI'!$B$19),"Risc concentrare",IF(AND($E76&gt;0,$I76&lt;&gt;"",$I76&lt;'09_PARAMETRI'!$B$15),"Marjă sub referință",IF(AND($G76&lt;&gt;"",$G76&gt;='09_PARAMETRI'!$B$14),"În creștere",IF($E76=0,"Fără activitate","Stabil")))))))))</f>
        <v/>
      </c>
      <c r="P76" s="39">
        <f>IF($A76="","",IF($O76="Risc concentrare","Risc concentrare",IF($O76="Client pierdut","Recuperare client",IF($O76="Client dormant","Reactivare client",IF($O76="Scădere de venit","Recuperare client",IF($O76="Detractor activ","Recuperare NPS",IF($O76="Marjă sub referință","Marjă / preț",IF($O76="În creștere","Up-sell",IF($O76="Fără activitate","Reactivare client","Cross-sell")))))))))</f>
        <v/>
      </c>
      <c r="Q76" s="24">
        <f>IF($A76="","",IFERROR(IF($O76="Scădere de venit",MAX(0,$F76-$E76),IF(OR($O76="Client pierdut",$O76="Client dormant",$O76="Fără activitate"),$F76,IF($O76="Marjă sub referință",MAX(0,$E76*('09_PARAMETRI'!$B$15-$I76)),$E76*0.15))),""))</f>
        <v/>
      </c>
      <c r="R76" s="48">
        <f>IF(OR($A76="",$E76="",N($E76)&lt;=0),"",$E76+ROW()/1000000)</f>
        <v/>
      </c>
    </row>
    <row r="77">
      <c r="A77" s="39">
        <f>IF('10_CLIENTI'!$A77="","",'10_CLIENTI'!$A77)</f>
        <v/>
      </c>
      <c r="B77" s="39">
        <f>IF($A77="","",IFERROR(INDEX('10_CLIENTI'!$B$5:$B$204,MATCH($A77,'10_CLIENTI'!$A$5:$A$204,0)),""))</f>
        <v/>
      </c>
      <c r="C77" s="39">
        <f>IF($A77="","",IFERROR(INDEX('10_CLIENTI'!$C$5:$C$204,MATCH($A77,'10_CLIENTI'!$A$5:$A$204,0)),""))</f>
        <v/>
      </c>
      <c r="D77" s="39">
        <f>IF($A77="","",IFERROR(INDEX('10_CLIENTI'!$G$5:$G$204,MATCH($A77,'10_CLIENTI'!$A$5:$A$204,0)),""))</f>
        <v/>
      </c>
      <c r="E77" s="24">
        <f>IF($A77="","",SUMIFS('13_VANZARI'!$H$5:$H$1004,'13_VANZARI'!$D$5:$D$1004,$A77,'13_VANZARI'!$A$5:$A$1004,"&gt;="&amp;'09_PARAMETRI'!$B$5,'13_VANZARI'!$A$5:$A$1004,"&lt;="&amp;'09_PARAMETRI'!$B$6))</f>
        <v/>
      </c>
      <c r="F77" s="24">
        <f>IF($A77="","",SUMIFS('13_VANZARI'!$H$5:$H$1004,'13_VANZARI'!$D$5:$D$1004,$A77,'13_VANZARI'!$A$5:$A$1004,"&gt;="&amp;'09_PARAMETRI'!$B$7,'13_VANZARI'!$A$5:$A$1004,"&lt;="&amp;'09_PARAMETRI'!$B$8))</f>
        <v/>
      </c>
      <c r="G77" s="25">
        <f>IF($A77="","",IFERROR(IF($F77=0,"",($E77-$F77)/ABS($F77)),""))</f>
        <v/>
      </c>
      <c r="H77" s="24">
        <f>IF($A77="","",SUMIFS('13_VANZARI'!$K$5:$K$1004,'13_VANZARI'!$D$5:$D$1004,$A77,'13_VANZARI'!$A$5:$A$1004,"&gt;="&amp;'09_PARAMETRI'!$B$5,'13_VANZARI'!$A$5:$A$1004,"&lt;="&amp;'09_PARAMETRI'!$B$6))</f>
        <v/>
      </c>
      <c r="I77" s="25">
        <f>IF($A77="","",IFERROR($H77/$E77,""))</f>
        <v/>
      </c>
      <c r="J77" s="25">
        <f>IF($A77="","",IFERROR($E77/SUMIFS('13_VANZARI'!$H$5:$H$1004,'13_VANZARI'!$A$5:$A$1004,"&gt;="&amp;'09_PARAMETRI'!$B$5,'13_VANZARI'!$A$5:$A$1004,"&lt;="&amp;'09_PARAMETRI'!$B$6),""))</f>
        <v/>
      </c>
      <c r="K77" s="36">
        <f>IF($A77="","",IFERROR(IF(SUMPRODUCT(MAX(('13_VANZARI'!$D$5:$D$1004=$A77)*('13_VANZARI'!$H$5:$H$1004&lt;&gt;"")*'13_VANZARI'!$A$5:$A$1004))=0,"",SUMPRODUCT(MAX(('13_VANZARI'!$D$5:$D$1004=$A77)*('13_VANZARI'!$H$5:$H$1004&lt;&gt;"")*'13_VANZARI'!$A$5:$A$1004))),""))</f>
        <v/>
      </c>
      <c r="L77" s="24">
        <f>IF(OR($A77="",$K77=""),"",'09_PARAMETRI'!$B$9-$K77)</f>
        <v/>
      </c>
      <c r="M77" s="24">
        <f>IF($A77="","",SUMPRODUCT(('11_PRODUSE'!$A$5:$A$104&lt;&gt;"")*(SUMIFS('13_VANZARI'!$H$5:$H$1004,'13_VANZARI'!$D$5:$D$1004,$A77,'13_VANZARI'!$E$5:$E$1004,'11_PRODUSE'!$A$5:$A$104,'13_VANZARI'!$A$5:$A$1004,"&gt;="&amp;'09_PARAMETRI'!$B$5,'13_VANZARI'!$A$5:$A$1004,"&lt;="&amp;'09_PARAMETRI'!$B$6)&lt;&gt;0)))</f>
        <v/>
      </c>
      <c r="N77" s="50">
        <f>IF($A77="","",IFERROR(AVERAGEIFS('15_NPS'!$F$5:$F$504,'15_NPS'!$C$5:$C$504,$A77,'15_NPS'!$B$5:$B$504,"&gt;="&amp;'09_PARAMETRI'!$B$5,'15_NPS'!$B$5:$B$504,"&lt;="&amp;'09_PARAMETRI'!$B$6),""))</f>
        <v/>
      </c>
      <c r="O77" s="39">
        <f>IF($A77="","",IF(AND($F77&gt;0,$E77=0),"Client pierdut",IF(AND($L77&lt;&gt;"",$L77&gt;'09_PARAMETRI'!$B$16,$F77&gt;0),"Client dormant",IF(AND($G77&lt;&gt;"",$G77&lt;='09_PARAMETRI'!$B$13),"Scădere de venit",IF(AND($N77&lt;&gt;"",$N77&lt;7),"Detractor activ",IF(AND($E77&gt;0,$J77&gt;'09_PARAMETRI'!$B$19),"Risc concentrare",IF(AND($E77&gt;0,$I77&lt;&gt;"",$I77&lt;'09_PARAMETRI'!$B$15),"Marjă sub referință",IF(AND($G77&lt;&gt;"",$G77&gt;='09_PARAMETRI'!$B$14),"În creștere",IF($E77=0,"Fără activitate","Stabil")))))))))</f>
        <v/>
      </c>
      <c r="P77" s="39">
        <f>IF($A77="","",IF($O77="Risc concentrare","Risc concentrare",IF($O77="Client pierdut","Recuperare client",IF($O77="Client dormant","Reactivare client",IF($O77="Scădere de venit","Recuperare client",IF($O77="Detractor activ","Recuperare NPS",IF($O77="Marjă sub referință","Marjă / preț",IF($O77="În creștere","Up-sell",IF($O77="Fără activitate","Reactivare client","Cross-sell")))))))))</f>
        <v/>
      </c>
      <c r="Q77" s="24">
        <f>IF($A77="","",IFERROR(IF($O77="Scădere de venit",MAX(0,$F77-$E77),IF(OR($O77="Client pierdut",$O77="Client dormant",$O77="Fără activitate"),$F77,IF($O77="Marjă sub referință",MAX(0,$E77*('09_PARAMETRI'!$B$15-$I77)),$E77*0.15))),""))</f>
        <v/>
      </c>
      <c r="R77" s="48">
        <f>IF(OR($A77="",$E77="",N($E77)&lt;=0),"",$E77+ROW()/1000000)</f>
        <v/>
      </c>
    </row>
    <row r="78">
      <c r="A78" s="39">
        <f>IF('10_CLIENTI'!$A78="","",'10_CLIENTI'!$A78)</f>
        <v/>
      </c>
      <c r="B78" s="39">
        <f>IF($A78="","",IFERROR(INDEX('10_CLIENTI'!$B$5:$B$204,MATCH($A78,'10_CLIENTI'!$A$5:$A$204,0)),""))</f>
        <v/>
      </c>
      <c r="C78" s="39">
        <f>IF($A78="","",IFERROR(INDEX('10_CLIENTI'!$C$5:$C$204,MATCH($A78,'10_CLIENTI'!$A$5:$A$204,0)),""))</f>
        <v/>
      </c>
      <c r="D78" s="39">
        <f>IF($A78="","",IFERROR(INDEX('10_CLIENTI'!$G$5:$G$204,MATCH($A78,'10_CLIENTI'!$A$5:$A$204,0)),""))</f>
        <v/>
      </c>
      <c r="E78" s="24">
        <f>IF($A78="","",SUMIFS('13_VANZARI'!$H$5:$H$1004,'13_VANZARI'!$D$5:$D$1004,$A78,'13_VANZARI'!$A$5:$A$1004,"&gt;="&amp;'09_PARAMETRI'!$B$5,'13_VANZARI'!$A$5:$A$1004,"&lt;="&amp;'09_PARAMETRI'!$B$6))</f>
        <v/>
      </c>
      <c r="F78" s="24">
        <f>IF($A78="","",SUMIFS('13_VANZARI'!$H$5:$H$1004,'13_VANZARI'!$D$5:$D$1004,$A78,'13_VANZARI'!$A$5:$A$1004,"&gt;="&amp;'09_PARAMETRI'!$B$7,'13_VANZARI'!$A$5:$A$1004,"&lt;="&amp;'09_PARAMETRI'!$B$8))</f>
        <v/>
      </c>
      <c r="G78" s="25">
        <f>IF($A78="","",IFERROR(IF($F78=0,"",($E78-$F78)/ABS($F78)),""))</f>
        <v/>
      </c>
      <c r="H78" s="24">
        <f>IF($A78="","",SUMIFS('13_VANZARI'!$K$5:$K$1004,'13_VANZARI'!$D$5:$D$1004,$A78,'13_VANZARI'!$A$5:$A$1004,"&gt;="&amp;'09_PARAMETRI'!$B$5,'13_VANZARI'!$A$5:$A$1004,"&lt;="&amp;'09_PARAMETRI'!$B$6))</f>
        <v/>
      </c>
      <c r="I78" s="25">
        <f>IF($A78="","",IFERROR($H78/$E78,""))</f>
        <v/>
      </c>
      <c r="J78" s="25">
        <f>IF($A78="","",IFERROR($E78/SUMIFS('13_VANZARI'!$H$5:$H$1004,'13_VANZARI'!$A$5:$A$1004,"&gt;="&amp;'09_PARAMETRI'!$B$5,'13_VANZARI'!$A$5:$A$1004,"&lt;="&amp;'09_PARAMETRI'!$B$6),""))</f>
        <v/>
      </c>
      <c r="K78" s="36">
        <f>IF($A78="","",IFERROR(IF(SUMPRODUCT(MAX(('13_VANZARI'!$D$5:$D$1004=$A78)*('13_VANZARI'!$H$5:$H$1004&lt;&gt;"")*'13_VANZARI'!$A$5:$A$1004))=0,"",SUMPRODUCT(MAX(('13_VANZARI'!$D$5:$D$1004=$A78)*('13_VANZARI'!$H$5:$H$1004&lt;&gt;"")*'13_VANZARI'!$A$5:$A$1004))),""))</f>
        <v/>
      </c>
      <c r="L78" s="24">
        <f>IF(OR($A78="",$K78=""),"",'09_PARAMETRI'!$B$9-$K78)</f>
        <v/>
      </c>
      <c r="M78" s="24">
        <f>IF($A78="","",SUMPRODUCT(('11_PRODUSE'!$A$5:$A$104&lt;&gt;"")*(SUMIFS('13_VANZARI'!$H$5:$H$1004,'13_VANZARI'!$D$5:$D$1004,$A78,'13_VANZARI'!$E$5:$E$1004,'11_PRODUSE'!$A$5:$A$104,'13_VANZARI'!$A$5:$A$1004,"&gt;="&amp;'09_PARAMETRI'!$B$5,'13_VANZARI'!$A$5:$A$1004,"&lt;="&amp;'09_PARAMETRI'!$B$6)&lt;&gt;0)))</f>
        <v/>
      </c>
      <c r="N78" s="50">
        <f>IF($A78="","",IFERROR(AVERAGEIFS('15_NPS'!$F$5:$F$504,'15_NPS'!$C$5:$C$504,$A78,'15_NPS'!$B$5:$B$504,"&gt;="&amp;'09_PARAMETRI'!$B$5,'15_NPS'!$B$5:$B$504,"&lt;="&amp;'09_PARAMETRI'!$B$6),""))</f>
        <v/>
      </c>
      <c r="O78" s="39">
        <f>IF($A78="","",IF(AND($F78&gt;0,$E78=0),"Client pierdut",IF(AND($L78&lt;&gt;"",$L78&gt;'09_PARAMETRI'!$B$16,$F78&gt;0),"Client dormant",IF(AND($G78&lt;&gt;"",$G78&lt;='09_PARAMETRI'!$B$13),"Scădere de venit",IF(AND($N78&lt;&gt;"",$N78&lt;7),"Detractor activ",IF(AND($E78&gt;0,$J78&gt;'09_PARAMETRI'!$B$19),"Risc concentrare",IF(AND($E78&gt;0,$I78&lt;&gt;"",$I78&lt;'09_PARAMETRI'!$B$15),"Marjă sub referință",IF(AND($G78&lt;&gt;"",$G78&gt;='09_PARAMETRI'!$B$14),"În creștere",IF($E78=0,"Fără activitate","Stabil")))))))))</f>
        <v/>
      </c>
      <c r="P78" s="39">
        <f>IF($A78="","",IF($O78="Risc concentrare","Risc concentrare",IF($O78="Client pierdut","Recuperare client",IF($O78="Client dormant","Reactivare client",IF($O78="Scădere de venit","Recuperare client",IF($O78="Detractor activ","Recuperare NPS",IF($O78="Marjă sub referință","Marjă / preț",IF($O78="În creștere","Up-sell",IF($O78="Fără activitate","Reactivare client","Cross-sell")))))))))</f>
        <v/>
      </c>
      <c r="Q78" s="24">
        <f>IF($A78="","",IFERROR(IF($O78="Scădere de venit",MAX(0,$F78-$E78),IF(OR($O78="Client pierdut",$O78="Client dormant",$O78="Fără activitate"),$F78,IF($O78="Marjă sub referință",MAX(0,$E78*('09_PARAMETRI'!$B$15-$I78)),$E78*0.15))),""))</f>
        <v/>
      </c>
      <c r="R78" s="48">
        <f>IF(OR($A78="",$E78="",N($E78)&lt;=0),"",$E78+ROW()/1000000)</f>
        <v/>
      </c>
    </row>
    <row r="79">
      <c r="A79" s="39">
        <f>IF('10_CLIENTI'!$A79="","",'10_CLIENTI'!$A79)</f>
        <v/>
      </c>
      <c r="B79" s="39">
        <f>IF($A79="","",IFERROR(INDEX('10_CLIENTI'!$B$5:$B$204,MATCH($A79,'10_CLIENTI'!$A$5:$A$204,0)),""))</f>
        <v/>
      </c>
      <c r="C79" s="39">
        <f>IF($A79="","",IFERROR(INDEX('10_CLIENTI'!$C$5:$C$204,MATCH($A79,'10_CLIENTI'!$A$5:$A$204,0)),""))</f>
        <v/>
      </c>
      <c r="D79" s="39">
        <f>IF($A79="","",IFERROR(INDEX('10_CLIENTI'!$G$5:$G$204,MATCH($A79,'10_CLIENTI'!$A$5:$A$204,0)),""))</f>
        <v/>
      </c>
      <c r="E79" s="24">
        <f>IF($A79="","",SUMIFS('13_VANZARI'!$H$5:$H$1004,'13_VANZARI'!$D$5:$D$1004,$A79,'13_VANZARI'!$A$5:$A$1004,"&gt;="&amp;'09_PARAMETRI'!$B$5,'13_VANZARI'!$A$5:$A$1004,"&lt;="&amp;'09_PARAMETRI'!$B$6))</f>
        <v/>
      </c>
      <c r="F79" s="24">
        <f>IF($A79="","",SUMIFS('13_VANZARI'!$H$5:$H$1004,'13_VANZARI'!$D$5:$D$1004,$A79,'13_VANZARI'!$A$5:$A$1004,"&gt;="&amp;'09_PARAMETRI'!$B$7,'13_VANZARI'!$A$5:$A$1004,"&lt;="&amp;'09_PARAMETRI'!$B$8))</f>
        <v/>
      </c>
      <c r="G79" s="25">
        <f>IF($A79="","",IFERROR(IF($F79=0,"",($E79-$F79)/ABS($F79)),""))</f>
        <v/>
      </c>
      <c r="H79" s="24">
        <f>IF($A79="","",SUMIFS('13_VANZARI'!$K$5:$K$1004,'13_VANZARI'!$D$5:$D$1004,$A79,'13_VANZARI'!$A$5:$A$1004,"&gt;="&amp;'09_PARAMETRI'!$B$5,'13_VANZARI'!$A$5:$A$1004,"&lt;="&amp;'09_PARAMETRI'!$B$6))</f>
        <v/>
      </c>
      <c r="I79" s="25">
        <f>IF($A79="","",IFERROR($H79/$E79,""))</f>
        <v/>
      </c>
      <c r="J79" s="25">
        <f>IF($A79="","",IFERROR($E79/SUMIFS('13_VANZARI'!$H$5:$H$1004,'13_VANZARI'!$A$5:$A$1004,"&gt;="&amp;'09_PARAMETRI'!$B$5,'13_VANZARI'!$A$5:$A$1004,"&lt;="&amp;'09_PARAMETRI'!$B$6),""))</f>
        <v/>
      </c>
      <c r="K79" s="36">
        <f>IF($A79="","",IFERROR(IF(SUMPRODUCT(MAX(('13_VANZARI'!$D$5:$D$1004=$A79)*('13_VANZARI'!$H$5:$H$1004&lt;&gt;"")*'13_VANZARI'!$A$5:$A$1004))=0,"",SUMPRODUCT(MAX(('13_VANZARI'!$D$5:$D$1004=$A79)*('13_VANZARI'!$H$5:$H$1004&lt;&gt;"")*'13_VANZARI'!$A$5:$A$1004))),""))</f>
        <v/>
      </c>
      <c r="L79" s="24">
        <f>IF(OR($A79="",$K79=""),"",'09_PARAMETRI'!$B$9-$K79)</f>
        <v/>
      </c>
      <c r="M79" s="24">
        <f>IF($A79="","",SUMPRODUCT(('11_PRODUSE'!$A$5:$A$104&lt;&gt;"")*(SUMIFS('13_VANZARI'!$H$5:$H$1004,'13_VANZARI'!$D$5:$D$1004,$A79,'13_VANZARI'!$E$5:$E$1004,'11_PRODUSE'!$A$5:$A$104,'13_VANZARI'!$A$5:$A$1004,"&gt;="&amp;'09_PARAMETRI'!$B$5,'13_VANZARI'!$A$5:$A$1004,"&lt;="&amp;'09_PARAMETRI'!$B$6)&lt;&gt;0)))</f>
        <v/>
      </c>
      <c r="N79" s="50">
        <f>IF($A79="","",IFERROR(AVERAGEIFS('15_NPS'!$F$5:$F$504,'15_NPS'!$C$5:$C$504,$A79,'15_NPS'!$B$5:$B$504,"&gt;="&amp;'09_PARAMETRI'!$B$5,'15_NPS'!$B$5:$B$504,"&lt;="&amp;'09_PARAMETRI'!$B$6),""))</f>
        <v/>
      </c>
      <c r="O79" s="39">
        <f>IF($A79="","",IF(AND($F79&gt;0,$E79=0),"Client pierdut",IF(AND($L79&lt;&gt;"",$L79&gt;'09_PARAMETRI'!$B$16,$F79&gt;0),"Client dormant",IF(AND($G79&lt;&gt;"",$G79&lt;='09_PARAMETRI'!$B$13),"Scădere de venit",IF(AND($N79&lt;&gt;"",$N79&lt;7),"Detractor activ",IF(AND($E79&gt;0,$J79&gt;'09_PARAMETRI'!$B$19),"Risc concentrare",IF(AND($E79&gt;0,$I79&lt;&gt;"",$I79&lt;'09_PARAMETRI'!$B$15),"Marjă sub referință",IF(AND($G79&lt;&gt;"",$G79&gt;='09_PARAMETRI'!$B$14),"În creștere",IF($E79=0,"Fără activitate","Stabil")))))))))</f>
        <v/>
      </c>
      <c r="P79" s="39">
        <f>IF($A79="","",IF($O79="Risc concentrare","Risc concentrare",IF($O79="Client pierdut","Recuperare client",IF($O79="Client dormant","Reactivare client",IF($O79="Scădere de venit","Recuperare client",IF($O79="Detractor activ","Recuperare NPS",IF($O79="Marjă sub referință","Marjă / preț",IF($O79="În creștere","Up-sell",IF($O79="Fără activitate","Reactivare client","Cross-sell")))))))))</f>
        <v/>
      </c>
      <c r="Q79" s="24">
        <f>IF($A79="","",IFERROR(IF($O79="Scădere de venit",MAX(0,$F79-$E79),IF(OR($O79="Client pierdut",$O79="Client dormant",$O79="Fără activitate"),$F79,IF($O79="Marjă sub referință",MAX(0,$E79*('09_PARAMETRI'!$B$15-$I79)),$E79*0.15))),""))</f>
        <v/>
      </c>
      <c r="R79" s="48">
        <f>IF(OR($A79="",$E79="",N($E79)&lt;=0),"",$E79+ROW()/1000000)</f>
        <v/>
      </c>
    </row>
    <row r="80">
      <c r="A80" s="39">
        <f>IF('10_CLIENTI'!$A80="","",'10_CLIENTI'!$A80)</f>
        <v/>
      </c>
      <c r="B80" s="39">
        <f>IF($A80="","",IFERROR(INDEX('10_CLIENTI'!$B$5:$B$204,MATCH($A80,'10_CLIENTI'!$A$5:$A$204,0)),""))</f>
        <v/>
      </c>
      <c r="C80" s="39">
        <f>IF($A80="","",IFERROR(INDEX('10_CLIENTI'!$C$5:$C$204,MATCH($A80,'10_CLIENTI'!$A$5:$A$204,0)),""))</f>
        <v/>
      </c>
      <c r="D80" s="39">
        <f>IF($A80="","",IFERROR(INDEX('10_CLIENTI'!$G$5:$G$204,MATCH($A80,'10_CLIENTI'!$A$5:$A$204,0)),""))</f>
        <v/>
      </c>
      <c r="E80" s="24">
        <f>IF($A80="","",SUMIFS('13_VANZARI'!$H$5:$H$1004,'13_VANZARI'!$D$5:$D$1004,$A80,'13_VANZARI'!$A$5:$A$1004,"&gt;="&amp;'09_PARAMETRI'!$B$5,'13_VANZARI'!$A$5:$A$1004,"&lt;="&amp;'09_PARAMETRI'!$B$6))</f>
        <v/>
      </c>
      <c r="F80" s="24">
        <f>IF($A80="","",SUMIFS('13_VANZARI'!$H$5:$H$1004,'13_VANZARI'!$D$5:$D$1004,$A80,'13_VANZARI'!$A$5:$A$1004,"&gt;="&amp;'09_PARAMETRI'!$B$7,'13_VANZARI'!$A$5:$A$1004,"&lt;="&amp;'09_PARAMETRI'!$B$8))</f>
        <v/>
      </c>
      <c r="G80" s="25">
        <f>IF($A80="","",IFERROR(IF($F80=0,"",($E80-$F80)/ABS($F80)),""))</f>
        <v/>
      </c>
      <c r="H80" s="24">
        <f>IF($A80="","",SUMIFS('13_VANZARI'!$K$5:$K$1004,'13_VANZARI'!$D$5:$D$1004,$A80,'13_VANZARI'!$A$5:$A$1004,"&gt;="&amp;'09_PARAMETRI'!$B$5,'13_VANZARI'!$A$5:$A$1004,"&lt;="&amp;'09_PARAMETRI'!$B$6))</f>
        <v/>
      </c>
      <c r="I80" s="25">
        <f>IF($A80="","",IFERROR($H80/$E80,""))</f>
        <v/>
      </c>
      <c r="J80" s="25">
        <f>IF($A80="","",IFERROR($E80/SUMIFS('13_VANZARI'!$H$5:$H$1004,'13_VANZARI'!$A$5:$A$1004,"&gt;="&amp;'09_PARAMETRI'!$B$5,'13_VANZARI'!$A$5:$A$1004,"&lt;="&amp;'09_PARAMETRI'!$B$6),""))</f>
        <v/>
      </c>
      <c r="K80" s="36">
        <f>IF($A80="","",IFERROR(IF(SUMPRODUCT(MAX(('13_VANZARI'!$D$5:$D$1004=$A80)*('13_VANZARI'!$H$5:$H$1004&lt;&gt;"")*'13_VANZARI'!$A$5:$A$1004))=0,"",SUMPRODUCT(MAX(('13_VANZARI'!$D$5:$D$1004=$A80)*('13_VANZARI'!$H$5:$H$1004&lt;&gt;"")*'13_VANZARI'!$A$5:$A$1004))),""))</f>
        <v/>
      </c>
      <c r="L80" s="24">
        <f>IF(OR($A80="",$K80=""),"",'09_PARAMETRI'!$B$9-$K80)</f>
        <v/>
      </c>
      <c r="M80" s="24">
        <f>IF($A80="","",SUMPRODUCT(('11_PRODUSE'!$A$5:$A$104&lt;&gt;"")*(SUMIFS('13_VANZARI'!$H$5:$H$1004,'13_VANZARI'!$D$5:$D$1004,$A80,'13_VANZARI'!$E$5:$E$1004,'11_PRODUSE'!$A$5:$A$104,'13_VANZARI'!$A$5:$A$1004,"&gt;="&amp;'09_PARAMETRI'!$B$5,'13_VANZARI'!$A$5:$A$1004,"&lt;="&amp;'09_PARAMETRI'!$B$6)&lt;&gt;0)))</f>
        <v/>
      </c>
      <c r="N80" s="50">
        <f>IF($A80="","",IFERROR(AVERAGEIFS('15_NPS'!$F$5:$F$504,'15_NPS'!$C$5:$C$504,$A80,'15_NPS'!$B$5:$B$504,"&gt;="&amp;'09_PARAMETRI'!$B$5,'15_NPS'!$B$5:$B$504,"&lt;="&amp;'09_PARAMETRI'!$B$6),""))</f>
        <v/>
      </c>
      <c r="O80" s="39">
        <f>IF($A80="","",IF(AND($F80&gt;0,$E80=0),"Client pierdut",IF(AND($L80&lt;&gt;"",$L80&gt;'09_PARAMETRI'!$B$16,$F80&gt;0),"Client dormant",IF(AND($G80&lt;&gt;"",$G80&lt;='09_PARAMETRI'!$B$13),"Scădere de venit",IF(AND($N80&lt;&gt;"",$N80&lt;7),"Detractor activ",IF(AND($E80&gt;0,$J80&gt;'09_PARAMETRI'!$B$19),"Risc concentrare",IF(AND($E80&gt;0,$I80&lt;&gt;"",$I80&lt;'09_PARAMETRI'!$B$15),"Marjă sub referință",IF(AND($G80&lt;&gt;"",$G80&gt;='09_PARAMETRI'!$B$14),"În creștere",IF($E80=0,"Fără activitate","Stabil")))))))))</f>
        <v/>
      </c>
      <c r="P80" s="39">
        <f>IF($A80="","",IF($O80="Risc concentrare","Risc concentrare",IF($O80="Client pierdut","Recuperare client",IF($O80="Client dormant","Reactivare client",IF($O80="Scădere de venit","Recuperare client",IF($O80="Detractor activ","Recuperare NPS",IF($O80="Marjă sub referință","Marjă / preț",IF($O80="În creștere","Up-sell",IF($O80="Fără activitate","Reactivare client","Cross-sell")))))))))</f>
        <v/>
      </c>
      <c r="Q80" s="24">
        <f>IF($A80="","",IFERROR(IF($O80="Scădere de venit",MAX(0,$F80-$E80),IF(OR($O80="Client pierdut",$O80="Client dormant",$O80="Fără activitate"),$F80,IF($O80="Marjă sub referință",MAX(0,$E80*('09_PARAMETRI'!$B$15-$I80)),$E80*0.15))),""))</f>
        <v/>
      </c>
      <c r="R80" s="48">
        <f>IF(OR($A80="",$E80="",N($E80)&lt;=0),"",$E80+ROW()/1000000)</f>
        <v/>
      </c>
    </row>
    <row r="81">
      <c r="A81" s="39">
        <f>IF('10_CLIENTI'!$A81="","",'10_CLIENTI'!$A81)</f>
        <v/>
      </c>
      <c r="B81" s="39">
        <f>IF($A81="","",IFERROR(INDEX('10_CLIENTI'!$B$5:$B$204,MATCH($A81,'10_CLIENTI'!$A$5:$A$204,0)),""))</f>
        <v/>
      </c>
      <c r="C81" s="39">
        <f>IF($A81="","",IFERROR(INDEX('10_CLIENTI'!$C$5:$C$204,MATCH($A81,'10_CLIENTI'!$A$5:$A$204,0)),""))</f>
        <v/>
      </c>
      <c r="D81" s="39">
        <f>IF($A81="","",IFERROR(INDEX('10_CLIENTI'!$G$5:$G$204,MATCH($A81,'10_CLIENTI'!$A$5:$A$204,0)),""))</f>
        <v/>
      </c>
      <c r="E81" s="24">
        <f>IF($A81="","",SUMIFS('13_VANZARI'!$H$5:$H$1004,'13_VANZARI'!$D$5:$D$1004,$A81,'13_VANZARI'!$A$5:$A$1004,"&gt;="&amp;'09_PARAMETRI'!$B$5,'13_VANZARI'!$A$5:$A$1004,"&lt;="&amp;'09_PARAMETRI'!$B$6))</f>
        <v/>
      </c>
      <c r="F81" s="24">
        <f>IF($A81="","",SUMIFS('13_VANZARI'!$H$5:$H$1004,'13_VANZARI'!$D$5:$D$1004,$A81,'13_VANZARI'!$A$5:$A$1004,"&gt;="&amp;'09_PARAMETRI'!$B$7,'13_VANZARI'!$A$5:$A$1004,"&lt;="&amp;'09_PARAMETRI'!$B$8))</f>
        <v/>
      </c>
      <c r="G81" s="25">
        <f>IF($A81="","",IFERROR(IF($F81=0,"",($E81-$F81)/ABS($F81)),""))</f>
        <v/>
      </c>
      <c r="H81" s="24">
        <f>IF($A81="","",SUMIFS('13_VANZARI'!$K$5:$K$1004,'13_VANZARI'!$D$5:$D$1004,$A81,'13_VANZARI'!$A$5:$A$1004,"&gt;="&amp;'09_PARAMETRI'!$B$5,'13_VANZARI'!$A$5:$A$1004,"&lt;="&amp;'09_PARAMETRI'!$B$6))</f>
        <v/>
      </c>
      <c r="I81" s="25">
        <f>IF($A81="","",IFERROR($H81/$E81,""))</f>
        <v/>
      </c>
      <c r="J81" s="25">
        <f>IF($A81="","",IFERROR($E81/SUMIFS('13_VANZARI'!$H$5:$H$1004,'13_VANZARI'!$A$5:$A$1004,"&gt;="&amp;'09_PARAMETRI'!$B$5,'13_VANZARI'!$A$5:$A$1004,"&lt;="&amp;'09_PARAMETRI'!$B$6),""))</f>
        <v/>
      </c>
      <c r="K81" s="36">
        <f>IF($A81="","",IFERROR(IF(SUMPRODUCT(MAX(('13_VANZARI'!$D$5:$D$1004=$A81)*('13_VANZARI'!$H$5:$H$1004&lt;&gt;"")*'13_VANZARI'!$A$5:$A$1004))=0,"",SUMPRODUCT(MAX(('13_VANZARI'!$D$5:$D$1004=$A81)*('13_VANZARI'!$H$5:$H$1004&lt;&gt;"")*'13_VANZARI'!$A$5:$A$1004))),""))</f>
        <v/>
      </c>
      <c r="L81" s="24">
        <f>IF(OR($A81="",$K81=""),"",'09_PARAMETRI'!$B$9-$K81)</f>
        <v/>
      </c>
      <c r="M81" s="24">
        <f>IF($A81="","",SUMPRODUCT(('11_PRODUSE'!$A$5:$A$104&lt;&gt;"")*(SUMIFS('13_VANZARI'!$H$5:$H$1004,'13_VANZARI'!$D$5:$D$1004,$A81,'13_VANZARI'!$E$5:$E$1004,'11_PRODUSE'!$A$5:$A$104,'13_VANZARI'!$A$5:$A$1004,"&gt;="&amp;'09_PARAMETRI'!$B$5,'13_VANZARI'!$A$5:$A$1004,"&lt;="&amp;'09_PARAMETRI'!$B$6)&lt;&gt;0)))</f>
        <v/>
      </c>
      <c r="N81" s="50">
        <f>IF($A81="","",IFERROR(AVERAGEIFS('15_NPS'!$F$5:$F$504,'15_NPS'!$C$5:$C$504,$A81,'15_NPS'!$B$5:$B$504,"&gt;="&amp;'09_PARAMETRI'!$B$5,'15_NPS'!$B$5:$B$504,"&lt;="&amp;'09_PARAMETRI'!$B$6),""))</f>
        <v/>
      </c>
      <c r="O81" s="39">
        <f>IF($A81="","",IF(AND($F81&gt;0,$E81=0),"Client pierdut",IF(AND($L81&lt;&gt;"",$L81&gt;'09_PARAMETRI'!$B$16,$F81&gt;0),"Client dormant",IF(AND($G81&lt;&gt;"",$G81&lt;='09_PARAMETRI'!$B$13),"Scădere de venit",IF(AND($N81&lt;&gt;"",$N81&lt;7),"Detractor activ",IF(AND($E81&gt;0,$J81&gt;'09_PARAMETRI'!$B$19),"Risc concentrare",IF(AND($E81&gt;0,$I81&lt;&gt;"",$I81&lt;'09_PARAMETRI'!$B$15),"Marjă sub referință",IF(AND($G81&lt;&gt;"",$G81&gt;='09_PARAMETRI'!$B$14),"În creștere",IF($E81=0,"Fără activitate","Stabil")))))))))</f>
        <v/>
      </c>
      <c r="P81" s="39">
        <f>IF($A81="","",IF($O81="Risc concentrare","Risc concentrare",IF($O81="Client pierdut","Recuperare client",IF($O81="Client dormant","Reactivare client",IF($O81="Scădere de venit","Recuperare client",IF($O81="Detractor activ","Recuperare NPS",IF($O81="Marjă sub referință","Marjă / preț",IF($O81="În creștere","Up-sell",IF($O81="Fără activitate","Reactivare client","Cross-sell")))))))))</f>
        <v/>
      </c>
      <c r="Q81" s="24">
        <f>IF($A81="","",IFERROR(IF($O81="Scădere de venit",MAX(0,$F81-$E81),IF(OR($O81="Client pierdut",$O81="Client dormant",$O81="Fără activitate"),$F81,IF($O81="Marjă sub referință",MAX(0,$E81*('09_PARAMETRI'!$B$15-$I81)),$E81*0.15))),""))</f>
        <v/>
      </c>
      <c r="R81" s="48">
        <f>IF(OR($A81="",$E81="",N($E81)&lt;=0),"",$E81+ROW()/1000000)</f>
        <v/>
      </c>
    </row>
    <row r="82">
      <c r="A82" s="39">
        <f>IF('10_CLIENTI'!$A82="","",'10_CLIENTI'!$A82)</f>
        <v/>
      </c>
      <c r="B82" s="39">
        <f>IF($A82="","",IFERROR(INDEX('10_CLIENTI'!$B$5:$B$204,MATCH($A82,'10_CLIENTI'!$A$5:$A$204,0)),""))</f>
        <v/>
      </c>
      <c r="C82" s="39">
        <f>IF($A82="","",IFERROR(INDEX('10_CLIENTI'!$C$5:$C$204,MATCH($A82,'10_CLIENTI'!$A$5:$A$204,0)),""))</f>
        <v/>
      </c>
      <c r="D82" s="39">
        <f>IF($A82="","",IFERROR(INDEX('10_CLIENTI'!$G$5:$G$204,MATCH($A82,'10_CLIENTI'!$A$5:$A$204,0)),""))</f>
        <v/>
      </c>
      <c r="E82" s="24">
        <f>IF($A82="","",SUMIFS('13_VANZARI'!$H$5:$H$1004,'13_VANZARI'!$D$5:$D$1004,$A82,'13_VANZARI'!$A$5:$A$1004,"&gt;="&amp;'09_PARAMETRI'!$B$5,'13_VANZARI'!$A$5:$A$1004,"&lt;="&amp;'09_PARAMETRI'!$B$6))</f>
        <v/>
      </c>
      <c r="F82" s="24">
        <f>IF($A82="","",SUMIFS('13_VANZARI'!$H$5:$H$1004,'13_VANZARI'!$D$5:$D$1004,$A82,'13_VANZARI'!$A$5:$A$1004,"&gt;="&amp;'09_PARAMETRI'!$B$7,'13_VANZARI'!$A$5:$A$1004,"&lt;="&amp;'09_PARAMETRI'!$B$8))</f>
        <v/>
      </c>
      <c r="G82" s="25">
        <f>IF($A82="","",IFERROR(IF($F82=0,"",($E82-$F82)/ABS($F82)),""))</f>
        <v/>
      </c>
      <c r="H82" s="24">
        <f>IF($A82="","",SUMIFS('13_VANZARI'!$K$5:$K$1004,'13_VANZARI'!$D$5:$D$1004,$A82,'13_VANZARI'!$A$5:$A$1004,"&gt;="&amp;'09_PARAMETRI'!$B$5,'13_VANZARI'!$A$5:$A$1004,"&lt;="&amp;'09_PARAMETRI'!$B$6))</f>
        <v/>
      </c>
      <c r="I82" s="25">
        <f>IF($A82="","",IFERROR($H82/$E82,""))</f>
        <v/>
      </c>
      <c r="J82" s="25">
        <f>IF($A82="","",IFERROR($E82/SUMIFS('13_VANZARI'!$H$5:$H$1004,'13_VANZARI'!$A$5:$A$1004,"&gt;="&amp;'09_PARAMETRI'!$B$5,'13_VANZARI'!$A$5:$A$1004,"&lt;="&amp;'09_PARAMETRI'!$B$6),""))</f>
        <v/>
      </c>
      <c r="K82" s="36">
        <f>IF($A82="","",IFERROR(IF(SUMPRODUCT(MAX(('13_VANZARI'!$D$5:$D$1004=$A82)*('13_VANZARI'!$H$5:$H$1004&lt;&gt;"")*'13_VANZARI'!$A$5:$A$1004))=0,"",SUMPRODUCT(MAX(('13_VANZARI'!$D$5:$D$1004=$A82)*('13_VANZARI'!$H$5:$H$1004&lt;&gt;"")*'13_VANZARI'!$A$5:$A$1004))),""))</f>
        <v/>
      </c>
      <c r="L82" s="24">
        <f>IF(OR($A82="",$K82=""),"",'09_PARAMETRI'!$B$9-$K82)</f>
        <v/>
      </c>
      <c r="M82" s="24">
        <f>IF($A82="","",SUMPRODUCT(('11_PRODUSE'!$A$5:$A$104&lt;&gt;"")*(SUMIFS('13_VANZARI'!$H$5:$H$1004,'13_VANZARI'!$D$5:$D$1004,$A82,'13_VANZARI'!$E$5:$E$1004,'11_PRODUSE'!$A$5:$A$104,'13_VANZARI'!$A$5:$A$1004,"&gt;="&amp;'09_PARAMETRI'!$B$5,'13_VANZARI'!$A$5:$A$1004,"&lt;="&amp;'09_PARAMETRI'!$B$6)&lt;&gt;0)))</f>
        <v/>
      </c>
      <c r="N82" s="50">
        <f>IF($A82="","",IFERROR(AVERAGEIFS('15_NPS'!$F$5:$F$504,'15_NPS'!$C$5:$C$504,$A82,'15_NPS'!$B$5:$B$504,"&gt;="&amp;'09_PARAMETRI'!$B$5,'15_NPS'!$B$5:$B$504,"&lt;="&amp;'09_PARAMETRI'!$B$6),""))</f>
        <v/>
      </c>
      <c r="O82" s="39">
        <f>IF($A82="","",IF(AND($F82&gt;0,$E82=0),"Client pierdut",IF(AND($L82&lt;&gt;"",$L82&gt;'09_PARAMETRI'!$B$16,$F82&gt;0),"Client dormant",IF(AND($G82&lt;&gt;"",$G82&lt;='09_PARAMETRI'!$B$13),"Scădere de venit",IF(AND($N82&lt;&gt;"",$N82&lt;7),"Detractor activ",IF(AND($E82&gt;0,$J82&gt;'09_PARAMETRI'!$B$19),"Risc concentrare",IF(AND($E82&gt;0,$I82&lt;&gt;"",$I82&lt;'09_PARAMETRI'!$B$15),"Marjă sub referință",IF(AND($G82&lt;&gt;"",$G82&gt;='09_PARAMETRI'!$B$14),"În creștere",IF($E82=0,"Fără activitate","Stabil")))))))))</f>
        <v/>
      </c>
      <c r="P82" s="39">
        <f>IF($A82="","",IF($O82="Risc concentrare","Risc concentrare",IF($O82="Client pierdut","Recuperare client",IF($O82="Client dormant","Reactivare client",IF($O82="Scădere de venit","Recuperare client",IF($O82="Detractor activ","Recuperare NPS",IF($O82="Marjă sub referință","Marjă / preț",IF($O82="În creștere","Up-sell",IF($O82="Fără activitate","Reactivare client","Cross-sell")))))))))</f>
        <v/>
      </c>
      <c r="Q82" s="24">
        <f>IF($A82="","",IFERROR(IF($O82="Scădere de venit",MAX(0,$F82-$E82),IF(OR($O82="Client pierdut",$O82="Client dormant",$O82="Fără activitate"),$F82,IF($O82="Marjă sub referință",MAX(0,$E82*('09_PARAMETRI'!$B$15-$I82)),$E82*0.15))),""))</f>
        <v/>
      </c>
      <c r="R82" s="48">
        <f>IF(OR($A82="",$E82="",N($E82)&lt;=0),"",$E82+ROW()/1000000)</f>
        <v/>
      </c>
    </row>
    <row r="83">
      <c r="A83" s="39">
        <f>IF('10_CLIENTI'!$A83="","",'10_CLIENTI'!$A83)</f>
        <v/>
      </c>
      <c r="B83" s="39">
        <f>IF($A83="","",IFERROR(INDEX('10_CLIENTI'!$B$5:$B$204,MATCH($A83,'10_CLIENTI'!$A$5:$A$204,0)),""))</f>
        <v/>
      </c>
      <c r="C83" s="39">
        <f>IF($A83="","",IFERROR(INDEX('10_CLIENTI'!$C$5:$C$204,MATCH($A83,'10_CLIENTI'!$A$5:$A$204,0)),""))</f>
        <v/>
      </c>
      <c r="D83" s="39">
        <f>IF($A83="","",IFERROR(INDEX('10_CLIENTI'!$G$5:$G$204,MATCH($A83,'10_CLIENTI'!$A$5:$A$204,0)),""))</f>
        <v/>
      </c>
      <c r="E83" s="24">
        <f>IF($A83="","",SUMIFS('13_VANZARI'!$H$5:$H$1004,'13_VANZARI'!$D$5:$D$1004,$A83,'13_VANZARI'!$A$5:$A$1004,"&gt;="&amp;'09_PARAMETRI'!$B$5,'13_VANZARI'!$A$5:$A$1004,"&lt;="&amp;'09_PARAMETRI'!$B$6))</f>
        <v/>
      </c>
      <c r="F83" s="24">
        <f>IF($A83="","",SUMIFS('13_VANZARI'!$H$5:$H$1004,'13_VANZARI'!$D$5:$D$1004,$A83,'13_VANZARI'!$A$5:$A$1004,"&gt;="&amp;'09_PARAMETRI'!$B$7,'13_VANZARI'!$A$5:$A$1004,"&lt;="&amp;'09_PARAMETRI'!$B$8))</f>
        <v/>
      </c>
      <c r="G83" s="25">
        <f>IF($A83="","",IFERROR(IF($F83=0,"",($E83-$F83)/ABS($F83)),""))</f>
        <v/>
      </c>
      <c r="H83" s="24">
        <f>IF($A83="","",SUMIFS('13_VANZARI'!$K$5:$K$1004,'13_VANZARI'!$D$5:$D$1004,$A83,'13_VANZARI'!$A$5:$A$1004,"&gt;="&amp;'09_PARAMETRI'!$B$5,'13_VANZARI'!$A$5:$A$1004,"&lt;="&amp;'09_PARAMETRI'!$B$6))</f>
        <v/>
      </c>
      <c r="I83" s="25">
        <f>IF($A83="","",IFERROR($H83/$E83,""))</f>
        <v/>
      </c>
      <c r="J83" s="25">
        <f>IF($A83="","",IFERROR($E83/SUMIFS('13_VANZARI'!$H$5:$H$1004,'13_VANZARI'!$A$5:$A$1004,"&gt;="&amp;'09_PARAMETRI'!$B$5,'13_VANZARI'!$A$5:$A$1004,"&lt;="&amp;'09_PARAMETRI'!$B$6),""))</f>
        <v/>
      </c>
      <c r="K83" s="36">
        <f>IF($A83="","",IFERROR(IF(SUMPRODUCT(MAX(('13_VANZARI'!$D$5:$D$1004=$A83)*('13_VANZARI'!$H$5:$H$1004&lt;&gt;"")*'13_VANZARI'!$A$5:$A$1004))=0,"",SUMPRODUCT(MAX(('13_VANZARI'!$D$5:$D$1004=$A83)*('13_VANZARI'!$H$5:$H$1004&lt;&gt;"")*'13_VANZARI'!$A$5:$A$1004))),""))</f>
        <v/>
      </c>
      <c r="L83" s="24">
        <f>IF(OR($A83="",$K83=""),"",'09_PARAMETRI'!$B$9-$K83)</f>
        <v/>
      </c>
      <c r="M83" s="24">
        <f>IF($A83="","",SUMPRODUCT(('11_PRODUSE'!$A$5:$A$104&lt;&gt;"")*(SUMIFS('13_VANZARI'!$H$5:$H$1004,'13_VANZARI'!$D$5:$D$1004,$A83,'13_VANZARI'!$E$5:$E$1004,'11_PRODUSE'!$A$5:$A$104,'13_VANZARI'!$A$5:$A$1004,"&gt;="&amp;'09_PARAMETRI'!$B$5,'13_VANZARI'!$A$5:$A$1004,"&lt;="&amp;'09_PARAMETRI'!$B$6)&lt;&gt;0)))</f>
        <v/>
      </c>
      <c r="N83" s="50">
        <f>IF($A83="","",IFERROR(AVERAGEIFS('15_NPS'!$F$5:$F$504,'15_NPS'!$C$5:$C$504,$A83,'15_NPS'!$B$5:$B$504,"&gt;="&amp;'09_PARAMETRI'!$B$5,'15_NPS'!$B$5:$B$504,"&lt;="&amp;'09_PARAMETRI'!$B$6),""))</f>
        <v/>
      </c>
      <c r="O83" s="39">
        <f>IF($A83="","",IF(AND($F83&gt;0,$E83=0),"Client pierdut",IF(AND($L83&lt;&gt;"",$L83&gt;'09_PARAMETRI'!$B$16,$F83&gt;0),"Client dormant",IF(AND($G83&lt;&gt;"",$G83&lt;='09_PARAMETRI'!$B$13),"Scădere de venit",IF(AND($N83&lt;&gt;"",$N83&lt;7),"Detractor activ",IF(AND($E83&gt;0,$J83&gt;'09_PARAMETRI'!$B$19),"Risc concentrare",IF(AND($E83&gt;0,$I83&lt;&gt;"",$I83&lt;'09_PARAMETRI'!$B$15),"Marjă sub referință",IF(AND($G83&lt;&gt;"",$G83&gt;='09_PARAMETRI'!$B$14),"În creștere",IF($E83=0,"Fără activitate","Stabil")))))))))</f>
        <v/>
      </c>
      <c r="P83" s="39">
        <f>IF($A83="","",IF($O83="Risc concentrare","Risc concentrare",IF($O83="Client pierdut","Recuperare client",IF($O83="Client dormant","Reactivare client",IF($O83="Scădere de venit","Recuperare client",IF($O83="Detractor activ","Recuperare NPS",IF($O83="Marjă sub referință","Marjă / preț",IF($O83="În creștere","Up-sell",IF($O83="Fără activitate","Reactivare client","Cross-sell")))))))))</f>
        <v/>
      </c>
      <c r="Q83" s="24">
        <f>IF($A83="","",IFERROR(IF($O83="Scădere de venit",MAX(0,$F83-$E83),IF(OR($O83="Client pierdut",$O83="Client dormant",$O83="Fără activitate"),$F83,IF($O83="Marjă sub referință",MAX(0,$E83*('09_PARAMETRI'!$B$15-$I83)),$E83*0.15))),""))</f>
        <v/>
      </c>
      <c r="R83" s="48">
        <f>IF(OR($A83="",$E83="",N($E83)&lt;=0),"",$E83+ROW()/1000000)</f>
        <v/>
      </c>
    </row>
    <row r="84">
      <c r="A84" s="39">
        <f>IF('10_CLIENTI'!$A84="","",'10_CLIENTI'!$A84)</f>
        <v/>
      </c>
      <c r="B84" s="39">
        <f>IF($A84="","",IFERROR(INDEX('10_CLIENTI'!$B$5:$B$204,MATCH($A84,'10_CLIENTI'!$A$5:$A$204,0)),""))</f>
        <v/>
      </c>
      <c r="C84" s="39">
        <f>IF($A84="","",IFERROR(INDEX('10_CLIENTI'!$C$5:$C$204,MATCH($A84,'10_CLIENTI'!$A$5:$A$204,0)),""))</f>
        <v/>
      </c>
      <c r="D84" s="39">
        <f>IF($A84="","",IFERROR(INDEX('10_CLIENTI'!$G$5:$G$204,MATCH($A84,'10_CLIENTI'!$A$5:$A$204,0)),""))</f>
        <v/>
      </c>
      <c r="E84" s="24">
        <f>IF($A84="","",SUMIFS('13_VANZARI'!$H$5:$H$1004,'13_VANZARI'!$D$5:$D$1004,$A84,'13_VANZARI'!$A$5:$A$1004,"&gt;="&amp;'09_PARAMETRI'!$B$5,'13_VANZARI'!$A$5:$A$1004,"&lt;="&amp;'09_PARAMETRI'!$B$6))</f>
        <v/>
      </c>
      <c r="F84" s="24">
        <f>IF($A84="","",SUMIFS('13_VANZARI'!$H$5:$H$1004,'13_VANZARI'!$D$5:$D$1004,$A84,'13_VANZARI'!$A$5:$A$1004,"&gt;="&amp;'09_PARAMETRI'!$B$7,'13_VANZARI'!$A$5:$A$1004,"&lt;="&amp;'09_PARAMETRI'!$B$8))</f>
        <v/>
      </c>
      <c r="G84" s="25">
        <f>IF($A84="","",IFERROR(IF($F84=0,"",($E84-$F84)/ABS($F84)),""))</f>
        <v/>
      </c>
      <c r="H84" s="24">
        <f>IF($A84="","",SUMIFS('13_VANZARI'!$K$5:$K$1004,'13_VANZARI'!$D$5:$D$1004,$A84,'13_VANZARI'!$A$5:$A$1004,"&gt;="&amp;'09_PARAMETRI'!$B$5,'13_VANZARI'!$A$5:$A$1004,"&lt;="&amp;'09_PARAMETRI'!$B$6))</f>
        <v/>
      </c>
      <c r="I84" s="25">
        <f>IF($A84="","",IFERROR($H84/$E84,""))</f>
        <v/>
      </c>
      <c r="J84" s="25">
        <f>IF($A84="","",IFERROR($E84/SUMIFS('13_VANZARI'!$H$5:$H$1004,'13_VANZARI'!$A$5:$A$1004,"&gt;="&amp;'09_PARAMETRI'!$B$5,'13_VANZARI'!$A$5:$A$1004,"&lt;="&amp;'09_PARAMETRI'!$B$6),""))</f>
        <v/>
      </c>
      <c r="K84" s="36">
        <f>IF($A84="","",IFERROR(IF(SUMPRODUCT(MAX(('13_VANZARI'!$D$5:$D$1004=$A84)*('13_VANZARI'!$H$5:$H$1004&lt;&gt;"")*'13_VANZARI'!$A$5:$A$1004))=0,"",SUMPRODUCT(MAX(('13_VANZARI'!$D$5:$D$1004=$A84)*('13_VANZARI'!$H$5:$H$1004&lt;&gt;"")*'13_VANZARI'!$A$5:$A$1004))),""))</f>
        <v/>
      </c>
      <c r="L84" s="24">
        <f>IF(OR($A84="",$K84=""),"",'09_PARAMETRI'!$B$9-$K84)</f>
        <v/>
      </c>
      <c r="M84" s="24">
        <f>IF($A84="","",SUMPRODUCT(('11_PRODUSE'!$A$5:$A$104&lt;&gt;"")*(SUMIFS('13_VANZARI'!$H$5:$H$1004,'13_VANZARI'!$D$5:$D$1004,$A84,'13_VANZARI'!$E$5:$E$1004,'11_PRODUSE'!$A$5:$A$104,'13_VANZARI'!$A$5:$A$1004,"&gt;="&amp;'09_PARAMETRI'!$B$5,'13_VANZARI'!$A$5:$A$1004,"&lt;="&amp;'09_PARAMETRI'!$B$6)&lt;&gt;0)))</f>
        <v/>
      </c>
      <c r="N84" s="50">
        <f>IF($A84="","",IFERROR(AVERAGEIFS('15_NPS'!$F$5:$F$504,'15_NPS'!$C$5:$C$504,$A84,'15_NPS'!$B$5:$B$504,"&gt;="&amp;'09_PARAMETRI'!$B$5,'15_NPS'!$B$5:$B$504,"&lt;="&amp;'09_PARAMETRI'!$B$6),""))</f>
        <v/>
      </c>
      <c r="O84" s="39">
        <f>IF($A84="","",IF(AND($F84&gt;0,$E84=0),"Client pierdut",IF(AND($L84&lt;&gt;"",$L84&gt;'09_PARAMETRI'!$B$16,$F84&gt;0),"Client dormant",IF(AND($G84&lt;&gt;"",$G84&lt;='09_PARAMETRI'!$B$13),"Scădere de venit",IF(AND($N84&lt;&gt;"",$N84&lt;7),"Detractor activ",IF(AND($E84&gt;0,$J84&gt;'09_PARAMETRI'!$B$19),"Risc concentrare",IF(AND($E84&gt;0,$I84&lt;&gt;"",$I84&lt;'09_PARAMETRI'!$B$15),"Marjă sub referință",IF(AND($G84&lt;&gt;"",$G84&gt;='09_PARAMETRI'!$B$14),"În creștere",IF($E84=0,"Fără activitate","Stabil")))))))))</f>
        <v/>
      </c>
      <c r="P84" s="39">
        <f>IF($A84="","",IF($O84="Risc concentrare","Risc concentrare",IF($O84="Client pierdut","Recuperare client",IF($O84="Client dormant","Reactivare client",IF($O84="Scădere de venit","Recuperare client",IF($O84="Detractor activ","Recuperare NPS",IF($O84="Marjă sub referință","Marjă / preț",IF($O84="În creștere","Up-sell",IF($O84="Fără activitate","Reactivare client","Cross-sell")))))))))</f>
        <v/>
      </c>
      <c r="Q84" s="24">
        <f>IF($A84="","",IFERROR(IF($O84="Scădere de venit",MAX(0,$F84-$E84),IF(OR($O84="Client pierdut",$O84="Client dormant",$O84="Fără activitate"),$F84,IF($O84="Marjă sub referință",MAX(0,$E84*('09_PARAMETRI'!$B$15-$I84)),$E84*0.15))),""))</f>
        <v/>
      </c>
      <c r="R84" s="48">
        <f>IF(OR($A84="",$E84="",N($E84)&lt;=0),"",$E84+ROW()/1000000)</f>
        <v/>
      </c>
    </row>
    <row r="85">
      <c r="A85" s="39">
        <f>IF('10_CLIENTI'!$A85="","",'10_CLIENTI'!$A85)</f>
        <v/>
      </c>
      <c r="B85" s="39">
        <f>IF($A85="","",IFERROR(INDEX('10_CLIENTI'!$B$5:$B$204,MATCH($A85,'10_CLIENTI'!$A$5:$A$204,0)),""))</f>
        <v/>
      </c>
      <c r="C85" s="39">
        <f>IF($A85="","",IFERROR(INDEX('10_CLIENTI'!$C$5:$C$204,MATCH($A85,'10_CLIENTI'!$A$5:$A$204,0)),""))</f>
        <v/>
      </c>
      <c r="D85" s="39">
        <f>IF($A85="","",IFERROR(INDEX('10_CLIENTI'!$G$5:$G$204,MATCH($A85,'10_CLIENTI'!$A$5:$A$204,0)),""))</f>
        <v/>
      </c>
      <c r="E85" s="24">
        <f>IF($A85="","",SUMIFS('13_VANZARI'!$H$5:$H$1004,'13_VANZARI'!$D$5:$D$1004,$A85,'13_VANZARI'!$A$5:$A$1004,"&gt;="&amp;'09_PARAMETRI'!$B$5,'13_VANZARI'!$A$5:$A$1004,"&lt;="&amp;'09_PARAMETRI'!$B$6))</f>
        <v/>
      </c>
      <c r="F85" s="24">
        <f>IF($A85="","",SUMIFS('13_VANZARI'!$H$5:$H$1004,'13_VANZARI'!$D$5:$D$1004,$A85,'13_VANZARI'!$A$5:$A$1004,"&gt;="&amp;'09_PARAMETRI'!$B$7,'13_VANZARI'!$A$5:$A$1004,"&lt;="&amp;'09_PARAMETRI'!$B$8))</f>
        <v/>
      </c>
      <c r="G85" s="25">
        <f>IF($A85="","",IFERROR(IF($F85=0,"",($E85-$F85)/ABS($F85)),""))</f>
        <v/>
      </c>
      <c r="H85" s="24">
        <f>IF($A85="","",SUMIFS('13_VANZARI'!$K$5:$K$1004,'13_VANZARI'!$D$5:$D$1004,$A85,'13_VANZARI'!$A$5:$A$1004,"&gt;="&amp;'09_PARAMETRI'!$B$5,'13_VANZARI'!$A$5:$A$1004,"&lt;="&amp;'09_PARAMETRI'!$B$6))</f>
        <v/>
      </c>
      <c r="I85" s="25">
        <f>IF($A85="","",IFERROR($H85/$E85,""))</f>
        <v/>
      </c>
      <c r="J85" s="25">
        <f>IF($A85="","",IFERROR($E85/SUMIFS('13_VANZARI'!$H$5:$H$1004,'13_VANZARI'!$A$5:$A$1004,"&gt;="&amp;'09_PARAMETRI'!$B$5,'13_VANZARI'!$A$5:$A$1004,"&lt;="&amp;'09_PARAMETRI'!$B$6),""))</f>
        <v/>
      </c>
      <c r="K85" s="36">
        <f>IF($A85="","",IFERROR(IF(SUMPRODUCT(MAX(('13_VANZARI'!$D$5:$D$1004=$A85)*('13_VANZARI'!$H$5:$H$1004&lt;&gt;"")*'13_VANZARI'!$A$5:$A$1004))=0,"",SUMPRODUCT(MAX(('13_VANZARI'!$D$5:$D$1004=$A85)*('13_VANZARI'!$H$5:$H$1004&lt;&gt;"")*'13_VANZARI'!$A$5:$A$1004))),""))</f>
        <v/>
      </c>
      <c r="L85" s="24">
        <f>IF(OR($A85="",$K85=""),"",'09_PARAMETRI'!$B$9-$K85)</f>
        <v/>
      </c>
      <c r="M85" s="24">
        <f>IF($A85="","",SUMPRODUCT(('11_PRODUSE'!$A$5:$A$104&lt;&gt;"")*(SUMIFS('13_VANZARI'!$H$5:$H$1004,'13_VANZARI'!$D$5:$D$1004,$A85,'13_VANZARI'!$E$5:$E$1004,'11_PRODUSE'!$A$5:$A$104,'13_VANZARI'!$A$5:$A$1004,"&gt;="&amp;'09_PARAMETRI'!$B$5,'13_VANZARI'!$A$5:$A$1004,"&lt;="&amp;'09_PARAMETRI'!$B$6)&lt;&gt;0)))</f>
        <v/>
      </c>
      <c r="N85" s="50">
        <f>IF($A85="","",IFERROR(AVERAGEIFS('15_NPS'!$F$5:$F$504,'15_NPS'!$C$5:$C$504,$A85,'15_NPS'!$B$5:$B$504,"&gt;="&amp;'09_PARAMETRI'!$B$5,'15_NPS'!$B$5:$B$504,"&lt;="&amp;'09_PARAMETRI'!$B$6),""))</f>
        <v/>
      </c>
      <c r="O85" s="39">
        <f>IF($A85="","",IF(AND($F85&gt;0,$E85=0),"Client pierdut",IF(AND($L85&lt;&gt;"",$L85&gt;'09_PARAMETRI'!$B$16,$F85&gt;0),"Client dormant",IF(AND($G85&lt;&gt;"",$G85&lt;='09_PARAMETRI'!$B$13),"Scădere de venit",IF(AND($N85&lt;&gt;"",$N85&lt;7),"Detractor activ",IF(AND($E85&gt;0,$J85&gt;'09_PARAMETRI'!$B$19),"Risc concentrare",IF(AND($E85&gt;0,$I85&lt;&gt;"",$I85&lt;'09_PARAMETRI'!$B$15),"Marjă sub referință",IF(AND($G85&lt;&gt;"",$G85&gt;='09_PARAMETRI'!$B$14),"În creștere",IF($E85=0,"Fără activitate","Stabil")))))))))</f>
        <v/>
      </c>
      <c r="P85" s="39">
        <f>IF($A85="","",IF($O85="Risc concentrare","Risc concentrare",IF($O85="Client pierdut","Recuperare client",IF($O85="Client dormant","Reactivare client",IF($O85="Scădere de venit","Recuperare client",IF($O85="Detractor activ","Recuperare NPS",IF($O85="Marjă sub referință","Marjă / preț",IF($O85="În creștere","Up-sell",IF($O85="Fără activitate","Reactivare client","Cross-sell")))))))))</f>
        <v/>
      </c>
      <c r="Q85" s="24">
        <f>IF($A85="","",IFERROR(IF($O85="Scădere de venit",MAX(0,$F85-$E85),IF(OR($O85="Client pierdut",$O85="Client dormant",$O85="Fără activitate"),$F85,IF($O85="Marjă sub referință",MAX(0,$E85*('09_PARAMETRI'!$B$15-$I85)),$E85*0.15))),""))</f>
        <v/>
      </c>
      <c r="R85" s="48">
        <f>IF(OR($A85="",$E85="",N($E85)&lt;=0),"",$E85+ROW()/1000000)</f>
        <v/>
      </c>
    </row>
    <row r="86">
      <c r="A86" s="39">
        <f>IF('10_CLIENTI'!$A86="","",'10_CLIENTI'!$A86)</f>
        <v/>
      </c>
      <c r="B86" s="39">
        <f>IF($A86="","",IFERROR(INDEX('10_CLIENTI'!$B$5:$B$204,MATCH($A86,'10_CLIENTI'!$A$5:$A$204,0)),""))</f>
        <v/>
      </c>
      <c r="C86" s="39">
        <f>IF($A86="","",IFERROR(INDEX('10_CLIENTI'!$C$5:$C$204,MATCH($A86,'10_CLIENTI'!$A$5:$A$204,0)),""))</f>
        <v/>
      </c>
      <c r="D86" s="39">
        <f>IF($A86="","",IFERROR(INDEX('10_CLIENTI'!$G$5:$G$204,MATCH($A86,'10_CLIENTI'!$A$5:$A$204,0)),""))</f>
        <v/>
      </c>
      <c r="E86" s="24">
        <f>IF($A86="","",SUMIFS('13_VANZARI'!$H$5:$H$1004,'13_VANZARI'!$D$5:$D$1004,$A86,'13_VANZARI'!$A$5:$A$1004,"&gt;="&amp;'09_PARAMETRI'!$B$5,'13_VANZARI'!$A$5:$A$1004,"&lt;="&amp;'09_PARAMETRI'!$B$6))</f>
        <v/>
      </c>
      <c r="F86" s="24">
        <f>IF($A86="","",SUMIFS('13_VANZARI'!$H$5:$H$1004,'13_VANZARI'!$D$5:$D$1004,$A86,'13_VANZARI'!$A$5:$A$1004,"&gt;="&amp;'09_PARAMETRI'!$B$7,'13_VANZARI'!$A$5:$A$1004,"&lt;="&amp;'09_PARAMETRI'!$B$8))</f>
        <v/>
      </c>
      <c r="G86" s="25">
        <f>IF($A86="","",IFERROR(IF($F86=0,"",($E86-$F86)/ABS($F86)),""))</f>
        <v/>
      </c>
      <c r="H86" s="24">
        <f>IF($A86="","",SUMIFS('13_VANZARI'!$K$5:$K$1004,'13_VANZARI'!$D$5:$D$1004,$A86,'13_VANZARI'!$A$5:$A$1004,"&gt;="&amp;'09_PARAMETRI'!$B$5,'13_VANZARI'!$A$5:$A$1004,"&lt;="&amp;'09_PARAMETRI'!$B$6))</f>
        <v/>
      </c>
      <c r="I86" s="25">
        <f>IF($A86="","",IFERROR($H86/$E86,""))</f>
        <v/>
      </c>
      <c r="J86" s="25">
        <f>IF($A86="","",IFERROR($E86/SUMIFS('13_VANZARI'!$H$5:$H$1004,'13_VANZARI'!$A$5:$A$1004,"&gt;="&amp;'09_PARAMETRI'!$B$5,'13_VANZARI'!$A$5:$A$1004,"&lt;="&amp;'09_PARAMETRI'!$B$6),""))</f>
        <v/>
      </c>
      <c r="K86" s="36">
        <f>IF($A86="","",IFERROR(IF(SUMPRODUCT(MAX(('13_VANZARI'!$D$5:$D$1004=$A86)*('13_VANZARI'!$H$5:$H$1004&lt;&gt;"")*'13_VANZARI'!$A$5:$A$1004))=0,"",SUMPRODUCT(MAX(('13_VANZARI'!$D$5:$D$1004=$A86)*('13_VANZARI'!$H$5:$H$1004&lt;&gt;"")*'13_VANZARI'!$A$5:$A$1004))),""))</f>
        <v/>
      </c>
      <c r="L86" s="24">
        <f>IF(OR($A86="",$K86=""),"",'09_PARAMETRI'!$B$9-$K86)</f>
        <v/>
      </c>
      <c r="M86" s="24">
        <f>IF($A86="","",SUMPRODUCT(('11_PRODUSE'!$A$5:$A$104&lt;&gt;"")*(SUMIFS('13_VANZARI'!$H$5:$H$1004,'13_VANZARI'!$D$5:$D$1004,$A86,'13_VANZARI'!$E$5:$E$1004,'11_PRODUSE'!$A$5:$A$104,'13_VANZARI'!$A$5:$A$1004,"&gt;="&amp;'09_PARAMETRI'!$B$5,'13_VANZARI'!$A$5:$A$1004,"&lt;="&amp;'09_PARAMETRI'!$B$6)&lt;&gt;0)))</f>
        <v/>
      </c>
      <c r="N86" s="50">
        <f>IF($A86="","",IFERROR(AVERAGEIFS('15_NPS'!$F$5:$F$504,'15_NPS'!$C$5:$C$504,$A86,'15_NPS'!$B$5:$B$504,"&gt;="&amp;'09_PARAMETRI'!$B$5,'15_NPS'!$B$5:$B$504,"&lt;="&amp;'09_PARAMETRI'!$B$6),""))</f>
        <v/>
      </c>
      <c r="O86" s="39">
        <f>IF($A86="","",IF(AND($F86&gt;0,$E86=0),"Client pierdut",IF(AND($L86&lt;&gt;"",$L86&gt;'09_PARAMETRI'!$B$16,$F86&gt;0),"Client dormant",IF(AND($G86&lt;&gt;"",$G86&lt;='09_PARAMETRI'!$B$13),"Scădere de venit",IF(AND($N86&lt;&gt;"",$N86&lt;7),"Detractor activ",IF(AND($E86&gt;0,$J86&gt;'09_PARAMETRI'!$B$19),"Risc concentrare",IF(AND($E86&gt;0,$I86&lt;&gt;"",$I86&lt;'09_PARAMETRI'!$B$15),"Marjă sub referință",IF(AND($G86&lt;&gt;"",$G86&gt;='09_PARAMETRI'!$B$14),"În creștere",IF($E86=0,"Fără activitate","Stabil")))))))))</f>
        <v/>
      </c>
      <c r="P86" s="39">
        <f>IF($A86="","",IF($O86="Risc concentrare","Risc concentrare",IF($O86="Client pierdut","Recuperare client",IF($O86="Client dormant","Reactivare client",IF($O86="Scădere de venit","Recuperare client",IF($O86="Detractor activ","Recuperare NPS",IF($O86="Marjă sub referință","Marjă / preț",IF($O86="În creștere","Up-sell",IF($O86="Fără activitate","Reactivare client","Cross-sell")))))))))</f>
        <v/>
      </c>
      <c r="Q86" s="24">
        <f>IF($A86="","",IFERROR(IF($O86="Scădere de venit",MAX(0,$F86-$E86),IF(OR($O86="Client pierdut",$O86="Client dormant",$O86="Fără activitate"),$F86,IF($O86="Marjă sub referință",MAX(0,$E86*('09_PARAMETRI'!$B$15-$I86)),$E86*0.15))),""))</f>
        <v/>
      </c>
      <c r="R86" s="48">
        <f>IF(OR($A86="",$E86="",N($E86)&lt;=0),"",$E86+ROW()/1000000)</f>
        <v/>
      </c>
    </row>
    <row r="87">
      <c r="A87" s="39">
        <f>IF('10_CLIENTI'!$A87="","",'10_CLIENTI'!$A87)</f>
        <v/>
      </c>
      <c r="B87" s="39">
        <f>IF($A87="","",IFERROR(INDEX('10_CLIENTI'!$B$5:$B$204,MATCH($A87,'10_CLIENTI'!$A$5:$A$204,0)),""))</f>
        <v/>
      </c>
      <c r="C87" s="39">
        <f>IF($A87="","",IFERROR(INDEX('10_CLIENTI'!$C$5:$C$204,MATCH($A87,'10_CLIENTI'!$A$5:$A$204,0)),""))</f>
        <v/>
      </c>
      <c r="D87" s="39">
        <f>IF($A87="","",IFERROR(INDEX('10_CLIENTI'!$G$5:$G$204,MATCH($A87,'10_CLIENTI'!$A$5:$A$204,0)),""))</f>
        <v/>
      </c>
      <c r="E87" s="24">
        <f>IF($A87="","",SUMIFS('13_VANZARI'!$H$5:$H$1004,'13_VANZARI'!$D$5:$D$1004,$A87,'13_VANZARI'!$A$5:$A$1004,"&gt;="&amp;'09_PARAMETRI'!$B$5,'13_VANZARI'!$A$5:$A$1004,"&lt;="&amp;'09_PARAMETRI'!$B$6))</f>
        <v/>
      </c>
      <c r="F87" s="24">
        <f>IF($A87="","",SUMIFS('13_VANZARI'!$H$5:$H$1004,'13_VANZARI'!$D$5:$D$1004,$A87,'13_VANZARI'!$A$5:$A$1004,"&gt;="&amp;'09_PARAMETRI'!$B$7,'13_VANZARI'!$A$5:$A$1004,"&lt;="&amp;'09_PARAMETRI'!$B$8))</f>
        <v/>
      </c>
      <c r="G87" s="25">
        <f>IF($A87="","",IFERROR(IF($F87=0,"",($E87-$F87)/ABS($F87)),""))</f>
        <v/>
      </c>
      <c r="H87" s="24">
        <f>IF($A87="","",SUMIFS('13_VANZARI'!$K$5:$K$1004,'13_VANZARI'!$D$5:$D$1004,$A87,'13_VANZARI'!$A$5:$A$1004,"&gt;="&amp;'09_PARAMETRI'!$B$5,'13_VANZARI'!$A$5:$A$1004,"&lt;="&amp;'09_PARAMETRI'!$B$6))</f>
        <v/>
      </c>
      <c r="I87" s="25">
        <f>IF($A87="","",IFERROR($H87/$E87,""))</f>
        <v/>
      </c>
      <c r="J87" s="25">
        <f>IF($A87="","",IFERROR($E87/SUMIFS('13_VANZARI'!$H$5:$H$1004,'13_VANZARI'!$A$5:$A$1004,"&gt;="&amp;'09_PARAMETRI'!$B$5,'13_VANZARI'!$A$5:$A$1004,"&lt;="&amp;'09_PARAMETRI'!$B$6),""))</f>
        <v/>
      </c>
      <c r="K87" s="36">
        <f>IF($A87="","",IFERROR(IF(SUMPRODUCT(MAX(('13_VANZARI'!$D$5:$D$1004=$A87)*('13_VANZARI'!$H$5:$H$1004&lt;&gt;"")*'13_VANZARI'!$A$5:$A$1004))=0,"",SUMPRODUCT(MAX(('13_VANZARI'!$D$5:$D$1004=$A87)*('13_VANZARI'!$H$5:$H$1004&lt;&gt;"")*'13_VANZARI'!$A$5:$A$1004))),""))</f>
        <v/>
      </c>
      <c r="L87" s="24">
        <f>IF(OR($A87="",$K87=""),"",'09_PARAMETRI'!$B$9-$K87)</f>
        <v/>
      </c>
      <c r="M87" s="24">
        <f>IF($A87="","",SUMPRODUCT(('11_PRODUSE'!$A$5:$A$104&lt;&gt;"")*(SUMIFS('13_VANZARI'!$H$5:$H$1004,'13_VANZARI'!$D$5:$D$1004,$A87,'13_VANZARI'!$E$5:$E$1004,'11_PRODUSE'!$A$5:$A$104,'13_VANZARI'!$A$5:$A$1004,"&gt;="&amp;'09_PARAMETRI'!$B$5,'13_VANZARI'!$A$5:$A$1004,"&lt;="&amp;'09_PARAMETRI'!$B$6)&lt;&gt;0)))</f>
        <v/>
      </c>
      <c r="N87" s="50">
        <f>IF($A87="","",IFERROR(AVERAGEIFS('15_NPS'!$F$5:$F$504,'15_NPS'!$C$5:$C$504,$A87,'15_NPS'!$B$5:$B$504,"&gt;="&amp;'09_PARAMETRI'!$B$5,'15_NPS'!$B$5:$B$504,"&lt;="&amp;'09_PARAMETRI'!$B$6),""))</f>
        <v/>
      </c>
      <c r="O87" s="39">
        <f>IF($A87="","",IF(AND($F87&gt;0,$E87=0),"Client pierdut",IF(AND($L87&lt;&gt;"",$L87&gt;'09_PARAMETRI'!$B$16,$F87&gt;0),"Client dormant",IF(AND($G87&lt;&gt;"",$G87&lt;='09_PARAMETRI'!$B$13),"Scădere de venit",IF(AND($N87&lt;&gt;"",$N87&lt;7),"Detractor activ",IF(AND($E87&gt;0,$J87&gt;'09_PARAMETRI'!$B$19),"Risc concentrare",IF(AND($E87&gt;0,$I87&lt;&gt;"",$I87&lt;'09_PARAMETRI'!$B$15),"Marjă sub referință",IF(AND($G87&lt;&gt;"",$G87&gt;='09_PARAMETRI'!$B$14),"În creștere",IF($E87=0,"Fără activitate","Stabil")))))))))</f>
        <v/>
      </c>
      <c r="P87" s="39">
        <f>IF($A87="","",IF($O87="Risc concentrare","Risc concentrare",IF($O87="Client pierdut","Recuperare client",IF($O87="Client dormant","Reactivare client",IF($O87="Scădere de venit","Recuperare client",IF($O87="Detractor activ","Recuperare NPS",IF($O87="Marjă sub referință","Marjă / preț",IF($O87="În creștere","Up-sell",IF($O87="Fără activitate","Reactivare client","Cross-sell")))))))))</f>
        <v/>
      </c>
      <c r="Q87" s="24">
        <f>IF($A87="","",IFERROR(IF($O87="Scădere de venit",MAX(0,$F87-$E87),IF(OR($O87="Client pierdut",$O87="Client dormant",$O87="Fără activitate"),$F87,IF($O87="Marjă sub referință",MAX(0,$E87*('09_PARAMETRI'!$B$15-$I87)),$E87*0.15))),""))</f>
        <v/>
      </c>
      <c r="R87" s="48">
        <f>IF(OR($A87="",$E87="",N($E87)&lt;=0),"",$E87+ROW()/1000000)</f>
        <v/>
      </c>
    </row>
    <row r="88">
      <c r="A88" s="39">
        <f>IF('10_CLIENTI'!$A88="","",'10_CLIENTI'!$A88)</f>
        <v/>
      </c>
      <c r="B88" s="39">
        <f>IF($A88="","",IFERROR(INDEX('10_CLIENTI'!$B$5:$B$204,MATCH($A88,'10_CLIENTI'!$A$5:$A$204,0)),""))</f>
        <v/>
      </c>
      <c r="C88" s="39">
        <f>IF($A88="","",IFERROR(INDEX('10_CLIENTI'!$C$5:$C$204,MATCH($A88,'10_CLIENTI'!$A$5:$A$204,0)),""))</f>
        <v/>
      </c>
      <c r="D88" s="39">
        <f>IF($A88="","",IFERROR(INDEX('10_CLIENTI'!$G$5:$G$204,MATCH($A88,'10_CLIENTI'!$A$5:$A$204,0)),""))</f>
        <v/>
      </c>
      <c r="E88" s="24">
        <f>IF($A88="","",SUMIFS('13_VANZARI'!$H$5:$H$1004,'13_VANZARI'!$D$5:$D$1004,$A88,'13_VANZARI'!$A$5:$A$1004,"&gt;="&amp;'09_PARAMETRI'!$B$5,'13_VANZARI'!$A$5:$A$1004,"&lt;="&amp;'09_PARAMETRI'!$B$6))</f>
        <v/>
      </c>
      <c r="F88" s="24">
        <f>IF($A88="","",SUMIFS('13_VANZARI'!$H$5:$H$1004,'13_VANZARI'!$D$5:$D$1004,$A88,'13_VANZARI'!$A$5:$A$1004,"&gt;="&amp;'09_PARAMETRI'!$B$7,'13_VANZARI'!$A$5:$A$1004,"&lt;="&amp;'09_PARAMETRI'!$B$8))</f>
        <v/>
      </c>
      <c r="G88" s="25">
        <f>IF($A88="","",IFERROR(IF($F88=0,"",($E88-$F88)/ABS($F88)),""))</f>
        <v/>
      </c>
      <c r="H88" s="24">
        <f>IF($A88="","",SUMIFS('13_VANZARI'!$K$5:$K$1004,'13_VANZARI'!$D$5:$D$1004,$A88,'13_VANZARI'!$A$5:$A$1004,"&gt;="&amp;'09_PARAMETRI'!$B$5,'13_VANZARI'!$A$5:$A$1004,"&lt;="&amp;'09_PARAMETRI'!$B$6))</f>
        <v/>
      </c>
      <c r="I88" s="25">
        <f>IF($A88="","",IFERROR($H88/$E88,""))</f>
        <v/>
      </c>
      <c r="J88" s="25">
        <f>IF($A88="","",IFERROR($E88/SUMIFS('13_VANZARI'!$H$5:$H$1004,'13_VANZARI'!$A$5:$A$1004,"&gt;="&amp;'09_PARAMETRI'!$B$5,'13_VANZARI'!$A$5:$A$1004,"&lt;="&amp;'09_PARAMETRI'!$B$6),""))</f>
        <v/>
      </c>
      <c r="K88" s="36">
        <f>IF($A88="","",IFERROR(IF(SUMPRODUCT(MAX(('13_VANZARI'!$D$5:$D$1004=$A88)*('13_VANZARI'!$H$5:$H$1004&lt;&gt;"")*'13_VANZARI'!$A$5:$A$1004))=0,"",SUMPRODUCT(MAX(('13_VANZARI'!$D$5:$D$1004=$A88)*('13_VANZARI'!$H$5:$H$1004&lt;&gt;"")*'13_VANZARI'!$A$5:$A$1004))),""))</f>
        <v/>
      </c>
      <c r="L88" s="24">
        <f>IF(OR($A88="",$K88=""),"",'09_PARAMETRI'!$B$9-$K88)</f>
        <v/>
      </c>
      <c r="M88" s="24">
        <f>IF($A88="","",SUMPRODUCT(('11_PRODUSE'!$A$5:$A$104&lt;&gt;"")*(SUMIFS('13_VANZARI'!$H$5:$H$1004,'13_VANZARI'!$D$5:$D$1004,$A88,'13_VANZARI'!$E$5:$E$1004,'11_PRODUSE'!$A$5:$A$104,'13_VANZARI'!$A$5:$A$1004,"&gt;="&amp;'09_PARAMETRI'!$B$5,'13_VANZARI'!$A$5:$A$1004,"&lt;="&amp;'09_PARAMETRI'!$B$6)&lt;&gt;0)))</f>
        <v/>
      </c>
      <c r="N88" s="50">
        <f>IF($A88="","",IFERROR(AVERAGEIFS('15_NPS'!$F$5:$F$504,'15_NPS'!$C$5:$C$504,$A88,'15_NPS'!$B$5:$B$504,"&gt;="&amp;'09_PARAMETRI'!$B$5,'15_NPS'!$B$5:$B$504,"&lt;="&amp;'09_PARAMETRI'!$B$6),""))</f>
        <v/>
      </c>
      <c r="O88" s="39">
        <f>IF($A88="","",IF(AND($F88&gt;0,$E88=0),"Client pierdut",IF(AND($L88&lt;&gt;"",$L88&gt;'09_PARAMETRI'!$B$16,$F88&gt;0),"Client dormant",IF(AND($G88&lt;&gt;"",$G88&lt;='09_PARAMETRI'!$B$13),"Scădere de venit",IF(AND($N88&lt;&gt;"",$N88&lt;7),"Detractor activ",IF(AND($E88&gt;0,$J88&gt;'09_PARAMETRI'!$B$19),"Risc concentrare",IF(AND($E88&gt;0,$I88&lt;&gt;"",$I88&lt;'09_PARAMETRI'!$B$15),"Marjă sub referință",IF(AND($G88&lt;&gt;"",$G88&gt;='09_PARAMETRI'!$B$14),"În creștere",IF($E88=0,"Fără activitate","Stabil")))))))))</f>
        <v/>
      </c>
      <c r="P88" s="39">
        <f>IF($A88="","",IF($O88="Risc concentrare","Risc concentrare",IF($O88="Client pierdut","Recuperare client",IF($O88="Client dormant","Reactivare client",IF($O88="Scădere de venit","Recuperare client",IF($O88="Detractor activ","Recuperare NPS",IF($O88="Marjă sub referință","Marjă / preț",IF($O88="În creștere","Up-sell",IF($O88="Fără activitate","Reactivare client","Cross-sell")))))))))</f>
        <v/>
      </c>
      <c r="Q88" s="24">
        <f>IF($A88="","",IFERROR(IF($O88="Scădere de venit",MAX(0,$F88-$E88),IF(OR($O88="Client pierdut",$O88="Client dormant",$O88="Fără activitate"),$F88,IF($O88="Marjă sub referință",MAX(0,$E88*('09_PARAMETRI'!$B$15-$I88)),$E88*0.15))),""))</f>
        <v/>
      </c>
      <c r="R88" s="48">
        <f>IF(OR($A88="",$E88="",N($E88)&lt;=0),"",$E88+ROW()/1000000)</f>
        <v/>
      </c>
    </row>
    <row r="89">
      <c r="A89" s="39">
        <f>IF('10_CLIENTI'!$A89="","",'10_CLIENTI'!$A89)</f>
        <v/>
      </c>
      <c r="B89" s="39">
        <f>IF($A89="","",IFERROR(INDEX('10_CLIENTI'!$B$5:$B$204,MATCH($A89,'10_CLIENTI'!$A$5:$A$204,0)),""))</f>
        <v/>
      </c>
      <c r="C89" s="39">
        <f>IF($A89="","",IFERROR(INDEX('10_CLIENTI'!$C$5:$C$204,MATCH($A89,'10_CLIENTI'!$A$5:$A$204,0)),""))</f>
        <v/>
      </c>
      <c r="D89" s="39">
        <f>IF($A89="","",IFERROR(INDEX('10_CLIENTI'!$G$5:$G$204,MATCH($A89,'10_CLIENTI'!$A$5:$A$204,0)),""))</f>
        <v/>
      </c>
      <c r="E89" s="24">
        <f>IF($A89="","",SUMIFS('13_VANZARI'!$H$5:$H$1004,'13_VANZARI'!$D$5:$D$1004,$A89,'13_VANZARI'!$A$5:$A$1004,"&gt;="&amp;'09_PARAMETRI'!$B$5,'13_VANZARI'!$A$5:$A$1004,"&lt;="&amp;'09_PARAMETRI'!$B$6))</f>
        <v/>
      </c>
      <c r="F89" s="24">
        <f>IF($A89="","",SUMIFS('13_VANZARI'!$H$5:$H$1004,'13_VANZARI'!$D$5:$D$1004,$A89,'13_VANZARI'!$A$5:$A$1004,"&gt;="&amp;'09_PARAMETRI'!$B$7,'13_VANZARI'!$A$5:$A$1004,"&lt;="&amp;'09_PARAMETRI'!$B$8))</f>
        <v/>
      </c>
      <c r="G89" s="25">
        <f>IF($A89="","",IFERROR(IF($F89=0,"",($E89-$F89)/ABS($F89)),""))</f>
        <v/>
      </c>
      <c r="H89" s="24">
        <f>IF($A89="","",SUMIFS('13_VANZARI'!$K$5:$K$1004,'13_VANZARI'!$D$5:$D$1004,$A89,'13_VANZARI'!$A$5:$A$1004,"&gt;="&amp;'09_PARAMETRI'!$B$5,'13_VANZARI'!$A$5:$A$1004,"&lt;="&amp;'09_PARAMETRI'!$B$6))</f>
        <v/>
      </c>
      <c r="I89" s="25">
        <f>IF($A89="","",IFERROR($H89/$E89,""))</f>
        <v/>
      </c>
      <c r="J89" s="25">
        <f>IF($A89="","",IFERROR($E89/SUMIFS('13_VANZARI'!$H$5:$H$1004,'13_VANZARI'!$A$5:$A$1004,"&gt;="&amp;'09_PARAMETRI'!$B$5,'13_VANZARI'!$A$5:$A$1004,"&lt;="&amp;'09_PARAMETRI'!$B$6),""))</f>
        <v/>
      </c>
      <c r="K89" s="36">
        <f>IF($A89="","",IFERROR(IF(SUMPRODUCT(MAX(('13_VANZARI'!$D$5:$D$1004=$A89)*('13_VANZARI'!$H$5:$H$1004&lt;&gt;"")*'13_VANZARI'!$A$5:$A$1004))=0,"",SUMPRODUCT(MAX(('13_VANZARI'!$D$5:$D$1004=$A89)*('13_VANZARI'!$H$5:$H$1004&lt;&gt;"")*'13_VANZARI'!$A$5:$A$1004))),""))</f>
        <v/>
      </c>
      <c r="L89" s="24">
        <f>IF(OR($A89="",$K89=""),"",'09_PARAMETRI'!$B$9-$K89)</f>
        <v/>
      </c>
      <c r="M89" s="24">
        <f>IF($A89="","",SUMPRODUCT(('11_PRODUSE'!$A$5:$A$104&lt;&gt;"")*(SUMIFS('13_VANZARI'!$H$5:$H$1004,'13_VANZARI'!$D$5:$D$1004,$A89,'13_VANZARI'!$E$5:$E$1004,'11_PRODUSE'!$A$5:$A$104,'13_VANZARI'!$A$5:$A$1004,"&gt;="&amp;'09_PARAMETRI'!$B$5,'13_VANZARI'!$A$5:$A$1004,"&lt;="&amp;'09_PARAMETRI'!$B$6)&lt;&gt;0)))</f>
        <v/>
      </c>
      <c r="N89" s="50">
        <f>IF($A89="","",IFERROR(AVERAGEIFS('15_NPS'!$F$5:$F$504,'15_NPS'!$C$5:$C$504,$A89,'15_NPS'!$B$5:$B$504,"&gt;="&amp;'09_PARAMETRI'!$B$5,'15_NPS'!$B$5:$B$504,"&lt;="&amp;'09_PARAMETRI'!$B$6),""))</f>
        <v/>
      </c>
      <c r="O89" s="39">
        <f>IF($A89="","",IF(AND($F89&gt;0,$E89=0),"Client pierdut",IF(AND($L89&lt;&gt;"",$L89&gt;'09_PARAMETRI'!$B$16,$F89&gt;0),"Client dormant",IF(AND($G89&lt;&gt;"",$G89&lt;='09_PARAMETRI'!$B$13),"Scădere de venit",IF(AND($N89&lt;&gt;"",$N89&lt;7),"Detractor activ",IF(AND($E89&gt;0,$J89&gt;'09_PARAMETRI'!$B$19),"Risc concentrare",IF(AND($E89&gt;0,$I89&lt;&gt;"",$I89&lt;'09_PARAMETRI'!$B$15),"Marjă sub referință",IF(AND($G89&lt;&gt;"",$G89&gt;='09_PARAMETRI'!$B$14),"În creștere",IF($E89=0,"Fără activitate","Stabil")))))))))</f>
        <v/>
      </c>
      <c r="P89" s="39">
        <f>IF($A89="","",IF($O89="Risc concentrare","Risc concentrare",IF($O89="Client pierdut","Recuperare client",IF($O89="Client dormant","Reactivare client",IF($O89="Scădere de venit","Recuperare client",IF($O89="Detractor activ","Recuperare NPS",IF($O89="Marjă sub referință","Marjă / preț",IF($O89="În creștere","Up-sell",IF($O89="Fără activitate","Reactivare client","Cross-sell")))))))))</f>
        <v/>
      </c>
      <c r="Q89" s="24">
        <f>IF($A89="","",IFERROR(IF($O89="Scădere de venit",MAX(0,$F89-$E89),IF(OR($O89="Client pierdut",$O89="Client dormant",$O89="Fără activitate"),$F89,IF($O89="Marjă sub referință",MAX(0,$E89*('09_PARAMETRI'!$B$15-$I89)),$E89*0.15))),""))</f>
        <v/>
      </c>
      <c r="R89" s="48">
        <f>IF(OR($A89="",$E89="",N($E89)&lt;=0),"",$E89+ROW()/1000000)</f>
        <v/>
      </c>
    </row>
    <row r="90">
      <c r="A90" s="39">
        <f>IF('10_CLIENTI'!$A90="","",'10_CLIENTI'!$A90)</f>
        <v/>
      </c>
      <c r="B90" s="39">
        <f>IF($A90="","",IFERROR(INDEX('10_CLIENTI'!$B$5:$B$204,MATCH($A90,'10_CLIENTI'!$A$5:$A$204,0)),""))</f>
        <v/>
      </c>
      <c r="C90" s="39">
        <f>IF($A90="","",IFERROR(INDEX('10_CLIENTI'!$C$5:$C$204,MATCH($A90,'10_CLIENTI'!$A$5:$A$204,0)),""))</f>
        <v/>
      </c>
      <c r="D90" s="39">
        <f>IF($A90="","",IFERROR(INDEX('10_CLIENTI'!$G$5:$G$204,MATCH($A90,'10_CLIENTI'!$A$5:$A$204,0)),""))</f>
        <v/>
      </c>
      <c r="E90" s="24">
        <f>IF($A90="","",SUMIFS('13_VANZARI'!$H$5:$H$1004,'13_VANZARI'!$D$5:$D$1004,$A90,'13_VANZARI'!$A$5:$A$1004,"&gt;="&amp;'09_PARAMETRI'!$B$5,'13_VANZARI'!$A$5:$A$1004,"&lt;="&amp;'09_PARAMETRI'!$B$6))</f>
        <v/>
      </c>
      <c r="F90" s="24">
        <f>IF($A90="","",SUMIFS('13_VANZARI'!$H$5:$H$1004,'13_VANZARI'!$D$5:$D$1004,$A90,'13_VANZARI'!$A$5:$A$1004,"&gt;="&amp;'09_PARAMETRI'!$B$7,'13_VANZARI'!$A$5:$A$1004,"&lt;="&amp;'09_PARAMETRI'!$B$8))</f>
        <v/>
      </c>
      <c r="G90" s="25">
        <f>IF($A90="","",IFERROR(IF($F90=0,"",($E90-$F90)/ABS($F90)),""))</f>
        <v/>
      </c>
      <c r="H90" s="24">
        <f>IF($A90="","",SUMIFS('13_VANZARI'!$K$5:$K$1004,'13_VANZARI'!$D$5:$D$1004,$A90,'13_VANZARI'!$A$5:$A$1004,"&gt;="&amp;'09_PARAMETRI'!$B$5,'13_VANZARI'!$A$5:$A$1004,"&lt;="&amp;'09_PARAMETRI'!$B$6))</f>
        <v/>
      </c>
      <c r="I90" s="25">
        <f>IF($A90="","",IFERROR($H90/$E90,""))</f>
        <v/>
      </c>
      <c r="J90" s="25">
        <f>IF($A90="","",IFERROR($E90/SUMIFS('13_VANZARI'!$H$5:$H$1004,'13_VANZARI'!$A$5:$A$1004,"&gt;="&amp;'09_PARAMETRI'!$B$5,'13_VANZARI'!$A$5:$A$1004,"&lt;="&amp;'09_PARAMETRI'!$B$6),""))</f>
        <v/>
      </c>
      <c r="K90" s="36">
        <f>IF($A90="","",IFERROR(IF(SUMPRODUCT(MAX(('13_VANZARI'!$D$5:$D$1004=$A90)*('13_VANZARI'!$H$5:$H$1004&lt;&gt;"")*'13_VANZARI'!$A$5:$A$1004))=0,"",SUMPRODUCT(MAX(('13_VANZARI'!$D$5:$D$1004=$A90)*('13_VANZARI'!$H$5:$H$1004&lt;&gt;"")*'13_VANZARI'!$A$5:$A$1004))),""))</f>
        <v/>
      </c>
      <c r="L90" s="24">
        <f>IF(OR($A90="",$K90=""),"",'09_PARAMETRI'!$B$9-$K90)</f>
        <v/>
      </c>
      <c r="M90" s="24">
        <f>IF($A90="","",SUMPRODUCT(('11_PRODUSE'!$A$5:$A$104&lt;&gt;"")*(SUMIFS('13_VANZARI'!$H$5:$H$1004,'13_VANZARI'!$D$5:$D$1004,$A90,'13_VANZARI'!$E$5:$E$1004,'11_PRODUSE'!$A$5:$A$104,'13_VANZARI'!$A$5:$A$1004,"&gt;="&amp;'09_PARAMETRI'!$B$5,'13_VANZARI'!$A$5:$A$1004,"&lt;="&amp;'09_PARAMETRI'!$B$6)&lt;&gt;0)))</f>
        <v/>
      </c>
      <c r="N90" s="50">
        <f>IF($A90="","",IFERROR(AVERAGEIFS('15_NPS'!$F$5:$F$504,'15_NPS'!$C$5:$C$504,$A90,'15_NPS'!$B$5:$B$504,"&gt;="&amp;'09_PARAMETRI'!$B$5,'15_NPS'!$B$5:$B$504,"&lt;="&amp;'09_PARAMETRI'!$B$6),""))</f>
        <v/>
      </c>
      <c r="O90" s="39">
        <f>IF($A90="","",IF(AND($F90&gt;0,$E90=0),"Client pierdut",IF(AND($L90&lt;&gt;"",$L90&gt;'09_PARAMETRI'!$B$16,$F90&gt;0),"Client dormant",IF(AND($G90&lt;&gt;"",$G90&lt;='09_PARAMETRI'!$B$13),"Scădere de venit",IF(AND($N90&lt;&gt;"",$N90&lt;7),"Detractor activ",IF(AND($E90&gt;0,$J90&gt;'09_PARAMETRI'!$B$19),"Risc concentrare",IF(AND($E90&gt;0,$I90&lt;&gt;"",$I90&lt;'09_PARAMETRI'!$B$15),"Marjă sub referință",IF(AND($G90&lt;&gt;"",$G90&gt;='09_PARAMETRI'!$B$14),"În creștere",IF($E90=0,"Fără activitate","Stabil")))))))))</f>
        <v/>
      </c>
      <c r="P90" s="39">
        <f>IF($A90="","",IF($O90="Risc concentrare","Risc concentrare",IF($O90="Client pierdut","Recuperare client",IF($O90="Client dormant","Reactivare client",IF($O90="Scădere de venit","Recuperare client",IF($O90="Detractor activ","Recuperare NPS",IF($O90="Marjă sub referință","Marjă / preț",IF($O90="În creștere","Up-sell",IF($O90="Fără activitate","Reactivare client","Cross-sell")))))))))</f>
        <v/>
      </c>
      <c r="Q90" s="24">
        <f>IF($A90="","",IFERROR(IF($O90="Scădere de venit",MAX(0,$F90-$E90),IF(OR($O90="Client pierdut",$O90="Client dormant",$O90="Fără activitate"),$F90,IF($O90="Marjă sub referință",MAX(0,$E90*('09_PARAMETRI'!$B$15-$I90)),$E90*0.15))),""))</f>
        <v/>
      </c>
      <c r="R90" s="48">
        <f>IF(OR($A90="",$E90="",N($E90)&lt;=0),"",$E90+ROW()/1000000)</f>
        <v/>
      </c>
    </row>
    <row r="91">
      <c r="A91" s="39">
        <f>IF('10_CLIENTI'!$A91="","",'10_CLIENTI'!$A91)</f>
        <v/>
      </c>
      <c r="B91" s="39">
        <f>IF($A91="","",IFERROR(INDEX('10_CLIENTI'!$B$5:$B$204,MATCH($A91,'10_CLIENTI'!$A$5:$A$204,0)),""))</f>
        <v/>
      </c>
      <c r="C91" s="39">
        <f>IF($A91="","",IFERROR(INDEX('10_CLIENTI'!$C$5:$C$204,MATCH($A91,'10_CLIENTI'!$A$5:$A$204,0)),""))</f>
        <v/>
      </c>
      <c r="D91" s="39">
        <f>IF($A91="","",IFERROR(INDEX('10_CLIENTI'!$G$5:$G$204,MATCH($A91,'10_CLIENTI'!$A$5:$A$204,0)),""))</f>
        <v/>
      </c>
      <c r="E91" s="24">
        <f>IF($A91="","",SUMIFS('13_VANZARI'!$H$5:$H$1004,'13_VANZARI'!$D$5:$D$1004,$A91,'13_VANZARI'!$A$5:$A$1004,"&gt;="&amp;'09_PARAMETRI'!$B$5,'13_VANZARI'!$A$5:$A$1004,"&lt;="&amp;'09_PARAMETRI'!$B$6))</f>
        <v/>
      </c>
      <c r="F91" s="24">
        <f>IF($A91="","",SUMIFS('13_VANZARI'!$H$5:$H$1004,'13_VANZARI'!$D$5:$D$1004,$A91,'13_VANZARI'!$A$5:$A$1004,"&gt;="&amp;'09_PARAMETRI'!$B$7,'13_VANZARI'!$A$5:$A$1004,"&lt;="&amp;'09_PARAMETRI'!$B$8))</f>
        <v/>
      </c>
      <c r="G91" s="25">
        <f>IF($A91="","",IFERROR(IF($F91=0,"",($E91-$F91)/ABS($F91)),""))</f>
        <v/>
      </c>
      <c r="H91" s="24">
        <f>IF($A91="","",SUMIFS('13_VANZARI'!$K$5:$K$1004,'13_VANZARI'!$D$5:$D$1004,$A91,'13_VANZARI'!$A$5:$A$1004,"&gt;="&amp;'09_PARAMETRI'!$B$5,'13_VANZARI'!$A$5:$A$1004,"&lt;="&amp;'09_PARAMETRI'!$B$6))</f>
        <v/>
      </c>
      <c r="I91" s="25">
        <f>IF($A91="","",IFERROR($H91/$E91,""))</f>
        <v/>
      </c>
      <c r="J91" s="25">
        <f>IF($A91="","",IFERROR($E91/SUMIFS('13_VANZARI'!$H$5:$H$1004,'13_VANZARI'!$A$5:$A$1004,"&gt;="&amp;'09_PARAMETRI'!$B$5,'13_VANZARI'!$A$5:$A$1004,"&lt;="&amp;'09_PARAMETRI'!$B$6),""))</f>
        <v/>
      </c>
      <c r="K91" s="36">
        <f>IF($A91="","",IFERROR(IF(SUMPRODUCT(MAX(('13_VANZARI'!$D$5:$D$1004=$A91)*('13_VANZARI'!$H$5:$H$1004&lt;&gt;"")*'13_VANZARI'!$A$5:$A$1004))=0,"",SUMPRODUCT(MAX(('13_VANZARI'!$D$5:$D$1004=$A91)*('13_VANZARI'!$H$5:$H$1004&lt;&gt;"")*'13_VANZARI'!$A$5:$A$1004))),""))</f>
        <v/>
      </c>
      <c r="L91" s="24">
        <f>IF(OR($A91="",$K91=""),"",'09_PARAMETRI'!$B$9-$K91)</f>
        <v/>
      </c>
      <c r="M91" s="24">
        <f>IF($A91="","",SUMPRODUCT(('11_PRODUSE'!$A$5:$A$104&lt;&gt;"")*(SUMIFS('13_VANZARI'!$H$5:$H$1004,'13_VANZARI'!$D$5:$D$1004,$A91,'13_VANZARI'!$E$5:$E$1004,'11_PRODUSE'!$A$5:$A$104,'13_VANZARI'!$A$5:$A$1004,"&gt;="&amp;'09_PARAMETRI'!$B$5,'13_VANZARI'!$A$5:$A$1004,"&lt;="&amp;'09_PARAMETRI'!$B$6)&lt;&gt;0)))</f>
        <v/>
      </c>
      <c r="N91" s="50">
        <f>IF($A91="","",IFERROR(AVERAGEIFS('15_NPS'!$F$5:$F$504,'15_NPS'!$C$5:$C$504,$A91,'15_NPS'!$B$5:$B$504,"&gt;="&amp;'09_PARAMETRI'!$B$5,'15_NPS'!$B$5:$B$504,"&lt;="&amp;'09_PARAMETRI'!$B$6),""))</f>
        <v/>
      </c>
      <c r="O91" s="39">
        <f>IF($A91="","",IF(AND($F91&gt;0,$E91=0),"Client pierdut",IF(AND($L91&lt;&gt;"",$L91&gt;'09_PARAMETRI'!$B$16,$F91&gt;0),"Client dormant",IF(AND($G91&lt;&gt;"",$G91&lt;='09_PARAMETRI'!$B$13),"Scădere de venit",IF(AND($N91&lt;&gt;"",$N91&lt;7),"Detractor activ",IF(AND($E91&gt;0,$J91&gt;'09_PARAMETRI'!$B$19),"Risc concentrare",IF(AND($E91&gt;0,$I91&lt;&gt;"",$I91&lt;'09_PARAMETRI'!$B$15),"Marjă sub referință",IF(AND($G91&lt;&gt;"",$G91&gt;='09_PARAMETRI'!$B$14),"În creștere",IF($E91=0,"Fără activitate","Stabil")))))))))</f>
        <v/>
      </c>
      <c r="P91" s="39">
        <f>IF($A91="","",IF($O91="Risc concentrare","Risc concentrare",IF($O91="Client pierdut","Recuperare client",IF($O91="Client dormant","Reactivare client",IF($O91="Scădere de venit","Recuperare client",IF($O91="Detractor activ","Recuperare NPS",IF($O91="Marjă sub referință","Marjă / preț",IF($O91="În creștere","Up-sell",IF($O91="Fără activitate","Reactivare client","Cross-sell")))))))))</f>
        <v/>
      </c>
      <c r="Q91" s="24">
        <f>IF($A91="","",IFERROR(IF($O91="Scădere de venit",MAX(0,$F91-$E91),IF(OR($O91="Client pierdut",$O91="Client dormant",$O91="Fără activitate"),$F91,IF($O91="Marjă sub referință",MAX(0,$E91*('09_PARAMETRI'!$B$15-$I91)),$E91*0.15))),""))</f>
        <v/>
      </c>
      <c r="R91" s="48">
        <f>IF(OR($A91="",$E91="",N($E91)&lt;=0),"",$E91+ROW()/1000000)</f>
        <v/>
      </c>
    </row>
    <row r="92">
      <c r="A92" s="39">
        <f>IF('10_CLIENTI'!$A92="","",'10_CLIENTI'!$A92)</f>
        <v/>
      </c>
      <c r="B92" s="39">
        <f>IF($A92="","",IFERROR(INDEX('10_CLIENTI'!$B$5:$B$204,MATCH($A92,'10_CLIENTI'!$A$5:$A$204,0)),""))</f>
        <v/>
      </c>
      <c r="C92" s="39">
        <f>IF($A92="","",IFERROR(INDEX('10_CLIENTI'!$C$5:$C$204,MATCH($A92,'10_CLIENTI'!$A$5:$A$204,0)),""))</f>
        <v/>
      </c>
      <c r="D92" s="39">
        <f>IF($A92="","",IFERROR(INDEX('10_CLIENTI'!$G$5:$G$204,MATCH($A92,'10_CLIENTI'!$A$5:$A$204,0)),""))</f>
        <v/>
      </c>
      <c r="E92" s="24">
        <f>IF($A92="","",SUMIFS('13_VANZARI'!$H$5:$H$1004,'13_VANZARI'!$D$5:$D$1004,$A92,'13_VANZARI'!$A$5:$A$1004,"&gt;="&amp;'09_PARAMETRI'!$B$5,'13_VANZARI'!$A$5:$A$1004,"&lt;="&amp;'09_PARAMETRI'!$B$6))</f>
        <v/>
      </c>
      <c r="F92" s="24">
        <f>IF($A92="","",SUMIFS('13_VANZARI'!$H$5:$H$1004,'13_VANZARI'!$D$5:$D$1004,$A92,'13_VANZARI'!$A$5:$A$1004,"&gt;="&amp;'09_PARAMETRI'!$B$7,'13_VANZARI'!$A$5:$A$1004,"&lt;="&amp;'09_PARAMETRI'!$B$8))</f>
        <v/>
      </c>
      <c r="G92" s="25">
        <f>IF($A92="","",IFERROR(IF($F92=0,"",($E92-$F92)/ABS($F92)),""))</f>
        <v/>
      </c>
      <c r="H92" s="24">
        <f>IF($A92="","",SUMIFS('13_VANZARI'!$K$5:$K$1004,'13_VANZARI'!$D$5:$D$1004,$A92,'13_VANZARI'!$A$5:$A$1004,"&gt;="&amp;'09_PARAMETRI'!$B$5,'13_VANZARI'!$A$5:$A$1004,"&lt;="&amp;'09_PARAMETRI'!$B$6))</f>
        <v/>
      </c>
      <c r="I92" s="25">
        <f>IF($A92="","",IFERROR($H92/$E92,""))</f>
        <v/>
      </c>
      <c r="J92" s="25">
        <f>IF($A92="","",IFERROR($E92/SUMIFS('13_VANZARI'!$H$5:$H$1004,'13_VANZARI'!$A$5:$A$1004,"&gt;="&amp;'09_PARAMETRI'!$B$5,'13_VANZARI'!$A$5:$A$1004,"&lt;="&amp;'09_PARAMETRI'!$B$6),""))</f>
        <v/>
      </c>
      <c r="K92" s="36">
        <f>IF($A92="","",IFERROR(IF(SUMPRODUCT(MAX(('13_VANZARI'!$D$5:$D$1004=$A92)*('13_VANZARI'!$H$5:$H$1004&lt;&gt;"")*'13_VANZARI'!$A$5:$A$1004))=0,"",SUMPRODUCT(MAX(('13_VANZARI'!$D$5:$D$1004=$A92)*('13_VANZARI'!$H$5:$H$1004&lt;&gt;"")*'13_VANZARI'!$A$5:$A$1004))),""))</f>
        <v/>
      </c>
      <c r="L92" s="24">
        <f>IF(OR($A92="",$K92=""),"",'09_PARAMETRI'!$B$9-$K92)</f>
        <v/>
      </c>
      <c r="M92" s="24">
        <f>IF($A92="","",SUMPRODUCT(('11_PRODUSE'!$A$5:$A$104&lt;&gt;"")*(SUMIFS('13_VANZARI'!$H$5:$H$1004,'13_VANZARI'!$D$5:$D$1004,$A92,'13_VANZARI'!$E$5:$E$1004,'11_PRODUSE'!$A$5:$A$104,'13_VANZARI'!$A$5:$A$1004,"&gt;="&amp;'09_PARAMETRI'!$B$5,'13_VANZARI'!$A$5:$A$1004,"&lt;="&amp;'09_PARAMETRI'!$B$6)&lt;&gt;0)))</f>
        <v/>
      </c>
      <c r="N92" s="50">
        <f>IF($A92="","",IFERROR(AVERAGEIFS('15_NPS'!$F$5:$F$504,'15_NPS'!$C$5:$C$504,$A92,'15_NPS'!$B$5:$B$504,"&gt;="&amp;'09_PARAMETRI'!$B$5,'15_NPS'!$B$5:$B$504,"&lt;="&amp;'09_PARAMETRI'!$B$6),""))</f>
        <v/>
      </c>
      <c r="O92" s="39">
        <f>IF($A92="","",IF(AND($F92&gt;0,$E92=0),"Client pierdut",IF(AND($L92&lt;&gt;"",$L92&gt;'09_PARAMETRI'!$B$16,$F92&gt;0),"Client dormant",IF(AND($G92&lt;&gt;"",$G92&lt;='09_PARAMETRI'!$B$13),"Scădere de venit",IF(AND($N92&lt;&gt;"",$N92&lt;7),"Detractor activ",IF(AND($E92&gt;0,$J92&gt;'09_PARAMETRI'!$B$19),"Risc concentrare",IF(AND($E92&gt;0,$I92&lt;&gt;"",$I92&lt;'09_PARAMETRI'!$B$15),"Marjă sub referință",IF(AND($G92&lt;&gt;"",$G92&gt;='09_PARAMETRI'!$B$14),"În creștere",IF($E92=0,"Fără activitate","Stabil")))))))))</f>
        <v/>
      </c>
      <c r="P92" s="39">
        <f>IF($A92="","",IF($O92="Risc concentrare","Risc concentrare",IF($O92="Client pierdut","Recuperare client",IF($O92="Client dormant","Reactivare client",IF($O92="Scădere de venit","Recuperare client",IF($O92="Detractor activ","Recuperare NPS",IF($O92="Marjă sub referință","Marjă / preț",IF($O92="În creștere","Up-sell",IF($O92="Fără activitate","Reactivare client","Cross-sell")))))))))</f>
        <v/>
      </c>
      <c r="Q92" s="24">
        <f>IF($A92="","",IFERROR(IF($O92="Scădere de venit",MAX(0,$F92-$E92),IF(OR($O92="Client pierdut",$O92="Client dormant",$O92="Fără activitate"),$F92,IF($O92="Marjă sub referință",MAX(0,$E92*('09_PARAMETRI'!$B$15-$I92)),$E92*0.15))),""))</f>
        <v/>
      </c>
      <c r="R92" s="48">
        <f>IF(OR($A92="",$E92="",N($E92)&lt;=0),"",$E92+ROW()/1000000)</f>
        <v/>
      </c>
    </row>
    <row r="93">
      <c r="A93" s="39">
        <f>IF('10_CLIENTI'!$A93="","",'10_CLIENTI'!$A93)</f>
        <v/>
      </c>
      <c r="B93" s="39">
        <f>IF($A93="","",IFERROR(INDEX('10_CLIENTI'!$B$5:$B$204,MATCH($A93,'10_CLIENTI'!$A$5:$A$204,0)),""))</f>
        <v/>
      </c>
      <c r="C93" s="39">
        <f>IF($A93="","",IFERROR(INDEX('10_CLIENTI'!$C$5:$C$204,MATCH($A93,'10_CLIENTI'!$A$5:$A$204,0)),""))</f>
        <v/>
      </c>
      <c r="D93" s="39">
        <f>IF($A93="","",IFERROR(INDEX('10_CLIENTI'!$G$5:$G$204,MATCH($A93,'10_CLIENTI'!$A$5:$A$204,0)),""))</f>
        <v/>
      </c>
      <c r="E93" s="24">
        <f>IF($A93="","",SUMIFS('13_VANZARI'!$H$5:$H$1004,'13_VANZARI'!$D$5:$D$1004,$A93,'13_VANZARI'!$A$5:$A$1004,"&gt;="&amp;'09_PARAMETRI'!$B$5,'13_VANZARI'!$A$5:$A$1004,"&lt;="&amp;'09_PARAMETRI'!$B$6))</f>
        <v/>
      </c>
      <c r="F93" s="24">
        <f>IF($A93="","",SUMIFS('13_VANZARI'!$H$5:$H$1004,'13_VANZARI'!$D$5:$D$1004,$A93,'13_VANZARI'!$A$5:$A$1004,"&gt;="&amp;'09_PARAMETRI'!$B$7,'13_VANZARI'!$A$5:$A$1004,"&lt;="&amp;'09_PARAMETRI'!$B$8))</f>
        <v/>
      </c>
      <c r="G93" s="25">
        <f>IF($A93="","",IFERROR(IF($F93=0,"",($E93-$F93)/ABS($F93)),""))</f>
        <v/>
      </c>
      <c r="H93" s="24">
        <f>IF($A93="","",SUMIFS('13_VANZARI'!$K$5:$K$1004,'13_VANZARI'!$D$5:$D$1004,$A93,'13_VANZARI'!$A$5:$A$1004,"&gt;="&amp;'09_PARAMETRI'!$B$5,'13_VANZARI'!$A$5:$A$1004,"&lt;="&amp;'09_PARAMETRI'!$B$6))</f>
        <v/>
      </c>
      <c r="I93" s="25">
        <f>IF($A93="","",IFERROR($H93/$E93,""))</f>
        <v/>
      </c>
      <c r="J93" s="25">
        <f>IF($A93="","",IFERROR($E93/SUMIFS('13_VANZARI'!$H$5:$H$1004,'13_VANZARI'!$A$5:$A$1004,"&gt;="&amp;'09_PARAMETRI'!$B$5,'13_VANZARI'!$A$5:$A$1004,"&lt;="&amp;'09_PARAMETRI'!$B$6),""))</f>
        <v/>
      </c>
      <c r="K93" s="36">
        <f>IF($A93="","",IFERROR(IF(SUMPRODUCT(MAX(('13_VANZARI'!$D$5:$D$1004=$A93)*('13_VANZARI'!$H$5:$H$1004&lt;&gt;"")*'13_VANZARI'!$A$5:$A$1004))=0,"",SUMPRODUCT(MAX(('13_VANZARI'!$D$5:$D$1004=$A93)*('13_VANZARI'!$H$5:$H$1004&lt;&gt;"")*'13_VANZARI'!$A$5:$A$1004))),""))</f>
        <v/>
      </c>
      <c r="L93" s="24">
        <f>IF(OR($A93="",$K93=""),"",'09_PARAMETRI'!$B$9-$K93)</f>
        <v/>
      </c>
      <c r="M93" s="24">
        <f>IF($A93="","",SUMPRODUCT(('11_PRODUSE'!$A$5:$A$104&lt;&gt;"")*(SUMIFS('13_VANZARI'!$H$5:$H$1004,'13_VANZARI'!$D$5:$D$1004,$A93,'13_VANZARI'!$E$5:$E$1004,'11_PRODUSE'!$A$5:$A$104,'13_VANZARI'!$A$5:$A$1004,"&gt;="&amp;'09_PARAMETRI'!$B$5,'13_VANZARI'!$A$5:$A$1004,"&lt;="&amp;'09_PARAMETRI'!$B$6)&lt;&gt;0)))</f>
        <v/>
      </c>
      <c r="N93" s="50">
        <f>IF($A93="","",IFERROR(AVERAGEIFS('15_NPS'!$F$5:$F$504,'15_NPS'!$C$5:$C$504,$A93,'15_NPS'!$B$5:$B$504,"&gt;="&amp;'09_PARAMETRI'!$B$5,'15_NPS'!$B$5:$B$504,"&lt;="&amp;'09_PARAMETRI'!$B$6),""))</f>
        <v/>
      </c>
      <c r="O93" s="39">
        <f>IF($A93="","",IF(AND($F93&gt;0,$E93=0),"Client pierdut",IF(AND($L93&lt;&gt;"",$L93&gt;'09_PARAMETRI'!$B$16,$F93&gt;0),"Client dormant",IF(AND($G93&lt;&gt;"",$G93&lt;='09_PARAMETRI'!$B$13),"Scădere de venit",IF(AND($N93&lt;&gt;"",$N93&lt;7),"Detractor activ",IF(AND($E93&gt;0,$J93&gt;'09_PARAMETRI'!$B$19),"Risc concentrare",IF(AND($E93&gt;0,$I93&lt;&gt;"",$I93&lt;'09_PARAMETRI'!$B$15),"Marjă sub referință",IF(AND($G93&lt;&gt;"",$G93&gt;='09_PARAMETRI'!$B$14),"În creștere",IF($E93=0,"Fără activitate","Stabil")))))))))</f>
        <v/>
      </c>
      <c r="P93" s="39">
        <f>IF($A93="","",IF($O93="Risc concentrare","Risc concentrare",IF($O93="Client pierdut","Recuperare client",IF($O93="Client dormant","Reactivare client",IF($O93="Scădere de venit","Recuperare client",IF($O93="Detractor activ","Recuperare NPS",IF($O93="Marjă sub referință","Marjă / preț",IF($O93="În creștere","Up-sell",IF($O93="Fără activitate","Reactivare client","Cross-sell")))))))))</f>
        <v/>
      </c>
      <c r="Q93" s="24">
        <f>IF($A93="","",IFERROR(IF($O93="Scădere de venit",MAX(0,$F93-$E93),IF(OR($O93="Client pierdut",$O93="Client dormant",$O93="Fără activitate"),$F93,IF($O93="Marjă sub referință",MAX(0,$E93*('09_PARAMETRI'!$B$15-$I93)),$E93*0.15))),""))</f>
        <v/>
      </c>
      <c r="R93" s="48">
        <f>IF(OR($A93="",$E93="",N($E93)&lt;=0),"",$E93+ROW()/1000000)</f>
        <v/>
      </c>
    </row>
    <row r="94">
      <c r="A94" s="39">
        <f>IF('10_CLIENTI'!$A94="","",'10_CLIENTI'!$A94)</f>
        <v/>
      </c>
      <c r="B94" s="39">
        <f>IF($A94="","",IFERROR(INDEX('10_CLIENTI'!$B$5:$B$204,MATCH($A94,'10_CLIENTI'!$A$5:$A$204,0)),""))</f>
        <v/>
      </c>
      <c r="C94" s="39">
        <f>IF($A94="","",IFERROR(INDEX('10_CLIENTI'!$C$5:$C$204,MATCH($A94,'10_CLIENTI'!$A$5:$A$204,0)),""))</f>
        <v/>
      </c>
      <c r="D94" s="39">
        <f>IF($A94="","",IFERROR(INDEX('10_CLIENTI'!$G$5:$G$204,MATCH($A94,'10_CLIENTI'!$A$5:$A$204,0)),""))</f>
        <v/>
      </c>
      <c r="E94" s="24">
        <f>IF($A94="","",SUMIFS('13_VANZARI'!$H$5:$H$1004,'13_VANZARI'!$D$5:$D$1004,$A94,'13_VANZARI'!$A$5:$A$1004,"&gt;="&amp;'09_PARAMETRI'!$B$5,'13_VANZARI'!$A$5:$A$1004,"&lt;="&amp;'09_PARAMETRI'!$B$6))</f>
        <v/>
      </c>
      <c r="F94" s="24">
        <f>IF($A94="","",SUMIFS('13_VANZARI'!$H$5:$H$1004,'13_VANZARI'!$D$5:$D$1004,$A94,'13_VANZARI'!$A$5:$A$1004,"&gt;="&amp;'09_PARAMETRI'!$B$7,'13_VANZARI'!$A$5:$A$1004,"&lt;="&amp;'09_PARAMETRI'!$B$8))</f>
        <v/>
      </c>
      <c r="G94" s="25">
        <f>IF($A94="","",IFERROR(IF($F94=0,"",($E94-$F94)/ABS($F94)),""))</f>
        <v/>
      </c>
      <c r="H94" s="24">
        <f>IF($A94="","",SUMIFS('13_VANZARI'!$K$5:$K$1004,'13_VANZARI'!$D$5:$D$1004,$A94,'13_VANZARI'!$A$5:$A$1004,"&gt;="&amp;'09_PARAMETRI'!$B$5,'13_VANZARI'!$A$5:$A$1004,"&lt;="&amp;'09_PARAMETRI'!$B$6))</f>
        <v/>
      </c>
      <c r="I94" s="25">
        <f>IF($A94="","",IFERROR($H94/$E94,""))</f>
        <v/>
      </c>
      <c r="J94" s="25">
        <f>IF($A94="","",IFERROR($E94/SUMIFS('13_VANZARI'!$H$5:$H$1004,'13_VANZARI'!$A$5:$A$1004,"&gt;="&amp;'09_PARAMETRI'!$B$5,'13_VANZARI'!$A$5:$A$1004,"&lt;="&amp;'09_PARAMETRI'!$B$6),""))</f>
        <v/>
      </c>
      <c r="K94" s="36">
        <f>IF($A94="","",IFERROR(IF(SUMPRODUCT(MAX(('13_VANZARI'!$D$5:$D$1004=$A94)*('13_VANZARI'!$H$5:$H$1004&lt;&gt;"")*'13_VANZARI'!$A$5:$A$1004))=0,"",SUMPRODUCT(MAX(('13_VANZARI'!$D$5:$D$1004=$A94)*('13_VANZARI'!$H$5:$H$1004&lt;&gt;"")*'13_VANZARI'!$A$5:$A$1004))),""))</f>
        <v/>
      </c>
      <c r="L94" s="24">
        <f>IF(OR($A94="",$K94=""),"",'09_PARAMETRI'!$B$9-$K94)</f>
        <v/>
      </c>
      <c r="M94" s="24">
        <f>IF($A94="","",SUMPRODUCT(('11_PRODUSE'!$A$5:$A$104&lt;&gt;"")*(SUMIFS('13_VANZARI'!$H$5:$H$1004,'13_VANZARI'!$D$5:$D$1004,$A94,'13_VANZARI'!$E$5:$E$1004,'11_PRODUSE'!$A$5:$A$104,'13_VANZARI'!$A$5:$A$1004,"&gt;="&amp;'09_PARAMETRI'!$B$5,'13_VANZARI'!$A$5:$A$1004,"&lt;="&amp;'09_PARAMETRI'!$B$6)&lt;&gt;0)))</f>
        <v/>
      </c>
      <c r="N94" s="50">
        <f>IF($A94="","",IFERROR(AVERAGEIFS('15_NPS'!$F$5:$F$504,'15_NPS'!$C$5:$C$504,$A94,'15_NPS'!$B$5:$B$504,"&gt;="&amp;'09_PARAMETRI'!$B$5,'15_NPS'!$B$5:$B$504,"&lt;="&amp;'09_PARAMETRI'!$B$6),""))</f>
        <v/>
      </c>
      <c r="O94" s="39">
        <f>IF($A94="","",IF(AND($F94&gt;0,$E94=0),"Client pierdut",IF(AND($L94&lt;&gt;"",$L94&gt;'09_PARAMETRI'!$B$16,$F94&gt;0),"Client dormant",IF(AND($G94&lt;&gt;"",$G94&lt;='09_PARAMETRI'!$B$13),"Scădere de venit",IF(AND($N94&lt;&gt;"",$N94&lt;7),"Detractor activ",IF(AND($E94&gt;0,$J94&gt;'09_PARAMETRI'!$B$19),"Risc concentrare",IF(AND($E94&gt;0,$I94&lt;&gt;"",$I94&lt;'09_PARAMETRI'!$B$15),"Marjă sub referință",IF(AND($G94&lt;&gt;"",$G94&gt;='09_PARAMETRI'!$B$14),"În creștere",IF($E94=0,"Fără activitate","Stabil")))))))))</f>
        <v/>
      </c>
      <c r="P94" s="39">
        <f>IF($A94="","",IF($O94="Risc concentrare","Risc concentrare",IF($O94="Client pierdut","Recuperare client",IF($O94="Client dormant","Reactivare client",IF($O94="Scădere de venit","Recuperare client",IF($O94="Detractor activ","Recuperare NPS",IF($O94="Marjă sub referință","Marjă / preț",IF($O94="În creștere","Up-sell",IF($O94="Fără activitate","Reactivare client","Cross-sell")))))))))</f>
        <v/>
      </c>
      <c r="Q94" s="24">
        <f>IF($A94="","",IFERROR(IF($O94="Scădere de venit",MAX(0,$F94-$E94),IF(OR($O94="Client pierdut",$O94="Client dormant",$O94="Fără activitate"),$F94,IF($O94="Marjă sub referință",MAX(0,$E94*('09_PARAMETRI'!$B$15-$I94)),$E94*0.15))),""))</f>
        <v/>
      </c>
      <c r="R94" s="48">
        <f>IF(OR($A94="",$E94="",N($E94)&lt;=0),"",$E94+ROW()/1000000)</f>
        <v/>
      </c>
    </row>
    <row r="95">
      <c r="A95" s="39">
        <f>IF('10_CLIENTI'!$A95="","",'10_CLIENTI'!$A95)</f>
        <v/>
      </c>
      <c r="B95" s="39">
        <f>IF($A95="","",IFERROR(INDEX('10_CLIENTI'!$B$5:$B$204,MATCH($A95,'10_CLIENTI'!$A$5:$A$204,0)),""))</f>
        <v/>
      </c>
      <c r="C95" s="39">
        <f>IF($A95="","",IFERROR(INDEX('10_CLIENTI'!$C$5:$C$204,MATCH($A95,'10_CLIENTI'!$A$5:$A$204,0)),""))</f>
        <v/>
      </c>
      <c r="D95" s="39">
        <f>IF($A95="","",IFERROR(INDEX('10_CLIENTI'!$G$5:$G$204,MATCH($A95,'10_CLIENTI'!$A$5:$A$204,0)),""))</f>
        <v/>
      </c>
      <c r="E95" s="24">
        <f>IF($A95="","",SUMIFS('13_VANZARI'!$H$5:$H$1004,'13_VANZARI'!$D$5:$D$1004,$A95,'13_VANZARI'!$A$5:$A$1004,"&gt;="&amp;'09_PARAMETRI'!$B$5,'13_VANZARI'!$A$5:$A$1004,"&lt;="&amp;'09_PARAMETRI'!$B$6))</f>
        <v/>
      </c>
      <c r="F95" s="24">
        <f>IF($A95="","",SUMIFS('13_VANZARI'!$H$5:$H$1004,'13_VANZARI'!$D$5:$D$1004,$A95,'13_VANZARI'!$A$5:$A$1004,"&gt;="&amp;'09_PARAMETRI'!$B$7,'13_VANZARI'!$A$5:$A$1004,"&lt;="&amp;'09_PARAMETRI'!$B$8))</f>
        <v/>
      </c>
      <c r="G95" s="25">
        <f>IF($A95="","",IFERROR(IF($F95=0,"",($E95-$F95)/ABS($F95)),""))</f>
        <v/>
      </c>
      <c r="H95" s="24">
        <f>IF($A95="","",SUMIFS('13_VANZARI'!$K$5:$K$1004,'13_VANZARI'!$D$5:$D$1004,$A95,'13_VANZARI'!$A$5:$A$1004,"&gt;="&amp;'09_PARAMETRI'!$B$5,'13_VANZARI'!$A$5:$A$1004,"&lt;="&amp;'09_PARAMETRI'!$B$6))</f>
        <v/>
      </c>
      <c r="I95" s="25">
        <f>IF($A95="","",IFERROR($H95/$E95,""))</f>
        <v/>
      </c>
      <c r="J95" s="25">
        <f>IF($A95="","",IFERROR($E95/SUMIFS('13_VANZARI'!$H$5:$H$1004,'13_VANZARI'!$A$5:$A$1004,"&gt;="&amp;'09_PARAMETRI'!$B$5,'13_VANZARI'!$A$5:$A$1004,"&lt;="&amp;'09_PARAMETRI'!$B$6),""))</f>
        <v/>
      </c>
      <c r="K95" s="36">
        <f>IF($A95="","",IFERROR(IF(SUMPRODUCT(MAX(('13_VANZARI'!$D$5:$D$1004=$A95)*('13_VANZARI'!$H$5:$H$1004&lt;&gt;"")*'13_VANZARI'!$A$5:$A$1004))=0,"",SUMPRODUCT(MAX(('13_VANZARI'!$D$5:$D$1004=$A95)*('13_VANZARI'!$H$5:$H$1004&lt;&gt;"")*'13_VANZARI'!$A$5:$A$1004))),""))</f>
        <v/>
      </c>
      <c r="L95" s="24">
        <f>IF(OR($A95="",$K95=""),"",'09_PARAMETRI'!$B$9-$K95)</f>
        <v/>
      </c>
      <c r="M95" s="24">
        <f>IF($A95="","",SUMPRODUCT(('11_PRODUSE'!$A$5:$A$104&lt;&gt;"")*(SUMIFS('13_VANZARI'!$H$5:$H$1004,'13_VANZARI'!$D$5:$D$1004,$A95,'13_VANZARI'!$E$5:$E$1004,'11_PRODUSE'!$A$5:$A$104,'13_VANZARI'!$A$5:$A$1004,"&gt;="&amp;'09_PARAMETRI'!$B$5,'13_VANZARI'!$A$5:$A$1004,"&lt;="&amp;'09_PARAMETRI'!$B$6)&lt;&gt;0)))</f>
        <v/>
      </c>
      <c r="N95" s="50">
        <f>IF($A95="","",IFERROR(AVERAGEIFS('15_NPS'!$F$5:$F$504,'15_NPS'!$C$5:$C$504,$A95,'15_NPS'!$B$5:$B$504,"&gt;="&amp;'09_PARAMETRI'!$B$5,'15_NPS'!$B$5:$B$504,"&lt;="&amp;'09_PARAMETRI'!$B$6),""))</f>
        <v/>
      </c>
      <c r="O95" s="39">
        <f>IF($A95="","",IF(AND($F95&gt;0,$E95=0),"Client pierdut",IF(AND($L95&lt;&gt;"",$L95&gt;'09_PARAMETRI'!$B$16,$F95&gt;0),"Client dormant",IF(AND($G95&lt;&gt;"",$G95&lt;='09_PARAMETRI'!$B$13),"Scădere de venit",IF(AND($N95&lt;&gt;"",$N95&lt;7),"Detractor activ",IF(AND($E95&gt;0,$J95&gt;'09_PARAMETRI'!$B$19),"Risc concentrare",IF(AND($E95&gt;0,$I95&lt;&gt;"",$I95&lt;'09_PARAMETRI'!$B$15),"Marjă sub referință",IF(AND($G95&lt;&gt;"",$G95&gt;='09_PARAMETRI'!$B$14),"În creștere",IF($E95=0,"Fără activitate","Stabil")))))))))</f>
        <v/>
      </c>
      <c r="P95" s="39">
        <f>IF($A95="","",IF($O95="Risc concentrare","Risc concentrare",IF($O95="Client pierdut","Recuperare client",IF($O95="Client dormant","Reactivare client",IF($O95="Scădere de venit","Recuperare client",IF($O95="Detractor activ","Recuperare NPS",IF($O95="Marjă sub referință","Marjă / preț",IF($O95="În creștere","Up-sell",IF($O95="Fără activitate","Reactivare client","Cross-sell")))))))))</f>
        <v/>
      </c>
      <c r="Q95" s="24">
        <f>IF($A95="","",IFERROR(IF($O95="Scădere de venit",MAX(0,$F95-$E95),IF(OR($O95="Client pierdut",$O95="Client dormant",$O95="Fără activitate"),$F95,IF($O95="Marjă sub referință",MAX(0,$E95*('09_PARAMETRI'!$B$15-$I95)),$E95*0.15))),""))</f>
        <v/>
      </c>
      <c r="R95" s="48">
        <f>IF(OR($A95="",$E95="",N($E95)&lt;=0),"",$E95+ROW()/1000000)</f>
        <v/>
      </c>
    </row>
    <row r="96">
      <c r="A96" s="39">
        <f>IF('10_CLIENTI'!$A96="","",'10_CLIENTI'!$A96)</f>
        <v/>
      </c>
      <c r="B96" s="39">
        <f>IF($A96="","",IFERROR(INDEX('10_CLIENTI'!$B$5:$B$204,MATCH($A96,'10_CLIENTI'!$A$5:$A$204,0)),""))</f>
        <v/>
      </c>
      <c r="C96" s="39">
        <f>IF($A96="","",IFERROR(INDEX('10_CLIENTI'!$C$5:$C$204,MATCH($A96,'10_CLIENTI'!$A$5:$A$204,0)),""))</f>
        <v/>
      </c>
      <c r="D96" s="39">
        <f>IF($A96="","",IFERROR(INDEX('10_CLIENTI'!$G$5:$G$204,MATCH($A96,'10_CLIENTI'!$A$5:$A$204,0)),""))</f>
        <v/>
      </c>
      <c r="E96" s="24">
        <f>IF($A96="","",SUMIFS('13_VANZARI'!$H$5:$H$1004,'13_VANZARI'!$D$5:$D$1004,$A96,'13_VANZARI'!$A$5:$A$1004,"&gt;="&amp;'09_PARAMETRI'!$B$5,'13_VANZARI'!$A$5:$A$1004,"&lt;="&amp;'09_PARAMETRI'!$B$6))</f>
        <v/>
      </c>
      <c r="F96" s="24">
        <f>IF($A96="","",SUMIFS('13_VANZARI'!$H$5:$H$1004,'13_VANZARI'!$D$5:$D$1004,$A96,'13_VANZARI'!$A$5:$A$1004,"&gt;="&amp;'09_PARAMETRI'!$B$7,'13_VANZARI'!$A$5:$A$1004,"&lt;="&amp;'09_PARAMETRI'!$B$8))</f>
        <v/>
      </c>
      <c r="G96" s="25">
        <f>IF($A96="","",IFERROR(IF($F96=0,"",($E96-$F96)/ABS($F96)),""))</f>
        <v/>
      </c>
      <c r="H96" s="24">
        <f>IF($A96="","",SUMIFS('13_VANZARI'!$K$5:$K$1004,'13_VANZARI'!$D$5:$D$1004,$A96,'13_VANZARI'!$A$5:$A$1004,"&gt;="&amp;'09_PARAMETRI'!$B$5,'13_VANZARI'!$A$5:$A$1004,"&lt;="&amp;'09_PARAMETRI'!$B$6))</f>
        <v/>
      </c>
      <c r="I96" s="25">
        <f>IF($A96="","",IFERROR($H96/$E96,""))</f>
        <v/>
      </c>
      <c r="J96" s="25">
        <f>IF($A96="","",IFERROR($E96/SUMIFS('13_VANZARI'!$H$5:$H$1004,'13_VANZARI'!$A$5:$A$1004,"&gt;="&amp;'09_PARAMETRI'!$B$5,'13_VANZARI'!$A$5:$A$1004,"&lt;="&amp;'09_PARAMETRI'!$B$6),""))</f>
        <v/>
      </c>
      <c r="K96" s="36">
        <f>IF($A96="","",IFERROR(IF(SUMPRODUCT(MAX(('13_VANZARI'!$D$5:$D$1004=$A96)*('13_VANZARI'!$H$5:$H$1004&lt;&gt;"")*'13_VANZARI'!$A$5:$A$1004))=0,"",SUMPRODUCT(MAX(('13_VANZARI'!$D$5:$D$1004=$A96)*('13_VANZARI'!$H$5:$H$1004&lt;&gt;"")*'13_VANZARI'!$A$5:$A$1004))),""))</f>
        <v/>
      </c>
      <c r="L96" s="24">
        <f>IF(OR($A96="",$K96=""),"",'09_PARAMETRI'!$B$9-$K96)</f>
        <v/>
      </c>
      <c r="M96" s="24">
        <f>IF($A96="","",SUMPRODUCT(('11_PRODUSE'!$A$5:$A$104&lt;&gt;"")*(SUMIFS('13_VANZARI'!$H$5:$H$1004,'13_VANZARI'!$D$5:$D$1004,$A96,'13_VANZARI'!$E$5:$E$1004,'11_PRODUSE'!$A$5:$A$104,'13_VANZARI'!$A$5:$A$1004,"&gt;="&amp;'09_PARAMETRI'!$B$5,'13_VANZARI'!$A$5:$A$1004,"&lt;="&amp;'09_PARAMETRI'!$B$6)&lt;&gt;0)))</f>
        <v/>
      </c>
      <c r="N96" s="50">
        <f>IF($A96="","",IFERROR(AVERAGEIFS('15_NPS'!$F$5:$F$504,'15_NPS'!$C$5:$C$504,$A96,'15_NPS'!$B$5:$B$504,"&gt;="&amp;'09_PARAMETRI'!$B$5,'15_NPS'!$B$5:$B$504,"&lt;="&amp;'09_PARAMETRI'!$B$6),""))</f>
        <v/>
      </c>
      <c r="O96" s="39">
        <f>IF($A96="","",IF(AND($F96&gt;0,$E96=0),"Client pierdut",IF(AND($L96&lt;&gt;"",$L96&gt;'09_PARAMETRI'!$B$16,$F96&gt;0),"Client dormant",IF(AND($G96&lt;&gt;"",$G96&lt;='09_PARAMETRI'!$B$13),"Scădere de venit",IF(AND($N96&lt;&gt;"",$N96&lt;7),"Detractor activ",IF(AND($E96&gt;0,$J96&gt;'09_PARAMETRI'!$B$19),"Risc concentrare",IF(AND($E96&gt;0,$I96&lt;&gt;"",$I96&lt;'09_PARAMETRI'!$B$15),"Marjă sub referință",IF(AND($G96&lt;&gt;"",$G96&gt;='09_PARAMETRI'!$B$14),"În creștere",IF($E96=0,"Fără activitate","Stabil")))))))))</f>
        <v/>
      </c>
      <c r="P96" s="39">
        <f>IF($A96="","",IF($O96="Risc concentrare","Risc concentrare",IF($O96="Client pierdut","Recuperare client",IF($O96="Client dormant","Reactivare client",IF($O96="Scădere de venit","Recuperare client",IF($O96="Detractor activ","Recuperare NPS",IF($O96="Marjă sub referință","Marjă / preț",IF($O96="În creștere","Up-sell",IF($O96="Fără activitate","Reactivare client","Cross-sell")))))))))</f>
        <v/>
      </c>
      <c r="Q96" s="24">
        <f>IF($A96="","",IFERROR(IF($O96="Scădere de venit",MAX(0,$F96-$E96),IF(OR($O96="Client pierdut",$O96="Client dormant",$O96="Fără activitate"),$F96,IF($O96="Marjă sub referință",MAX(0,$E96*('09_PARAMETRI'!$B$15-$I96)),$E96*0.15))),""))</f>
        <v/>
      </c>
      <c r="R96" s="48">
        <f>IF(OR($A96="",$E96="",N($E96)&lt;=0),"",$E96+ROW()/1000000)</f>
        <v/>
      </c>
    </row>
    <row r="97">
      <c r="A97" s="39">
        <f>IF('10_CLIENTI'!$A97="","",'10_CLIENTI'!$A97)</f>
        <v/>
      </c>
      <c r="B97" s="39">
        <f>IF($A97="","",IFERROR(INDEX('10_CLIENTI'!$B$5:$B$204,MATCH($A97,'10_CLIENTI'!$A$5:$A$204,0)),""))</f>
        <v/>
      </c>
      <c r="C97" s="39">
        <f>IF($A97="","",IFERROR(INDEX('10_CLIENTI'!$C$5:$C$204,MATCH($A97,'10_CLIENTI'!$A$5:$A$204,0)),""))</f>
        <v/>
      </c>
      <c r="D97" s="39">
        <f>IF($A97="","",IFERROR(INDEX('10_CLIENTI'!$G$5:$G$204,MATCH($A97,'10_CLIENTI'!$A$5:$A$204,0)),""))</f>
        <v/>
      </c>
      <c r="E97" s="24">
        <f>IF($A97="","",SUMIFS('13_VANZARI'!$H$5:$H$1004,'13_VANZARI'!$D$5:$D$1004,$A97,'13_VANZARI'!$A$5:$A$1004,"&gt;="&amp;'09_PARAMETRI'!$B$5,'13_VANZARI'!$A$5:$A$1004,"&lt;="&amp;'09_PARAMETRI'!$B$6))</f>
        <v/>
      </c>
      <c r="F97" s="24">
        <f>IF($A97="","",SUMIFS('13_VANZARI'!$H$5:$H$1004,'13_VANZARI'!$D$5:$D$1004,$A97,'13_VANZARI'!$A$5:$A$1004,"&gt;="&amp;'09_PARAMETRI'!$B$7,'13_VANZARI'!$A$5:$A$1004,"&lt;="&amp;'09_PARAMETRI'!$B$8))</f>
        <v/>
      </c>
      <c r="G97" s="25">
        <f>IF($A97="","",IFERROR(IF($F97=0,"",($E97-$F97)/ABS($F97)),""))</f>
        <v/>
      </c>
      <c r="H97" s="24">
        <f>IF($A97="","",SUMIFS('13_VANZARI'!$K$5:$K$1004,'13_VANZARI'!$D$5:$D$1004,$A97,'13_VANZARI'!$A$5:$A$1004,"&gt;="&amp;'09_PARAMETRI'!$B$5,'13_VANZARI'!$A$5:$A$1004,"&lt;="&amp;'09_PARAMETRI'!$B$6))</f>
        <v/>
      </c>
      <c r="I97" s="25">
        <f>IF($A97="","",IFERROR($H97/$E97,""))</f>
        <v/>
      </c>
      <c r="J97" s="25">
        <f>IF($A97="","",IFERROR($E97/SUMIFS('13_VANZARI'!$H$5:$H$1004,'13_VANZARI'!$A$5:$A$1004,"&gt;="&amp;'09_PARAMETRI'!$B$5,'13_VANZARI'!$A$5:$A$1004,"&lt;="&amp;'09_PARAMETRI'!$B$6),""))</f>
        <v/>
      </c>
      <c r="K97" s="36">
        <f>IF($A97="","",IFERROR(IF(SUMPRODUCT(MAX(('13_VANZARI'!$D$5:$D$1004=$A97)*('13_VANZARI'!$H$5:$H$1004&lt;&gt;"")*'13_VANZARI'!$A$5:$A$1004))=0,"",SUMPRODUCT(MAX(('13_VANZARI'!$D$5:$D$1004=$A97)*('13_VANZARI'!$H$5:$H$1004&lt;&gt;"")*'13_VANZARI'!$A$5:$A$1004))),""))</f>
        <v/>
      </c>
      <c r="L97" s="24">
        <f>IF(OR($A97="",$K97=""),"",'09_PARAMETRI'!$B$9-$K97)</f>
        <v/>
      </c>
      <c r="M97" s="24">
        <f>IF($A97="","",SUMPRODUCT(('11_PRODUSE'!$A$5:$A$104&lt;&gt;"")*(SUMIFS('13_VANZARI'!$H$5:$H$1004,'13_VANZARI'!$D$5:$D$1004,$A97,'13_VANZARI'!$E$5:$E$1004,'11_PRODUSE'!$A$5:$A$104,'13_VANZARI'!$A$5:$A$1004,"&gt;="&amp;'09_PARAMETRI'!$B$5,'13_VANZARI'!$A$5:$A$1004,"&lt;="&amp;'09_PARAMETRI'!$B$6)&lt;&gt;0)))</f>
        <v/>
      </c>
      <c r="N97" s="50">
        <f>IF($A97="","",IFERROR(AVERAGEIFS('15_NPS'!$F$5:$F$504,'15_NPS'!$C$5:$C$504,$A97,'15_NPS'!$B$5:$B$504,"&gt;="&amp;'09_PARAMETRI'!$B$5,'15_NPS'!$B$5:$B$504,"&lt;="&amp;'09_PARAMETRI'!$B$6),""))</f>
        <v/>
      </c>
      <c r="O97" s="39">
        <f>IF($A97="","",IF(AND($F97&gt;0,$E97=0),"Client pierdut",IF(AND($L97&lt;&gt;"",$L97&gt;'09_PARAMETRI'!$B$16,$F97&gt;0),"Client dormant",IF(AND($G97&lt;&gt;"",$G97&lt;='09_PARAMETRI'!$B$13),"Scădere de venit",IF(AND($N97&lt;&gt;"",$N97&lt;7),"Detractor activ",IF(AND($E97&gt;0,$J97&gt;'09_PARAMETRI'!$B$19),"Risc concentrare",IF(AND($E97&gt;0,$I97&lt;&gt;"",$I97&lt;'09_PARAMETRI'!$B$15),"Marjă sub referință",IF(AND($G97&lt;&gt;"",$G97&gt;='09_PARAMETRI'!$B$14),"În creștere",IF($E97=0,"Fără activitate","Stabil")))))))))</f>
        <v/>
      </c>
      <c r="P97" s="39">
        <f>IF($A97="","",IF($O97="Risc concentrare","Risc concentrare",IF($O97="Client pierdut","Recuperare client",IF($O97="Client dormant","Reactivare client",IF($O97="Scădere de venit","Recuperare client",IF($O97="Detractor activ","Recuperare NPS",IF($O97="Marjă sub referință","Marjă / preț",IF($O97="În creștere","Up-sell",IF($O97="Fără activitate","Reactivare client","Cross-sell")))))))))</f>
        <v/>
      </c>
      <c r="Q97" s="24">
        <f>IF($A97="","",IFERROR(IF($O97="Scădere de venit",MAX(0,$F97-$E97),IF(OR($O97="Client pierdut",$O97="Client dormant",$O97="Fără activitate"),$F97,IF($O97="Marjă sub referință",MAX(0,$E97*('09_PARAMETRI'!$B$15-$I97)),$E97*0.15))),""))</f>
        <v/>
      </c>
      <c r="R97" s="48">
        <f>IF(OR($A97="",$E97="",N($E97)&lt;=0),"",$E97+ROW()/1000000)</f>
        <v/>
      </c>
    </row>
    <row r="98">
      <c r="A98" s="39">
        <f>IF('10_CLIENTI'!$A98="","",'10_CLIENTI'!$A98)</f>
        <v/>
      </c>
      <c r="B98" s="39">
        <f>IF($A98="","",IFERROR(INDEX('10_CLIENTI'!$B$5:$B$204,MATCH($A98,'10_CLIENTI'!$A$5:$A$204,0)),""))</f>
        <v/>
      </c>
      <c r="C98" s="39">
        <f>IF($A98="","",IFERROR(INDEX('10_CLIENTI'!$C$5:$C$204,MATCH($A98,'10_CLIENTI'!$A$5:$A$204,0)),""))</f>
        <v/>
      </c>
      <c r="D98" s="39">
        <f>IF($A98="","",IFERROR(INDEX('10_CLIENTI'!$G$5:$G$204,MATCH($A98,'10_CLIENTI'!$A$5:$A$204,0)),""))</f>
        <v/>
      </c>
      <c r="E98" s="24">
        <f>IF($A98="","",SUMIFS('13_VANZARI'!$H$5:$H$1004,'13_VANZARI'!$D$5:$D$1004,$A98,'13_VANZARI'!$A$5:$A$1004,"&gt;="&amp;'09_PARAMETRI'!$B$5,'13_VANZARI'!$A$5:$A$1004,"&lt;="&amp;'09_PARAMETRI'!$B$6))</f>
        <v/>
      </c>
      <c r="F98" s="24">
        <f>IF($A98="","",SUMIFS('13_VANZARI'!$H$5:$H$1004,'13_VANZARI'!$D$5:$D$1004,$A98,'13_VANZARI'!$A$5:$A$1004,"&gt;="&amp;'09_PARAMETRI'!$B$7,'13_VANZARI'!$A$5:$A$1004,"&lt;="&amp;'09_PARAMETRI'!$B$8))</f>
        <v/>
      </c>
      <c r="G98" s="25">
        <f>IF($A98="","",IFERROR(IF($F98=0,"",($E98-$F98)/ABS($F98)),""))</f>
        <v/>
      </c>
      <c r="H98" s="24">
        <f>IF($A98="","",SUMIFS('13_VANZARI'!$K$5:$K$1004,'13_VANZARI'!$D$5:$D$1004,$A98,'13_VANZARI'!$A$5:$A$1004,"&gt;="&amp;'09_PARAMETRI'!$B$5,'13_VANZARI'!$A$5:$A$1004,"&lt;="&amp;'09_PARAMETRI'!$B$6))</f>
        <v/>
      </c>
      <c r="I98" s="25">
        <f>IF($A98="","",IFERROR($H98/$E98,""))</f>
        <v/>
      </c>
      <c r="J98" s="25">
        <f>IF($A98="","",IFERROR($E98/SUMIFS('13_VANZARI'!$H$5:$H$1004,'13_VANZARI'!$A$5:$A$1004,"&gt;="&amp;'09_PARAMETRI'!$B$5,'13_VANZARI'!$A$5:$A$1004,"&lt;="&amp;'09_PARAMETRI'!$B$6),""))</f>
        <v/>
      </c>
      <c r="K98" s="36">
        <f>IF($A98="","",IFERROR(IF(SUMPRODUCT(MAX(('13_VANZARI'!$D$5:$D$1004=$A98)*('13_VANZARI'!$H$5:$H$1004&lt;&gt;"")*'13_VANZARI'!$A$5:$A$1004))=0,"",SUMPRODUCT(MAX(('13_VANZARI'!$D$5:$D$1004=$A98)*('13_VANZARI'!$H$5:$H$1004&lt;&gt;"")*'13_VANZARI'!$A$5:$A$1004))),""))</f>
        <v/>
      </c>
      <c r="L98" s="24">
        <f>IF(OR($A98="",$K98=""),"",'09_PARAMETRI'!$B$9-$K98)</f>
        <v/>
      </c>
      <c r="M98" s="24">
        <f>IF($A98="","",SUMPRODUCT(('11_PRODUSE'!$A$5:$A$104&lt;&gt;"")*(SUMIFS('13_VANZARI'!$H$5:$H$1004,'13_VANZARI'!$D$5:$D$1004,$A98,'13_VANZARI'!$E$5:$E$1004,'11_PRODUSE'!$A$5:$A$104,'13_VANZARI'!$A$5:$A$1004,"&gt;="&amp;'09_PARAMETRI'!$B$5,'13_VANZARI'!$A$5:$A$1004,"&lt;="&amp;'09_PARAMETRI'!$B$6)&lt;&gt;0)))</f>
        <v/>
      </c>
      <c r="N98" s="50">
        <f>IF($A98="","",IFERROR(AVERAGEIFS('15_NPS'!$F$5:$F$504,'15_NPS'!$C$5:$C$504,$A98,'15_NPS'!$B$5:$B$504,"&gt;="&amp;'09_PARAMETRI'!$B$5,'15_NPS'!$B$5:$B$504,"&lt;="&amp;'09_PARAMETRI'!$B$6),""))</f>
        <v/>
      </c>
      <c r="O98" s="39">
        <f>IF($A98="","",IF(AND($F98&gt;0,$E98=0),"Client pierdut",IF(AND($L98&lt;&gt;"",$L98&gt;'09_PARAMETRI'!$B$16,$F98&gt;0),"Client dormant",IF(AND($G98&lt;&gt;"",$G98&lt;='09_PARAMETRI'!$B$13),"Scădere de venit",IF(AND($N98&lt;&gt;"",$N98&lt;7),"Detractor activ",IF(AND($E98&gt;0,$J98&gt;'09_PARAMETRI'!$B$19),"Risc concentrare",IF(AND($E98&gt;0,$I98&lt;&gt;"",$I98&lt;'09_PARAMETRI'!$B$15),"Marjă sub referință",IF(AND($G98&lt;&gt;"",$G98&gt;='09_PARAMETRI'!$B$14),"În creștere",IF($E98=0,"Fără activitate","Stabil")))))))))</f>
        <v/>
      </c>
      <c r="P98" s="39">
        <f>IF($A98="","",IF($O98="Risc concentrare","Risc concentrare",IF($O98="Client pierdut","Recuperare client",IF($O98="Client dormant","Reactivare client",IF($O98="Scădere de venit","Recuperare client",IF($O98="Detractor activ","Recuperare NPS",IF($O98="Marjă sub referință","Marjă / preț",IF($O98="În creștere","Up-sell",IF($O98="Fără activitate","Reactivare client","Cross-sell")))))))))</f>
        <v/>
      </c>
      <c r="Q98" s="24">
        <f>IF($A98="","",IFERROR(IF($O98="Scădere de venit",MAX(0,$F98-$E98),IF(OR($O98="Client pierdut",$O98="Client dormant",$O98="Fără activitate"),$F98,IF($O98="Marjă sub referință",MAX(0,$E98*('09_PARAMETRI'!$B$15-$I98)),$E98*0.15))),""))</f>
        <v/>
      </c>
      <c r="R98" s="48">
        <f>IF(OR($A98="",$E98="",N($E98)&lt;=0),"",$E98+ROW()/1000000)</f>
        <v/>
      </c>
    </row>
    <row r="99">
      <c r="A99" s="39">
        <f>IF('10_CLIENTI'!$A99="","",'10_CLIENTI'!$A99)</f>
        <v/>
      </c>
      <c r="B99" s="39">
        <f>IF($A99="","",IFERROR(INDEX('10_CLIENTI'!$B$5:$B$204,MATCH($A99,'10_CLIENTI'!$A$5:$A$204,0)),""))</f>
        <v/>
      </c>
      <c r="C99" s="39">
        <f>IF($A99="","",IFERROR(INDEX('10_CLIENTI'!$C$5:$C$204,MATCH($A99,'10_CLIENTI'!$A$5:$A$204,0)),""))</f>
        <v/>
      </c>
      <c r="D99" s="39">
        <f>IF($A99="","",IFERROR(INDEX('10_CLIENTI'!$G$5:$G$204,MATCH($A99,'10_CLIENTI'!$A$5:$A$204,0)),""))</f>
        <v/>
      </c>
      <c r="E99" s="24">
        <f>IF($A99="","",SUMIFS('13_VANZARI'!$H$5:$H$1004,'13_VANZARI'!$D$5:$D$1004,$A99,'13_VANZARI'!$A$5:$A$1004,"&gt;="&amp;'09_PARAMETRI'!$B$5,'13_VANZARI'!$A$5:$A$1004,"&lt;="&amp;'09_PARAMETRI'!$B$6))</f>
        <v/>
      </c>
      <c r="F99" s="24">
        <f>IF($A99="","",SUMIFS('13_VANZARI'!$H$5:$H$1004,'13_VANZARI'!$D$5:$D$1004,$A99,'13_VANZARI'!$A$5:$A$1004,"&gt;="&amp;'09_PARAMETRI'!$B$7,'13_VANZARI'!$A$5:$A$1004,"&lt;="&amp;'09_PARAMETRI'!$B$8))</f>
        <v/>
      </c>
      <c r="G99" s="25">
        <f>IF($A99="","",IFERROR(IF($F99=0,"",($E99-$F99)/ABS($F99)),""))</f>
        <v/>
      </c>
      <c r="H99" s="24">
        <f>IF($A99="","",SUMIFS('13_VANZARI'!$K$5:$K$1004,'13_VANZARI'!$D$5:$D$1004,$A99,'13_VANZARI'!$A$5:$A$1004,"&gt;="&amp;'09_PARAMETRI'!$B$5,'13_VANZARI'!$A$5:$A$1004,"&lt;="&amp;'09_PARAMETRI'!$B$6))</f>
        <v/>
      </c>
      <c r="I99" s="25">
        <f>IF($A99="","",IFERROR($H99/$E99,""))</f>
        <v/>
      </c>
      <c r="J99" s="25">
        <f>IF($A99="","",IFERROR($E99/SUMIFS('13_VANZARI'!$H$5:$H$1004,'13_VANZARI'!$A$5:$A$1004,"&gt;="&amp;'09_PARAMETRI'!$B$5,'13_VANZARI'!$A$5:$A$1004,"&lt;="&amp;'09_PARAMETRI'!$B$6),""))</f>
        <v/>
      </c>
      <c r="K99" s="36">
        <f>IF($A99="","",IFERROR(IF(SUMPRODUCT(MAX(('13_VANZARI'!$D$5:$D$1004=$A99)*('13_VANZARI'!$H$5:$H$1004&lt;&gt;"")*'13_VANZARI'!$A$5:$A$1004))=0,"",SUMPRODUCT(MAX(('13_VANZARI'!$D$5:$D$1004=$A99)*('13_VANZARI'!$H$5:$H$1004&lt;&gt;"")*'13_VANZARI'!$A$5:$A$1004))),""))</f>
        <v/>
      </c>
      <c r="L99" s="24">
        <f>IF(OR($A99="",$K99=""),"",'09_PARAMETRI'!$B$9-$K99)</f>
        <v/>
      </c>
      <c r="M99" s="24">
        <f>IF($A99="","",SUMPRODUCT(('11_PRODUSE'!$A$5:$A$104&lt;&gt;"")*(SUMIFS('13_VANZARI'!$H$5:$H$1004,'13_VANZARI'!$D$5:$D$1004,$A99,'13_VANZARI'!$E$5:$E$1004,'11_PRODUSE'!$A$5:$A$104,'13_VANZARI'!$A$5:$A$1004,"&gt;="&amp;'09_PARAMETRI'!$B$5,'13_VANZARI'!$A$5:$A$1004,"&lt;="&amp;'09_PARAMETRI'!$B$6)&lt;&gt;0)))</f>
        <v/>
      </c>
      <c r="N99" s="50">
        <f>IF($A99="","",IFERROR(AVERAGEIFS('15_NPS'!$F$5:$F$504,'15_NPS'!$C$5:$C$504,$A99,'15_NPS'!$B$5:$B$504,"&gt;="&amp;'09_PARAMETRI'!$B$5,'15_NPS'!$B$5:$B$504,"&lt;="&amp;'09_PARAMETRI'!$B$6),""))</f>
        <v/>
      </c>
      <c r="O99" s="39">
        <f>IF($A99="","",IF(AND($F99&gt;0,$E99=0),"Client pierdut",IF(AND($L99&lt;&gt;"",$L99&gt;'09_PARAMETRI'!$B$16,$F99&gt;0),"Client dormant",IF(AND($G99&lt;&gt;"",$G99&lt;='09_PARAMETRI'!$B$13),"Scădere de venit",IF(AND($N99&lt;&gt;"",$N99&lt;7),"Detractor activ",IF(AND($E99&gt;0,$J99&gt;'09_PARAMETRI'!$B$19),"Risc concentrare",IF(AND($E99&gt;0,$I99&lt;&gt;"",$I99&lt;'09_PARAMETRI'!$B$15),"Marjă sub referință",IF(AND($G99&lt;&gt;"",$G99&gt;='09_PARAMETRI'!$B$14),"În creștere",IF($E99=0,"Fără activitate","Stabil")))))))))</f>
        <v/>
      </c>
      <c r="P99" s="39">
        <f>IF($A99="","",IF($O99="Risc concentrare","Risc concentrare",IF($O99="Client pierdut","Recuperare client",IF($O99="Client dormant","Reactivare client",IF($O99="Scădere de venit","Recuperare client",IF($O99="Detractor activ","Recuperare NPS",IF($O99="Marjă sub referință","Marjă / preț",IF($O99="În creștere","Up-sell",IF($O99="Fără activitate","Reactivare client","Cross-sell")))))))))</f>
        <v/>
      </c>
      <c r="Q99" s="24">
        <f>IF($A99="","",IFERROR(IF($O99="Scădere de venit",MAX(0,$F99-$E99),IF(OR($O99="Client pierdut",$O99="Client dormant",$O99="Fără activitate"),$F99,IF($O99="Marjă sub referință",MAX(0,$E99*('09_PARAMETRI'!$B$15-$I99)),$E99*0.15))),""))</f>
        <v/>
      </c>
      <c r="R99" s="48">
        <f>IF(OR($A99="",$E99="",N($E99)&lt;=0),"",$E99+ROW()/1000000)</f>
        <v/>
      </c>
    </row>
    <row r="100">
      <c r="A100" s="39">
        <f>IF('10_CLIENTI'!$A100="","",'10_CLIENTI'!$A100)</f>
        <v/>
      </c>
      <c r="B100" s="39">
        <f>IF($A100="","",IFERROR(INDEX('10_CLIENTI'!$B$5:$B$204,MATCH($A100,'10_CLIENTI'!$A$5:$A$204,0)),""))</f>
        <v/>
      </c>
      <c r="C100" s="39">
        <f>IF($A100="","",IFERROR(INDEX('10_CLIENTI'!$C$5:$C$204,MATCH($A100,'10_CLIENTI'!$A$5:$A$204,0)),""))</f>
        <v/>
      </c>
      <c r="D100" s="39">
        <f>IF($A100="","",IFERROR(INDEX('10_CLIENTI'!$G$5:$G$204,MATCH($A100,'10_CLIENTI'!$A$5:$A$204,0)),""))</f>
        <v/>
      </c>
      <c r="E100" s="24">
        <f>IF($A100="","",SUMIFS('13_VANZARI'!$H$5:$H$1004,'13_VANZARI'!$D$5:$D$1004,$A100,'13_VANZARI'!$A$5:$A$1004,"&gt;="&amp;'09_PARAMETRI'!$B$5,'13_VANZARI'!$A$5:$A$1004,"&lt;="&amp;'09_PARAMETRI'!$B$6))</f>
        <v/>
      </c>
      <c r="F100" s="24">
        <f>IF($A100="","",SUMIFS('13_VANZARI'!$H$5:$H$1004,'13_VANZARI'!$D$5:$D$1004,$A100,'13_VANZARI'!$A$5:$A$1004,"&gt;="&amp;'09_PARAMETRI'!$B$7,'13_VANZARI'!$A$5:$A$1004,"&lt;="&amp;'09_PARAMETRI'!$B$8))</f>
        <v/>
      </c>
      <c r="G100" s="25">
        <f>IF($A100="","",IFERROR(IF($F100=0,"",($E100-$F100)/ABS($F100)),""))</f>
        <v/>
      </c>
      <c r="H100" s="24">
        <f>IF($A100="","",SUMIFS('13_VANZARI'!$K$5:$K$1004,'13_VANZARI'!$D$5:$D$1004,$A100,'13_VANZARI'!$A$5:$A$1004,"&gt;="&amp;'09_PARAMETRI'!$B$5,'13_VANZARI'!$A$5:$A$1004,"&lt;="&amp;'09_PARAMETRI'!$B$6))</f>
        <v/>
      </c>
      <c r="I100" s="25">
        <f>IF($A100="","",IFERROR($H100/$E100,""))</f>
        <v/>
      </c>
      <c r="J100" s="25">
        <f>IF($A100="","",IFERROR($E100/SUMIFS('13_VANZARI'!$H$5:$H$1004,'13_VANZARI'!$A$5:$A$1004,"&gt;="&amp;'09_PARAMETRI'!$B$5,'13_VANZARI'!$A$5:$A$1004,"&lt;="&amp;'09_PARAMETRI'!$B$6),""))</f>
        <v/>
      </c>
      <c r="K100" s="36">
        <f>IF($A100="","",IFERROR(IF(SUMPRODUCT(MAX(('13_VANZARI'!$D$5:$D$1004=$A100)*('13_VANZARI'!$H$5:$H$1004&lt;&gt;"")*'13_VANZARI'!$A$5:$A$1004))=0,"",SUMPRODUCT(MAX(('13_VANZARI'!$D$5:$D$1004=$A100)*('13_VANZARI'!$H$5:$H$1004&lt;&gt;"")*'13_VANZARI'!$A$5:$A$1004))),""))</f>
        <v/>
      </c>
      <c r="L100" s="24">
        <f>IF(OR($A100="",$K100=""),"",'09_PARAMETRI'!$B$9-$K100)</f>
        <v/>
      </c>
      <c r="M100" s="24">
        <f>IF($A100="","",SUMPRODUCT(('11_PRODUSE'!$A$5:$A$104&lt;&gt;"")*(SUMIFS('13_VANZARI'!$H$5:$H$1004,'13_VANZARI'!$D$5:$D$1004,$A100,'13_VANZARI'!$E$5:$E$1004,'11_PRODUSE'!$A$5:$A$104,'13_VANZARI'!$A$5:$A$1004,"&gt;="&amp;'09_PARAMETRI'!$B$5,'13_VANZARI'!$A$5:$A$1004,"&lt;="&amp;'09_PARAMETRI'!$B$6)&lt;&gt;0)))</f>
        <v/>
      </c>
      <c r="N100" s="50">
        <f>IF($A100="","",IFERROR(AVERAGEIFS('15_NPS'!$F$5:$F$504,'15_NPS'!$C$5:$C$504,$A100,'15_NPS'!$B$5:$B$504,"&gt;="&amp;'09_PARAMETRI'!$B$5,'15_NPS'!$B$5:$B$504,"&lt;="&amp;'09_PARAMETRI'!$B$6),""))</f>
        <v/>
      </c>
      <c r="O100" s="39">
        <f>IF($A100="","",IF(AND($F100&gt;0,$E100=0),"Client pierdut",IF(AND($L100&lt;&gt;"",$L100&gt;'09_PARAMETRI'!$B$16,$F100&gt;0),"Client dormant",IF(AND($G100&lt;&gt;"",$G100&lt;='09_PARAMETRI'!$B$13),"Scădere de venit",IF(AND($N100&lt;&gt;"",$N100&lt;7),"Detractor activ",IF(AND($E100&gt;0,$J100&gt;'09_PARAMETRI'!$B$19),"Risc concentrare",IF(AND($E100&gt;0,$I100&lt;&gt;"",$I100&lt;'09_PARAMETRI'!$B$15),"Marjă sub referință",IF(AND($G100&lt;&gt;"",$G100&gt;='09_PARAMETRI'!$B$14),"În creștere",IF($E100=0,"Fără activitate","Stabil")))))))))</f>
        <v/>
      </c>
      <c r="P100" s="39">
        <f>IF($A100="","",IF($O100="Risc concentrare","Risc concentrare",IF($O100="Client pierdut","Recuperare client",IF($O100="Client dormant","Reactivare client",IF($O100="Scădere de venit","Recuperare client",IF($O100="Detractor activ","Recuperare NPS",IF($O100="Marjă sub referință","Marjă / preț",IF($O100="În creștere","Up-sell",IF($O100="Fără activitate","Reactivare client","Cross-sell")))))))))</f>
        <v/>
      </c>
      <c r="Q100" s="24">
        <f>IF($A100="","",IFERROR(IF($O100="Scădere de venit",MAX(0,$F100-$E100),IF(OR($O100="Client pierdut",$O100="Client dormant",$O100="Fără activitate"),$F100,IF($O100="Marjă sub referință",MAX(0,$E100*('09_PARAMETRI'!$B$15-$I100)),$E100*0.15))),""))</f>
        <v/>
      </c>
      <c r="R100" s="48">
        <f>IF(OR($A100="",$E100="",N($E100)&lt;=0),"",$E100+ROW()/1000000)</f>
        <v/>
      </c>
    </row>
    <row r="101">
      <c r="A101" s="39">
        <f>IF('10_CLIENTI'!$A101="","",'10_CLIENTI'!$A101)</f>
        <v/>
      </c>
      <c r="B101" s="39">
        <f>IF($A101="","",IFERROR(INDEX('10_CLIENTI'!$B$5:$B$204,MATCH($A101,'10_CLIENTI'!$A$5:$A$204,0)),""))</f>
        <v/>
      </c>
      <c r="C101" s="39">
        <f>IF($A101="","",IFERROR(INDEX('10_CLIENTI'!$C$5:$C$204,MATCH($A101,'10_CLIENTI'!$A$5:$A$204,0)),""))</f>
        <v/>
      </c>
      <c r="D101" s="39">
        <f>IF($A101="","",IFERROR(INDEX('10_CLIENTI'!$G$5:$G$204,MATCH($A101,'10_CLIENTI'!$A$5:$A$204,0)),""))</f>
        <v/>
      </c>
      <c r="E101" s="24">
        <f>IF($A101="","",SUMIFS('13_VANZARI'!$H$5:$H$1004,'13_VANZARI'!$D$5:$D$1004,$A101,'13_VANZARI'!$A$5:$A$1004,"&gt;="&amp;'09_PARAMETRI'!$B$5,'13_VANZARI'!$A$5:$A$1004,"&lt;="&amp;'09_PARAMETRI'!$B$6))</f>
        <v/>
      </c>
      <c r="F101" s="24">
        <f>IF($A101="","",SUMIFS('13_VANZARI'!$H$5:$H$1004,'13_VANZARI'!$D$5:$D$1004,$A101,'13_VANZARI'!$A$5:$A$1004,"&gt;="&amp;'09_PARAMETRI'!$B$7,'13_VANZARI'!$A$5:$A$1004,"&lt;="&amp;'09_PARAMETRI'!$B$8))</f>
        <v/>
      </c>
      <c r="G101" s="25">
        <f>IF($A101="","",IFERROR(IF($F101=0,"",($E101-$F101)/ABS($F101)),""))</f>
        <v/>
      </c>
      <c r="H101" s="24">
        <f>IF($A101="","",SUMIFS('13_VANZARI'!$K$5:$K$1004,'13_VANZARI'!$D$5:$D$1004,$A101,'13_VANZARI'!$A$5:$A$1004,"&gt;="&amp;'09_PARAMETRI'!$B$5,'13_VANZARI'!$A$5:$A$1004,"&lt;="&amp;'09_PARAMETRI'!$B$6))</f>
        <v/>
      </c>
      <c r="I101" s="25">
        <f>IF($A101="","",IFERROR($H101/$E101,""))</f>
        <v/>
      </c>
      <c r="J101" s="25">
        <f>IF($A101="","",IFERROR($E101/SUMIFS('13_VANZARI'!$H$5:$H$1004,'13_VANZARI'!$A$5:$A$1004,"&gt;="&amp;'09_PARAMETRI'!$B$5,'13_VANZARI'!$A$5:$A$1004,"&lt;="&amp;'09_PARAMETRI'!$B$6),""))</f>
        <v/>
      </c>
      <c r="K101" s="36">
        <f>IF($A101="","",IFERROR(IF(SUMPRODUCT(MAX(('13_VANZARI'!$D$5:$D$1004=$A101)*('13_VANZARI'!$H$5:$H$1004&lt;&gt;"")*'13_VANZARI'!$A$5:$A$1004))=0,"",SUMPRODUCT(MAX(('13_VANZARI'!$D$5:$D$1004=$A101)*('13_VANZARI'!$H$5:$H$1004&lt;&gt;"")*'13_VANZARI'!$A$5:$A$1004))),""))</f>
        <v/>
      </c>
      <c r="L101" s="24">
        <f>IF(OR($A101="",$K101=""),"",'09_PARAMETRI'!$B$9-$K101)</f>
        <v/>
      </c>
      <c r="M101" s="24">
        <f>IF($A101="","",SUMPRODUCT(('11_PRODUSE'!$A$5:$A$104&lt;&gt;"")*(SUMIFS('13_VANZARI'!$H$5:$H$1004,'13_VANZARI'!$D$5:$D$1004,$A101,'13_VANZARI'!$E$5:$E$1004,'11_PRODUSE'!$A$5:$A$104,'13_VANZARI'!$A$5:$A$1004,"&gt;="&amp;'09_PARAMETRI'!$B$5,'13_VANZARI'!$A$5:$A$1004,"&lt;="&amp;'09_PARAMETRI'!$B$6)&lt;&gt;0)))</f>
        <v/>
      </c>
      <c r="N101" s="50">
        <f>IF($A101="","",IFERROR(AVERAGEIFS('15_NPS'!$F$5:$F$504,'15_NPS'!$C$5:$C$504,$A101,'15_NPS'!$B$5:$B$504,"&gt;="&amp;'09_PARAMETRI'!$B$5,'15_NPS'!$B$5:$B$504,"&lt;="&amp;'09_PARAMETRI'!$B$6),""))</f>
        <v/>
      </c>
      <c r="O101" s="39">
        <f>IF($A101="","",IF(AND($F101&gt;0,$E101=0),"Client pierdut",IF(AND($L101&lt;&gt;"",$L101&gt;'09_PARAMETRI'!$B$16,$F101&gt;0),"Client dormant",IF(AND($G101&lt;&gt;"",$G101&lt;='09_PARAMETRI'!$B$13),"Scădere de venit",IF(AND($N101&lt;&gt;"",$N101&lt;7),"Detractor activ",IF(AND($E101&gt;0,$J101&gt;'09_PARAMETRI'!$B$19),"Risc concentrare",IF(AND($E101&gt;0,$I101&lt;&gt;"",$I101&lt;'09_PARAMETRI'!$B$15),"Marjă sub referință",IF(AND($G101&lt;&gt;"",$G101&gt;='09_PARAMETRI'!$B$14),"În creștere",IF($E101=0,"Fără activitate","Stabil")))))))))</f>
        <v/>
      </c>
      <c r="P101" s="39">
        <f>IF($A101="","",IF($O101="Risc concentrare","Risc concentrare",IF($O101="Client pierdut","Recuperare client",IF($O101="Client dormant","Reactivare client",IF($O101="Scădere de venit","Recuperare client",IF($O101="Detractor activ","Recuperare NPS",IF($O101="Marjă sub referință","Marjă / preț",IF($O101="În creștere","Up-sell",IF($O101="Fără activitate","Reactivare client","Cross-sell")))))))))</f>
        <v/>
      </c>
      <c r="Q101" s="24">
        <f>IF($A101="","",IFERROR(IF($O101="Scădere de venit",MAX(0,$F101-$E101),IF(OR($O101="Client pierdut",$O101="Client dormant",$O101="Fără activitate"),$F101,IF($O101="Marjă sub referință",MAX(0,$E101*('09_PARAMETRI'!$B$15-$I101)),$E101*0.15))),""))</f>
        <v/>
      </c>
      <c r="R101" s="48">
        <f>IF(OR($A101="",$E101="",N($E101)&lt;=0),"",$E101+ROW()/1000000)</f>
        <v/>
      </c>
    </row>
    <row r="102">
      <c r="A102" s="39">
        <f>IF('10_CLIENTI'!$A102="","",'10_CLIENTI'!$A102)</f>
        <v/>
      </c>
      <c r="B102" s="39">
        <f>IF($A102="","",IFERROR(INDEX('10_CLIENTI'!$B$5:$B$204,MATCH($A102,'10_CLIENTI'!$A$5:$A$204,0)),""))</f>
        <v/>
      </c>
      <c r="C102" s="39">
        <f>IF($A102="","",IFERROR(INDEX('10_CLIENTI'!$C$5:$C$204,MATCH($A102,'10_CLIENTI'!$A$5:$A$204,0)),""))</f>
        <v/>
      </c>
      <c r="D102" s="39">
        <f>IF($A102="","",IFERROR(INDEX('10_CLIENTI'!$G$5:$G$204,MATCH($A102,'10_CLIENTI'!$A$5:$A$204,0)),""))</f>
        <v/>
      </c>
      <c r="E102" s="24">
        <f>IF($A102="","",SUMIFS('13_VANZARI'!$H$5:$H$1004,'13_VANZARI'!$D$5:$D$1004,$A102,'13_VANZARI'!$A$5:$A$1004,"&gt;="&amp;'09_PARAMETRI'!$B$5,'13_VANZARI'!$A$5:$A$1004,"&lt;="&amp;'09_PARAMETRI'!$B$6))</f>
        <v/>
      </c>
      <c r="F102" s="24">
        <f>IF($A102="","",SUMIFS('13_VANZARI'!$H$5:$H$1004,'13_VANZARI'!$D$5:$D$1004,$A102,'13_VANZARI'!$A$5:$A$1004,"&gt;="&amp;'09_PARAMETRI'!$B$7,'13_VANZARI'!$A$5:$A$1004,"&lt;="&amp;'09_PARAMETRI'!$B$8))</f>
        <v/>
      </c>
      <c r="G102" s="25">
        <f>IF($A102="","",IFERROR(IF($F102=0,"",($E102-$F102)/ABS($F102)),""))</f>
        <v/>
      </c>
      <c r="H102" s="24">
        <f>IF($A102="","",SUMIFS('13_VANZARI'!$K$5:$K$1004,'13_VANZARI'!$D$5:$D$1004,$A102,'13_VANZARI'!$A$5:$A$1004,"&gt;="&amp;'09_PARAMETRI'!$B$5,'13_VANZARI'!$A$5:$A$1004,"&lt;="&amp;'09_PARAMETRI'!$B$6))</f>
        <v/>
      </c>
      <c r="I102" s="25">
        <f>IF($A102="","",IFERROR($H102/$E102,""))</f>
        <v/>
      </c>
      <c r="J102" s="25">
        <f>IF($A102="","",IFERROR($E102/SUMIFS('13_VANZARI'!$H$5:$H$1004,'13_VANZARI'!$A$5:$A$1004,"&gt;="&amp;'09_PARAMETRI'!$B$5,'13_VANZARI'!$A$5:$A$1004,"&lt;="&amp;'09_PARAMETRI'!$B$6),""))</f>
        <v/>
      </c>
      <c r="K102" s="36">
        <f>IF($A102="","",IFERROR(IF(SUMPRODUCT(MAX(('13_VANZARI'!$D$5:$D$1004=$A102)*('13_VANZARI'!$H$5:$H$1004&lt;&gt;"")*'13_VANZARI'!$A$5:$A$1004))=0,"",SUMPRODUCT(MAX(('13_VANZARI'!$D$5:$D$1004=$A102)*('13_VANZARI'!$H$5:$H$1004&lt;&gt;"")*'13_VANZARI'!$A$5:$A$1004))),""))</f>
        <v/>
      </c>
      <c r="L102" s="24">
        <f>IF(OR($A102="",$K102=""),"",'09_PARAMETRI'!$B$9-$K102)</f>
        <v/>
      </c>
      <c r="M102" s="24">
        <f>IF($A102="","",SUMPRODUCT(('11_PRODUSE'!$A$5:$A$104&lt;&gt;"")*(SUMIFS('13_VANZARI'!$H$5:$H$1004,'13_VANZARI'!$D$5:$D$1004,$A102,'13_VANZARI'!$E$5:$E$1004,'11_PRODUSE'!$A$5:$A$104,'13_VANZARI'!$A$5:$A$1004,"&gt;="&amp;'09_PARAMETRI'!$B$5,'13_VANZARI'!$A$5:$A$1004,"&lt;="&amp;'09_PARAMETRI'!$B$6)&lt;&gt;0)))</f>
        <v/>
      </c>
      <c r="N102" s="50">
        <f>IF($A102="","",IFERROR(AVERAGEIFS('15_NPS'!$F$5:$F$504,'15_NPS'!$C$5:$C$504,$A102,'15_NPS'!$B$5:$B$504,"&gt;="&amp;'09_PARAMETRI'!$B$5,'15_NPS'!$B$5:$B$504,"&lt;="&amp;'09_PARAMETRI'!$B$6),""))</f>
        <v/>
      </c>
      <c r="O102" s="39">
        <f>IF($A102="","",IF(AND($F102&gt;0,$E102=0),"Client pierdut",IF(AND($L102&lt;&gt;"",$L102&gt;'09_PARAMETRI'!$B$16,$F102&gt;0),"Client dormant",IF(AND($G102&lt;&gt;"",$G102&lt;='09_PARAMETRI'!$B$13),"Scădere de venit",IF(AND($N102&lt;&gt;"",$N102&lt;7),"Detractor activ",IF(AND($E102&gt;0,$J102&gt;'09_PARAMETRI'!$B$19),"Risc concentrare",IF(AND($E102&gt;0,$I102&lt;&gt;"",$I102&lt;'09_PARAMETRI'!$B$15),"Marjă sub referință",IF(AND($G102&lt;&gt;"",$G102&gt;='09_PARAMETRI'!$B$14),"În creștere",IF($E102=0,"Fără activitate","Stabil")))))))))</f>
        <v/>
      </c>
      <c r="P102" s="39">
        <f>IF($A102="","",IF($O102="Risc concentrare","Risc concentrare",IF($O102="Client pierdut","Recuperare client",IF($O102="Client dormant","Reactivare client",IF($O102="Scădere de venit","Recuperare client",IF($O102="Detractor activ","Recuperare NPS",IF($O102="Marjă sub referință","Marjă / preț",IF($O102="În creștere","Up-sell",IF($O102="Fără activitate","Reactivare client","Cross-sell")))))))))</f>
        <v/>
      </c>
      <c r="Q102" s="24">
        <f>IF($A102="","",IFERROR(IF($O102="Scădere de venit",MAX(0,$F102-$E102),IF(OR($O102="Client pierdut",$O102="Client dormant",$O102="Fără activitate"),$F102,IF($O102="Marjă sub referință",MAX(0,$E102*('09_PARAMETRI'!$B$15-$I102)),$E102*0.15))),""))</f>
        <v/>
      </c>
      <c r="R102" s="48">
        <f>IF(OR($A102="",$E102="",N($E102)&lt;=0),"",$E102+ROW()/1000000)</f>
        <v/>
      </c>
    </row>
    <row r="103">
      <c r="A103" s="39">
        <f>IF('10_CLIENTI'!$A103="","",'10_CLIENTI'!$A103)</f>
        <v/>
      </c>
      <c r="B103" s="39">
        <f>IF($A103="","",IFERROR(INDEX('10_CLIENTI'!$B$5:$B$204,MATCH($A103,'10_CLIENTI'!$A$5:$A$204,0)),""))</f>
        <v/>
      </c>
      <c r="C103" s="39">
        <f>IF($A103="","",IFERROR(INDEX('10_CLIENTI'!$C$5:$C$204,MATCH($A103,'10_CLIENTI'!$A$5:$A$204,0)),""))</f>
        <v/>
      </c>
      <c r="D103" s="39">
        <f>IF($A103="","",IFERROR(INDEX('10_CLIENTI'!$G$5:$G$204,MATCH($A103,'10_CLIENTI'!$A$5:$A$204,0)),""))</f>
        <v/>
      </c>
      <c r="E103" s="24">
        <f>IF($A103="","",SUMIFS('13_VANZARI'!$H$5:$H$1004,'13_VANZARI'!$D$5:$D$1004,$A103,'13_VANZARI'!$A$5:$A$1004,"&gt;="&amp;'09_PARAMETRI'!$B$5,'13_VANZARI'!$A$5:$A$1004,"&lt;="&amp;'09_PARAMETRI'!$B$6))</f>
        <v/>
      </c>
      <c r="F103" s="24">
        <f>IF($A103="","",SUMIFS('13_VANZARI'!$H$5:$H$1004,'13_VANZARI'!$D$5:$D$1004,$A103,'13_VANZARI'!$A$5:$A$1004,"&gt;="&amp;'09_PARAMETRI'!$B$7,'13_VANZARI'!$A$5:$A$1004,"&lt;="&amp;'09_PARAMETRI'!$B$8))</f>
        <v/>
      </c>
      <c r="G103" s="25">
        <f>IF($A103="","",IFERROR(IF($F103=0,"",($E103-$F103)/ABS($F103)),""))</f>
        <v/>
      </c>
      <c r="H103" s="24">
        <f>IF($A103="","",SUMIFS('13_VANZARI'!$K$5:$K$1004,'13_VANZARI'!$D$5:$D$1004,$A103,'13_VANZARI'!$A$5:$A$1004,"&gt;="&amp;'09_PARAMETRI'!$B$5,'13_VANZARI'!$A$5:$A$1004,"&lt;="&amp;'09_PARAMETRI'!$B$6))</f>
        <v/>
      </c>
      <c r="I103" s="25">
        <f>IF($A103="","",IFERROR($H103/$E103,""))</f>
        <v/>
      </c>
      <c r="J103" s="25">
        <f>IF($A103="","",IFERROR($E103/SUMIFS('13_VANZARI'!$H$5:$H$1004,'13_VANZARI'!$A$5:$A$1004,"&gt;="&amp;'09_PARAMETRI'!$B$5,'13_VANZARI'!$A$5:$A$1004,"&lt;="&amp;'09_PARAMETRI'!$B$6),""))</f>
        <v/>
      </c>
      <c r="K103" s="36">
        <f>IF($A103="","",IFERROR(IF(SUMPRODUCT(MAX(('13_VANZARI'!$D$5:$D$1004=$A103)*('13_VANZARI'!$H$5:$H$1004&lt;&gt;"")*'13_VANZARI'!$A$5:$A$1004))=0,"",SUMPRODUCT(MAX(('13_VANZARI'!$D$5:$D$1004=$A103)*('13_VANZARI'!$H$5:$H$1004&lt;&gt;"")*'13_VANZARI'!$A$5:$A$1004))),""))</f>
        <v/>
      </c>
      <c r="L103" s="24">
        <f>IF(OR($A103="",$K103=""),"",'09_PARAMETRI'!$B$9-$K103)</f>
        <v/>
      </c>
      <c r="M103" s="24">
        <f>IF($A103="","",SUMPRODUCT(('11_PRODUSE'!$A$5:$A$104&lt;&gt;"")*(SUMIFS('13_VANZARI'!$H$5:$H$1004,'13_VANZARI'!$D$5:$D$1004,$A103,'13_VANZARI'!$E$5:$E$1004,'11_PRODUSE'!$A$5:$A$104,'13_VANZARI'!$A$5:$A$1004,"&gt;="&amp;'09_PARAMETRI'!$B$5,'13_VANZARI'!$A$5:$A$1004,"&lt;="&amp;'09_PARAMETRI'!$B$6)&lt;&gt;0)))</f>
        <v/>
      </c>
      <c r="N103" s="50">
        <f>IF($A103="","",IFERROR(AVERAGEIFS('15_NPS'!$F$5:$F$504,'15_NPS'!$C$5:$C$504,$A103,'15_NPS'!$B$5:$B$504,"&gt;="&amp;'09_PARAMETRI'!$B$5,'15_NPS'!$B$5:$B$504,"&lt;="&amp;'09_PARAMETRI'!$B$6),""))</f>
        <v/>
      </c>
      <c r="O103" s="39">
        <f>IF($A103="","",IF(AND($F103&gt;0,$E103=0),"Client pierdut",IF(AND($L103&lt;&gt;"",$L103&gt;'09_PARAMETRI'!$B$16,$F103&gt;0),"Client dormant",IF(AND($G103&lt;&gt;"",$G103&lt;='09_PARAMETRI'!$B$13),"Scădere de venit",IF(AND($N103&lt;&gt;"",$N103&lt;7),"Detractor activ",IF(AND($E103&gt;0,$J103&gt;'09_PARAMETRI'!$B$19),"Risc concentrare",IF(AND($E103&gt;0,$I103&lt;&gt;"",$I103&lt;'09_PARAMETRI'!$B$15),"Marjă sub referință",IF(AND($G103&lt;&gt;"",$G103&gt;='09_PARAMETRI'!$B$14),"În creștere",IF($E103=0,"Fără activitate","Stabil")))))))))</f>
        <v/>
      </c>
      <c r="P103" s="39">
        <f>IF($A103="","",IF($O103="Risc concentrare","Risc concentrare",IF($O103="Client pierdut","Recuperare client",IF($O103="Client dormant","Reactivare client",IF($O103="Scădere de venit","Recuperare client",IF($O103="Detractor activ","Recuperare NPS",IF($O103="Marjă sub referință","Marjă / preț",IF($O103="În creștere","Up-sell",IF($O103="Fără activitate","Reactivare client","Cross-sell")))))))))</f>
        <v/>
      </c>
      <c r="Q103" s="24">
        <f>IF($A103="","",IFERROR(IF($O103="Scădere de venit",MAX(0,$F103-$E103),IF(OR($O103="Client pierdut",$O103="Client dormant",$O103="Fără activitate"),$F103,IF($O103="Marjă sub referință",MAX(0,$E103*('09_PARAMETRI'!$B$15-$I103)),$E103*0.15))),""))</f>
        <v/>
      </c>
      <c r="R103" s="48">
        <f>IF(OR($A103="",$E103="",N($E103)&lt;=0),"",$E103+ROW()/1000000)</f>
        <v/>
      </c>
    </row>
    <row r="104">
      <c r="A104" s="39">
        <f>IF('10_CLIENTI'!$A104="","",'10_CLIENTI'!$A104)</f>
        <v/>
      </c>
      <c r="B104" s="39">
        <f>IF($A104="","",IFERROR(INDEX('10_CLIENTI'!$B$5:$B$204,MATCH($A104,'10_CLIENTI'!$A$5:$A$204,0)),""))</f>
        <v/>
      </c>
      <c r="C104" s="39">
        <f>IF($A104="","",IFERROR(INDEX('10_CLIENTI'!$C$5:$C$204,MATCH($A104,'10_CLIENTI'!$A$5:$A$204,0)),""))</f>
        <v/>
      </c>
      <c r="D104" s="39">
        <f>IF($A104="","",IFERROR(INDEX('10_CLIENTI'!$G$5:$G$204,MATCH($A104,'10_CLIENTI'!$A$5:$A$204,0)),""))</f>
        <v/>
      </c>
      <c r="E104" s="24">
        <f>IF($A104="","",SUMIFS('13_VANZARI'!$H$5:$H$1004,'13_VANZARI'!$D$5:$D$1004,$A104,'13_VANZARI'!$A$5:$A$1004,"&gt;="&amp;'09_PARAMETRI'!$B$5,'13_VANZARI'!$A$5:$A$1004,"&lt;="&amp;'09_PARAMETRI'!$B$6))</f>
        <v/>
      </c>
      <c r="F104" s="24">
        <f>IF($A104="","",SUMIFS('13_VANZARI'!$H$5:$H$1004,'13_VANZARI'!$D$5:$D$1004,$A104,'13_VANZARI'!$A$5:$A$1004,"&gt;="&amp;'09_PARAMETRI'!$B$7,'13_VANZARI'!$A$5:$A$1004,"&lt;="&amp;'09_PARAMETRI'!$B$8))</f>
        <v/>
      </c>
      <c r="G104" s="25">
        <f>IF($A104="","",IFERROR(IF($F104=0,"",($E104-$F104)/ABS($F104)),""))</f>
        <v/>
      </c>
      <c r="H104" s="24">
        <f>IF($A104="","",SUMIFS('13_VANZARI'!$K$5:$K$1004,'13_VANZARI'!$D$5:$D$1004,$A104,'13_VANZARI'!$A$5:$A$1004,"&gt;="&amp;'09_PARAMETRI'!$B$5,'13_VANZARI'!$A$5:$A$1004,"&lt;="&amp;'09_PARAMETRI'!$B$6))</f>
        <v/>
      </c>
      <c r="I104" s="25">
        <f>IF($A104="","",IFERROR($H104/$E104,""))</f>
        <v/>
      </c>
      <c r="J104" s="25">
        <f>IF($A104="","",IFERROR($E104/SUMIFS('13_VANZARI'!$H$5:$H$1004,'13_VANZARI'!$A$5:$A$1004,"&gt;="&amp;'09_PARAMETRI'!$B$5,'13_VANZARI'!$A$5:$A$1004,"&lt;="&amp;'09_PARAMETRI'!$B$6),""))</f>
        <v/>
      </c>
      <c r="K104" s="36">
        <f>IF($A104="","",IFERROR(IF(SUMPRODUCT(MAX(('13_VANZARI'!$D$5:$D$1004=$A104)*('13_VANZARI'!$H$5:$H$1004&lt;&gt;"")*'13_VANZARI'!$A$5:$A$1004))=0,"",SUMPRODUCT(MAX(('13_VANZARI'!$D$5:$D$1004=$A104)*('13_VANZARI'!$H$5:$H$1004&lt;&gt;"")*'13_VANZARI'!$A$5:$A$1004))),""))</f>
        <v/>
      </c>
      <c r="L104" s="24">
        <f>IF(OR($A104="",$K104=""),"",'09_PARAMETRI'!$B$9-$K104)</f>
        <v/>
      </c>
      <c r="M104" s="24">
        <f>IF($A104="","",SUMPRODUCT(('11_PRODUSE'!$A$5:$A$104&lt;&gt;"")*(SUMIFS('13_VANZARI'!$H$5:$H$1004,'13_VANZARI'!$D$5:$D$1004,$A104,'13_VANZARI'!$E$5:$E$1004,'11_PRODUSE'!$A$5:$A$104,'13_VANZARI'!$A$5:$A$1004,"&gt;="&amp;'09_PARAMETRI'!$B$5,'13_VANZARI'!$A$5:$A$1004,"&lt;="&amp;'09_PARAMETRI'!$B$6)&lt;&gt;0)))</f>
        <v/>
      </c>
      <c r="N104" s="50">
        <f>IF($A104="","",IFERROR(AVERAGEIFS('15_NPS'!$F$5:$F$504,'15_NPS'!$C$5:$C$504,$A104,'15_NPS'!$B$5:$B$504,"&gt;="&amp;'09_PARAMETRI'!$B$5,'15_NPS'!$B$5:$B$504,"&lt;="&amp;'09_PARAMETRI'!$B$6),""))</f>
        <v/>
      </c>
      <c r="O104" s="39">
        <f>IF($A104="","",IF(AND($F104&gt;0,$E104=0),"Client pierdut",IF(AND($L104&lt;&gt;"",$L104&gt;'09_PARAMETRI'!$B$16,$F104&gt;0),"Client dormant",IF(AND($G104&lt;&gt;"",$G104&lt;='09_PARAMETRI'!$B$13),"Scădere de venit",IF(AND($N104&lt;&gt;"",$N104&lt;7),"Detractor activ",IF(AND($E104&gt;0,$J104&gt;'09_PARAMETRI'!$B$19),"Risc concentrare",IF(AND($E104&gt;0,$I104&lt;&gt;"",$I104&lt;'09_PARAMETRI'!$B$15),"Marjă sub referință",IF(AND($G104&lt;&gt;"",$G104&gt;='09_PARAMETRI'!$B$14),"În creștere",IF($E104=0,"Fără activitate","Stabil")))))))))</f>
        <v/>
      </c>
      <c r="P104" s="39">
        <f>IF($A104="","",IF($O104="Risc concentrare","Risc concentrare",IF($O104="Client pierdut","Recuperare client",IF($O104="Client dormant","Reactivare client",IF($O104="Scădere de venit","Recuperare client",IF($O104="Detractor activ","Recuperare NPS",IF($O104="Marjă sub referință","Marjă / preț",IF($O104="În creștere","Up-sell",IF($O104="Fără activitate","Reactivare client","Cross-sell")))))))))</f>
        <v/>
      </c>
      <c r="Q104" s="24">
        <f>IF($A104="","",IFERROR(IF($O104="Scădere de venit",MAX(0,$F104-$E104),IF(OR($O104="Client pierdut",$O104="Client dormant",$O104="Fără activitate"),$F104,IF($O104="Marjă sub referință",MAX(0,$E104*('09_PARAMETRI'!$B$15-$I104)),$E104*0.15))),""))</f>
        <v/>
      </c>
      <c r="R104" s="48">
        <f>IF(OR($A104="",$E104="",N($E104)&lt;=0),"",$E104+ROW()/1000000)</f>
        <v/>
      </c>
    </row>
    <row r="105">
      <c r="A105" s="39">
        <f>IF('10_CLIENTI'!$A105="","",'10_CLIENTI'!$A105)</f>
        <v/>
      </c>
      <c r="B105" s="39">
        <f>IF($A105="","",IFERROR(INDEX('10_CLIENTI'!$B$5:$B$204,MATCH($A105,'10_CLIENTI'!$A$5:$A$204,0)),""))</f>
        <v/>
      </c>
      <c r="C105" s="39">
        <f>IF($A105="","",IFERROR(INDEX('10_CLIENTI'!$C$5:$C$204,MATCH($A105,'10_CLIENTI'!$A$5:$A$204,0)),""))</f>
        <v/>
      </c>
      <c r="D105" s="39">
        <f>IF($A105="","",IFERROR(INDEX('10_CLIENTI'!$G$5:$G$204,MATCH($A105,'10_CLIENTI'!$A$5:$A$204,0)),""))</f>
        <v/>
      </c>
      <c r="E105" s="24">
        <f>IF($A105="","",SUMIFS('13_VANZARI'!$H$5:$H$1004,'13_VANZARI'!$D$5:$D$1004,$A105,'13_VANZARI'!$A$5:$A$1004,"&gt;="&amp;'09_PARAMETRI'!$B$5,'13_VANZARI'!$A$5:$A$1004,"&lt;="&amp;'09_PARAMETRI'!$B$6))</f>
        <v/>
      </c>
      <c r="F105" s="24">
        <f>IF($A105="","",SUMIFS('13_VANZARI'!$H$5:$H$1004,'13_VANZARI'!$D$5:$D$1004,$A105,'13_VANZARI'!$A$5:$A$1004,"&gt;="&amp;'09_PARAMETRI'!$B$7,'13_VANZARI'!$A$5:$A$1004,"&lt;="&amp;'09_PARAMETRI'!$B$8))</f>
        <v/>
      </c>
      <c r="G105" s="25">
        <f>IF($A105="","",IFERROR(IF($F105=0,"",($E105-$F105)/ABS($F105)),""))</f>
        <v/>
      </c>
      <c r="H105" s="24">
        <f>IF($A105="","",SUMIFS('13_VANZARI'!$K$5:$K$1004,'13_VANZARI'!$D$5:$D$1004,$A105,'13_VANZARI'!$A$5:$A$1004,"&gt;="&amp;'09_PARAMETRI'!$B$5,'13_VANZARI'!$A$5:$A$1004,"&lt;="&amp;'09_PARAMETRI'!$B$6))</f>
        <v/>
      </c>
      <c r="I105" s="25">
        <f>IF($A105="","",IFERROR($H105/$E105,""))</f>
        <v/>
      </c>
      <c r="J105" s="25">
        <f>IF($A105="","",IFERROR($E105/SUMIFS('13_VANZARI'!$H$5:$H$1004,'13_VANZARI'!$A$5:$A$1004,"&gt;="&amp;'09_PARAMETRI'!$B$5,'13_VANZARI'!$A$5:$A$1004,"&lt;="&amp;'09_PARAMETRI'!$B$6),""))</f>
        <v/>
      </c>
      <c r="K105" s="36">
        <f>IF($A105="","",IFERROR(IF(SUMPRODUCT(MAX(('13_VANZARI'!$D$5:$D$1004=$A105)*('13_VANZARI'!$H$5:$H$1004&lt;&gt;"")*'13_VANZARI'!$A$5:$A$1004))=0,"",SUMPRODUCT(MAX(('13_VANZARI'!$D$5:$D$1004=$A105)*('13_VANZARI'!$H$5:$H$1004&lt;&gt;"")*'13_VANZARI'!$A$5:$A$1004))),""))</f>
        <v/>
      </c>
      <c r="L105" s="24">
        <f>IF(OR($A105="",$K105=""),"",'09_PARAMETRI'!$B$9-$K105)</f>
        <v/>
      </c>
      <c r="M105" s="24">
        <f>IF($A105="","",SUMPRODUCT(('11_PRODUSE'!$A$5:$A$104&lt;&gt;"")*(SUMIFS('13_VANZARI'!$H$5:$H$1004,'13_VANZARI'!$D$5:$D$1004,$A105,'13_VANZARI'!$E$5:$E$1004,'11_PRODUSE'!$A$5:$A$104,'13_VANZARI'!$A$5:$A$1004,"&gt;="&amp;'09_PARAMETRI'!$B$5,'13_VANZARI'!$A$5:$A$1004,"&lt;="&amp;'09_PARAMETRI'!$B$6)&lt;&gt;0)))</f>
        <v/>
      </c>
      <c r="N105" s="50">
        <f>IF($A105="","",IFERROR(AVERAGEIFS('15_NPS'!$F$5:$F$504,'15_NPS'!$C$5:$C$504,$A105,'15_NPS'!$B$5:$B$504,"&gt;="&amp;'09_PARAMETRI'!$B$5,'15_NPS'!$B$5:$B$504,"&lt;="&amp;'09_PARAMETRI'!$B$6),""))</f>
        <v/>
      </c>
      <c r="O105" s="39">
        <f>IF($A105="","",IF(AND($F105&gt;0,$E105=0),"Client pierdut",IF(AND($L105&lt;&gt;"",$L105&gt;'09_PARAMETRI'!$B$16,$F105&gt;0),"Client dormant",IF(AND($G105&lt;&gt;"",$G105&lt;='09_PARAMETRI'!$B$13),"Scădere de venit",IF(AND($N105&lt;&gt;"",$N105&lt;7),"Detractor activ",IF(AND($E105&gt;0,$J105&gt;'09_PARAMETRI'!$B$19),"Risc concentrare",IF(AND($E105&gt;0,$I105&lt;&gt;"",$I105&lt;'09_PARAMETRI'!$B$15),"Marjă sub referință",IF(AND($G105&lt;&gt;"",$G105&gt;='09_PARAMETRI'!$B$14),"În creștere",IF($E105=0,"Fără activitate","Stabil")))))))))</f>
        <v/>
      </c>
      <c r="P105" s="39">
        <f>IF($A105="","",IF($O105="Risc concentrare","Risc concentrare",IF($O105="Client pierdut","Recuperare client",IF($O105="Client dormant","Reactivare client",IF($O105="Scădere de venit","Recuperare client",IF($O105="Detractor activ","Recuperare NPS",IF($O105="Marjă sub referință","Marjă / preț",IF($O105="În creștere","Up-sell",IF($O105="Fără activitate","Reactivare client","Cross-sell")))))))))</f>
        <v/>
      </c>
      <c r="Q105" s="24">
        <f>IF($A105="","",IFERROR(IF($O105="Scădere de venit",MAX(0,$F105-$E105),IF(OR($O105="Client pierdut",$O105="Client dormant",$O105="Fără activitate"),$F105,IF($O105="Marjă sub referință",MAX(0,$E105*('09_PARAMETRI'!$B$15-$I105)),$E105*0.15))),""))</f>
        <v/>
      </c>
      <c r="R105" s="48">
        <f>IF(OR($A105="",$E105="",N($E105)&lt;=0),"",$E105+ROW()/1000000)</f>
        <v/>
      </c>
    </row>
    <row r="106">
      <c r="A106" s="39">
        <f>IF('10_CLIENTI'!$A106="","",'10_CLIENTI'!$A106)</f>
        <v/>
      </c>
      <c r="B106" s="39">
        <f>IF($A106="","",IFERROR(INDEX('10_CLIENTI'!$B$5:$B$204,MATCH($A106,'10_CLIENTI'!$A$5:$A$204,0)),""))</f>
        <v/>
      </c>
      <c r="C106" s="39">
        <f>IF($A106="","",IFERROR(INDEX('10_CLIENTI'!$C$5:$C$204,MATCH($A106,'10_CLIENTI'!$A$5:$A$204,0)),""))</f>
        <v/>
      </c>
      <c r="D106" s="39">
        <f>IF($A106="","",IFERROR(INDEX('10_CLIENTI'!$G$5:$G$204,MATCH($A106,'10_CLIENTI'!$A$5:$A$204,0)),""))</f>
        <v/>
      </c>
      <c r="E106" s="24">
        <f>IF($A106="","",SUMIFS('13_VANZARI'!$H$5:$H$1004,'13_VANZARI'!$D$5:$D$1004,$A106,'13_VANZARI'!$A$5:$A$1004,"&gt;="&amp;'09_PARAMETRI'!$B$5,'13_VANZARI'!$A$5:$A$1004,"&lt;="&amp;'09_PARAMETRI'!$B$6))</f>
        <v/>
      </c>
      <c r="F106" s="24">
        <f>IF($A106="","",SUMIFS('13_VANZARI'!$H$5:$H$1004,'13_VANZARI'!$D$5:$D$1004,$A106,'13_VANZARI'!$A$5:$A$1004,"&gt;="&amp;'09_PARAMETRI'!$B$7,'13_VANZARI'!$A$5:$A$1004,"&lt;="&amp;'09_PARAMETRI'!$B$8))</f>
        <v/>
      </c>
      <c r="G106" s="25">
        <f>IF($A106="","",IFERROR(IF($F106=0,"",($E106-$F106)/ABS($F106)),""))</f>
        <v/>
      </c>
      <c r="H106" s="24">
        <f>IF($A106="","",SUMIFS('13_VANZARI'!$K$5:$K$1004,'13_VANZARI'!$D$5:$D$1004,$A106,'13_VANZARI'!$A$5:$A$1004,"&gt;="&amp;'09_PARAMETRI'!$B$5,'13_VANZARI'!$A$5:$A$1004,"&lt;="&amp;'09_PARAMETRI'!$B$6))</f>
        <v/>
      </c>
      <c r="I106" s="25">
        <f>IF($A106="","",IFERROR($H106/$E106,""))</f>
        <v/>
      </c>
      <c r="J106" s="25">
        <f>IF($A106="","",IFERROR($E106/SUMIFS('13_VANZARI'!$H$5:$H$1004,'13_VANZARI'!$A$5:$A$1004,"&gt;="&amp;'09_PARAMETRI'!$B$5,'13_VANZARI'!$A$5:$A$1004,"&lt;="&amp;'09_PARAMETRI'!$B$6),""))</f>
        <v/>
      </c>
      <c r="K106" s="36">
        <f>IF($A106="","",IFERROR(IF(SUMPRODUCT(MAX(('13_VANZARI'!$D$5:$D$1004=$A106)*('13_VANZARI'!$H$5:$H$1004&lt;&gt;"")*'13_VANZARI'!$A$5:$A$1004))=0,"",SUMPRODUCT(MAX(('13_VANZARI'!$D$5:$D$1004=$A106)*('13_VANZARI'!$H$5:$H$1004&lt;&gt;"")*'13_VANZARI'!$A$5:$A$1004))),""))</f>
        <v/>
      </c>
      <c r="L106" s="24">
        <f>IF(OR($A106="",$K106=""),"",'09_PARAMETRI'!$B$9-$K106)</f>
        <v/>
      </c>
      <c r="M106" s="24">
        <f>IF($A106="","",SUMPRODUCT(('11_PRODUSE'!$A$5:$A$104&lt;&gt;"")*(SUMIFS('13_VANZARI'!$H$5:$H$1004,'13_VANZARI'!$D$5:$D$1004,$A106,'13_VANZARI'!$E$5:$E$1004,'11_PRODUSE'!$A$5:$A$104,'13_VANZARI'!$A$5:$A$1004,"&gt;="&amp;'09_PARAMETRI'!$B$5,'13_VANZARI'!$A$5:$A$1004,"&lt;="&amp;'09_PARAMETRI'!$B$6)&lt;&gt;0)))</f>
        <v/>
      </c>
      <c r="N106" s="50">
        <f>IF($A106="","",IFERROR(AVERAGEIFS('15_NPS'!$F$5:$F$504,'15_NPS'!$C$5:$C$504,$A106,'15_NPS'!$B$5:$B$504,"&gt;="&amp;'09_PARAMETRI'!$B$5,'15_NPS'!$B$5:$B$504,"&lt;="&amp;'09_PARAMETRI'!$B$6),""))</f>
        <v/>
      </c>
      <c r="O106" s="39">
        <f>IF($A106="","",IF(AND($F106&gt;0,$E106=0),"Client pierdut",IF(AND($L106&lt;&gt;"",$L106&gt;'09_PARAMETRI'!$B$16,$F106&gt;0),"Client dormant",IF(AND($G106&lt;&gt;"",$G106&lt;='09_PARAMETRI'!$B$13),"Scădere de venit",IF(AND($N106&lt;&gt;"",$N106&lt;7),"Detractor activ",IF(AND($E106&gt;0,$J106&gt;'09_PARAMETRI'!$B$19),"Risc concentrare",IF(AND($E106&gt;0,$I106&lt;&gt;"",$I106&lt;'09_PARAMETRI'!$B$15),"Marjă sub referință",IF(AND($G106&lt;&gt;"",$G106&gt;='09_PARAMETRI'!$B$14),"În creștere",IF($E106=0,"Fără activitate","Stabil")))))))))</f>
        <v/>
      </c>
      <c r="P106" s="39">
        <f>IF($A106="","",IF($O106="Risc concentrare","Risc concentrare",IF($O106="Client pierdut","Recuperare client",IF($O106="Client dormant","Reactivare client",IF($O106="Scădere de venit","Recuperare client",IF($O106="Detractor activ","Recuperare NPS",IF($O106="Marjă sub referință","Marjă / preț",IF($O106="În creștere","Up-sell",IF($O106="Fără activitate","Reactivare client","Cross-sell")))))))))</f>
        <v/>
      </c>
      <c r="Q106" s="24">
        <f>IF($A106="","",IFERROR(IF($O106="Scădere de venit",MAX(0,$F106-$E106),IF(OR($O106="Client pierdut",$O106="Client dormant",$O106="Fără activitate"),$F106,IF($O106="Marjă sub referință",MAX(0,$E106*('09_PARAMETRI'!$B$15-$I106)),$E106*0.15))),""))</f>
        <v/>
      </c>
      <c r="R106" s="48">
        <f>IF(OR($A106="",$E106="",N($E106)&lt;=0),"",$E106+ROW()/1000000)</f>
        <v/>
      </c>
    </row>
    <row r="107">
      <c r="A107" s="39">
        <f>IF('10_CLIENTI'!$A107="","",'10_CLIENTI'!$A107)</f>
        <v/>
      </c>
      <c r="B107" s="39">
        <f>IF($A107="","",IFERROR(INDEX('10_CLIENTI'!$B$5:$B$204,MATCH($A107,'10_CLIENTI'!$A$5:$A$204,0)),""))</f>
        <v/>
      </c>
      <c r="C107" s="39">
        <f>IF($A107="","",IFERROR(INDEX('10_CLIENTI'!$C$5:$C$204,MATCH($A107,'10_CLIENTI'!$A$5:$A$204,0)),""))</f>
        <v/>
      </c>
      <c r="D107" s="39">
        <f>IF($A107="","",IFERROR(INDEX('10_CLIENTI'!$G$5:$G$204,MATCH($A107,'10_CLIENTI'!$A$5:$A$204,0)),""))</f>
        <v/>
      </c>
      <c r="E107" s="24">
        <f>IF($A107="","",SUMIFS('13_VANZARI'!$H$5:$H$1004,'13_VANZARI'!$D$5:$D$1004,$A107,'13_VANZARI'!$A$5:$A$1004,"&gt;="&amp;'09_PARAMETRI'!$B$5,'13_VANZARI'!$A$5:$A$1004,"&lt;="&amp;'09_PARAMETRI'!$B$6))</f>
        <v/>
      </c>
      <c r="F107" s="24">
        <f>IF($A107="","",SUMIFS('13_VANZARI'!$H$5:$H$1004,'13_VANZARI'!$D$5:$D$1004,$A107,'13_VANZARI'!$A$5:$A$1004,"&gt;="&amp;'09_PARAMETRI'!$B$7,'13_VANZARI'!$A$5:$A$1004,"&lt;="&amp;'09_PARAMETRI'!$B$8))</f>
        <v/>
      </c>
      <c r="G107" s="25">
        <f>IF($A107="","",IFERROR(IF($F107=0,"",($E107-$F107)/ABS($F107)),""))</f>
        <v/>
      </c>
      <c r="H107" s="24">
        <f>IF($A107="","",SUMIFS('13_VANZARI'!$K$5:$K$1004,'13_VANZARI'!$D$5:$D$1004,$A107,'13_VANZARI'!$A$5:$A$1004,"&gt;="&amp;'09_PARAMETRI'!$B$5,'13_VANZARI'!$A$5:$A$1004,"&lt;="&amp;'09_PARAMETRI'!$B$6))</f>
        <v/>
      </c>
      <c r="I107" s="25">
        <f>IF($A107="","",IFERROR($H107/$E107,""))</f>
        <v/>
      </c>
      <c r="J107" s="25">
        <f>IF($A107="","",IFERROR($E107/SUMIFS('13_VANZARI'!$H$5:$H$1004,'13_VANZARI'!$A$5:$A$1004,"&gt;="&amp;'09_PARAMETRI'!$B$5,'13_VANZARI'!$A$5:$A$1004,"&lt;="&amp;'09_PARAMETRI'!$B$6),""))</f>
        <v/>
      </c>
      <c r="K107" s="36">
        <f>IF($A107="","",IFERROR(IF(SUMPRODUCT(MAX(('13_VANZARI'!$D$5:$D$1004=$A107)*('13_VANZARI'!$H$5:$H$1004&lt;&gt;"")*'13_VANZARI'!$A$5:$A$1004))=0,"",SUMPRODUCT(MAX(('13_VANZARI'!$D$5:$D$1004=$A107)*('13_VANZARI'!$H$5:$H$1004&lt;&gt;"")*'13_VANZARI'!$A$5:$A$1004))),""))</f>
        <v/>
      </c>
      <c r="L107" s="24">
        <f>IF(OR($A107="",$K107=""),"",'09_PARAMETRI'!$B$9-$K107)</f>
        <v/>
      </c>
      <c r="M107" s="24">
        <f>IF($A107="","",SUMPRODUCT(('11_PRODUSE'!$A$5:$A$104&lt;&gt;"")*(SUMIFS('13_VANZARI'!$H$5:$H$1004,'13_VANZARI'!$D$5:$D$1004,$A107,'13_VANZARI'!$E$5:$E$1004,'11_PRODUSE'!$A$5:$A$104,'13_VANZARI'!$A$5:$A$1004,"&gt;="&amp;'09_PARAMETRI'!$B$5,'13_VANZARI'!$A$5:$A$1004,"&lt;="&amp;'09_PARAMETRI'!$B$6)&lt;&gt;0)))</f>
        <v/>
      </c>
      <c r="N107" s="50">
        <f>IF($A107="","",IFERROR(AVERAGEIFS('15_NPS'!$F$5:$F$504,'15_NPS'!$C$5:$C$504,$A107,'15_NPS'!$B$5:$B$504,"&gt;="&amp;'09_PARAMETRI'!$B$5,'15_NPS'!$B$5:$B$504,"&lt;="&amp;'09_PARAMETRI'!$B$6),""))</f>
        <v/>
      </c>
      <c r="O107" s="39">
        <f>IF($A107="","",IF(AND($F107&gt;0,$E107=0),"Client pierdut",IF(AND($L107&lt;&gt;"",$L107&gt;'09_PARAMETRI'!$B$16,$F107&gt;0),"Client dormant",IF(AND($G107&lt;&gt;"",$G107&lt;='09_PARAMETRI'!$B$13),"Scădere de venit",IF(AND($N107&lt;&gt;"",$N107&lt;7),"Detractor activ",IF(AND($E107&gt;0,$J107&gt;'09_PARAMETRI'!$B$19),"Risc concentrare",IF(AND($E107&gt;0,$I107&lt;&gt;"",$I107&lt;'09_PARAMETRI'!$B$15),"Marjă sub referință",IF(AND($G107&lt;&gt;"",$G107&gt;='09_PARAMETRI'!$B$14),"În creștere",IF($E107=0,"Fără activitate","Stabil")))))))))</f>
        <v/>
      </c>
      <c r="P107" s="39">
        <f>IF($A107="","",IF($O107="Risc concentrare","Risc concentrare",IF($O107="Client pierdut","Recuperare client",IF($O107="Client dormant","Reactivare client",IF($O107="Scădere de venit","Recuperare client",IF($O107="Detractor activ","Recuperare NPS",IF($O107="Marjă sub referință","Marjă / preț",IF($O107="În creștere","Up-sell",IF($O107="Fără activitate","Reactivare client","Cross-sell")))))))))</f>
        <v/>
      </c>
      <c r="Q107" s="24">
        <f>IF($A107="","",IFERROR(IF($O107="Scădere de venit",MAX(0,$F107-$E107),IF(OR($O107="Client pierdut",$O107="Client dormant",$O107="Fără activitate"),$F107,IF($O107="Marjă sub referință",MAX(0,$E107*('09_PARAMETRI'!$B$15-$I107)),$E107*0.15))),""))</f>
        <v/>
      </c>
      <c r="R107" s="48">
        <f>IF(OR($A107="",$E107="",N($E107)&lt;=0),"",$E107+ROW()/1000000)</f>
        <v/>
      </c>
    </row>
    <row r="108">
      <c r="A108" s="39">
        <f>IF('10_CLIENTI'!$A108="","",'10_CLIENTI'!$A108)</f>
        <v/>
      </c>
      <c r="B108" s="39">
        <f>IF($A108="","",IFERROR(INDEX('10_CLIENTI'!$B$5:$B$204,MATCH($A108,'10_CLIENTI'!$A$5:$A$204,0)),""))</f>
        <v/>
      </c>
      <c r="C108" s="39">
        <f>IF($A108="","",IFERROR(INDEX('10_CLIENTI'!$C$5:$C$204,MATCH($A108,'10_CLIENTI'!$A$5:$A$204,0)),""))</f>
        <v/>
      </c>
      <c r="D108" s="39">
        <f>IF($A108="","",IFERROR(INDEX('10_CLIENTI'!$G$5:$G$204,MATCH($A108,'10_CLIENTI'!$A$5:$A$204,0)),""))</f>
        <v/>
      </c>
      <c r="E108" s="24">
        <f>IF($A108="","",SUMIFS('13_VANZARI'!$H$5:$H$1004,'13_VANZARI'!$D$5:$D$1004,$A108,'13_VANZARI'!$A$5:$A$1004,"&gt;="&amp;'09_PARAMETRI'!$B$5,'13_VANZARI'!$A$5:$A$1004,"&lt;="&amp;'09_PARAMETRI'!$B$6))</f>
        <v/>
      </c>
      <c r="F108" s="24">
        <f>IF($A108="","",SUMIFS('13_VANZARI'!$H$5:$H$1004,'13_VANZARI'!$D$5:$D$1004,$A108,'13_VANZARI'!$A$5:$A$1004,"&gt;="&amp;'09_PARAMETRI'!$B$7,'13_VANZARI'!$A$5:$A$1004,"&lt;="&amp;'09_PARAMETRI'!$B$8))</f>
        <v/>
      </c>
      <c r="G108" s="25">
        <f>IF($A108="","",IFERROR(IF($F108=0,"",($E108-$F108)/ABS($F108)),""))</f>
        <v/>
      </c>
      <c r="H108" s="24">
        <f>IF($A108="","",SUMIFS('13_VANZARI'!$K$5:$K$1004,'13_VANZARI'!$D$5:$D$1004,$A108,'13_VANZARI'!$A$5:$A$1004,"&gt;="&amp;'09_PARAMETRI'!$B$5,'13_VANZARI'!$A$5:$A$1004,"&lt;="&amp;'09_PARAMETRI'!$B$6))</f>
        <v/>
      </c>
      <c r="I108" s="25">
        <f>IF($A108="","",IFERROR($H108/$E108,""))</f>
        <v/>
      </c>
      <c r="J108" s="25">
        <f>IF($A108="","",IFERROR($E108/SUMIFS('13_VANZARI'!$H$5:$H$1004,'13_VANZARI'!$A$5:$A$1004,"&gt;="&amp;'09_PARAMETRI'!$B$5,'13_VANZARI'!$A$5:$A$1004,"&lt;="&amp;'09_PARAMETRI'!$B$6),""))</f>
        <v/>
      </c>
      <c r="K108" s="36">
        <f>IF($A108="","",IFERROR(IF(SUMPRODUCT(MAX(('13_VANZARI'!$D$5:$D$1004=$A108)*('13_VANZARI'!$H$5:$H$1004&lt;&gt;"")*'13_VANZARI'!$A$5:$A$1004))=0,"",SUMPRODUCT(MAX(('13_VANZARI'!$D$5:$D$1004=$A108)*('13_VANZARI'!$H$5:$H$1004&lt;&gt;"")*'13_VANZARI'!$A$5:$A$1004))),""))</f>
        <v/>
      </c>
      <c r="L108" s="24">
        <f>IF(OR($A108="",$K108=""),"",'09_PARAMETRI'!$B$9-$K108)</f>
        <v/>
      </c>
      <c r="M108" s="24">
        <f>IF($A108="","",SUMPRODUCT(('11_PRODUSE'!$A$5:$A$104&lt;&gt;"")*(SUMIFS('13_VANZARI'!$H$5:$H$1004,'13_VANZARI'!$D$5:$D$1004,$A108,'13_VANZARI'!$E$5:$E$1004,'11_PRODUSE'!$A$5:$A$104,'13_VANZARI'!$A$5:$A$1004,"&gt;="&amp;'09_PARAMETRI'!$B$5,'13_VANZARI'!$A$5:$A$1004,"&lt;="&amp;'09_PARAMETRI'!$B$6)&lt;&gt;0)))</f>
        <v/>
      </c>
      <c r="N108" s="50">
        <f>IF($A108="","",IFERROR(AVERAGEIFS('15_NPS'!$F$5:$F$504,'15_NPS'!$C$5:$C$504,$A108,'15_NPS'!$B$5:$B$504,"&gt;="&amp;'09_PARAMETRI'!$B$5,'15_NPS'!$B$5:$B$504,"&lt;="&amp;'09_PARAMETRI'!$B$6),""))</f>
        <v/>
      </c>
      <c r="O108" s="39">
        <f>IF($A108="","",IF(AND($F108&gt;0,$E108=0),"Client pierdut",IF(AND($L108&lt;&gt;"",$L108&gt;'09_PARAMETRI'!$B$16,$F108&gt;0),"Client dormant",IF(AND($G108&lt;&gt;"",$G108&lt;='09_PARAMETRI'!$B$13),"Scădere de venit",IF(AND($N108&lt;&gt;"",$N108&lt;7),"Detractor activ",IF(AND($E108&gt;0,$J108&gt;'09_PARAMETRI'!$B$19),"Risc concentrare",IF(AND($E108&gt;0,$I108&lt;&gt;"",$I108&lt;'09_PARAMETRI'!$B$15),"Marjă sub referință",IF(AND($G108&lt;&gt;"",$G108&gt;='09_PARAMETRI'!$B$14),"În creștere",IF($E108=0,"Fără activitate","Stabil")))))))))</f>
        <v/>
      </c>
      <c r="P108" s="39">
        <f>IF($A108="","",IF($O108="Risc concentrare","Risc concentrare",IF($O108="Client pierdut","Recuperare client",IF($O108="Client dormant","Reactivare client",IF($O108="Scădere de venit","Recuperare client",IF($O108="Detractor activ","Recuperare NPS",IF($O108="Marjă sub referință","Marjă / preț",IF($O108="În creștere","Up-sell",IF($O108="Fără activitate","Reactivare client","Cross-sell")))))))))</f>
        <v/>
      </c>
      <c r="Q108" s="24">
        <f>IF($A108="","",IFERROR(IF($O108="Scădere de venit",MAX(0,$F108-$E108),IF(OR($O108="Client pierdut",$O108="Client dormant",$O108="Fără activitate"),$F108,IF($O108="Marjă sub referință",MAX(0,$E108*('09_PARAMETRI'!$B$15-$I108)),$E108*0.15))),""))</f>
        <v/>
      </c>
      <c r="R108" s="48">
        <f>IF(OR($A108="",$E108="",N($E108)&lt;=0),"",$E108+ROW()/1000000)</f>
        <v/>
      </c>
    </row>
    <row r="109">
      <c r="A109" s="39">
        <f>IF('10_CLIENTI'!$A109="","",'10_CLIENTI'!$A109)</f>
        <v/>
      </c>
      <c r="B109" s="39">
        <f>IF($A109="","",IFERROR(INDEX('10_CLIENTI'!$B$5:$B$204,MATCH($A109,'10_CLIENTI'!$A$5:$A$204,0)),""))</f>
        <v/>
      </c>
      <c r="C109" s="39">
        <f>IF($A109="","",IFERROR(INDEX('10_CLIENTI'!$C$5:$C$204,MATCH($A109,'10_CLIENTI'!$A$5:$A$204,0)),""))</f>
        <v/>
      </c>
      <c r="D109" s="39">
        <f>IF($A109="","",IFERROR(INDEX('10_CLIENTI'!$G$5:$G$204,MATCH($A109,'10_CLIENTI'!$A$5:$A$204,0)),""))</f>
        <v/>
      </c>
      <c r="E109" s="24">
        <f>IF($A109="","",SUMIFS('13_VANZARI'!$H$5:$H$1004,'13_VANZARI'!$D$5:$D$1004,$A109,'13_VANZARI'!$A$5:$A$1004,"&gt;="&amp;'09_PARAMETRI'!$B$5,'13_VANZARI'!$A$5:$A$1004,"&lt;="&amp;'09_PARAMETRI'!$B$6))</f>
        <v/>
      </c>
      <c r="F109" s="24">
        <f>IF($A109="","",SUMIFS('13_VANZARI'!$H$5:$H$1004,'13_VANZARI'!$D$5:$D$1004,$A109,'13_VANZARI'!$A$5:$A$1004,"&gt;="&amp;'09_PARAMETRI'!$B$7,'13_VANZARI'!$A$5:$A$1004,"&lt;="&amp;'09_PARAMETRI'!$B$8))</f>
        <v/>
      </c>
      <c r="G109" s="25">
        <f>IF($A109="","",IFERROR(IF($F109=0,"",($E109-$F109)/ABS($F109)),""))</f>
        <v/>
      </c>
      <c r="H109" s="24">
        <f>IF($A109="","",SUMIFS('13_VANZARI'!$K$5:$K$1004,'13_VANZARI'!$D$5:$D$1004,$A109,'13_VANZARI'!$A$5:$A$1004,"&gt;="&amp;'09_PARAMETRI'!$B$5,'13_VANZARI'!$A$5:$A$1004,"&lt;="&amp;'09_PARAMETRI'!$B$6))</f>
        <v/>
      </c>
      <c r="I109" s="25">
        <f>IF($A109="","",IFERROR($H109/$E109,""))</f>
        <v/>
      </c>
      <c r="J109" s="25">
        <f>IF($A109="","",IFERROR($E109/SUMIFS('13_VANZARI'!$H$5:$H$1004,'13_VANZARI'!$A$5:$A$1004,"&gt;="&amp;'09_PARAMETRI'!$B$5,'13_VANZARI'!$A$5:$A$1004,"&lt;="&amp;'09_PARAMETRI'!$B$6),""))</f>
        <v/>
      </c>
      <c r="K109" s="36">
        <f>IF($A109="","",IFERROR(IF(SUMPRODUCT(MAX(('13_VANZARI'!$D$5:$D$1004=$A109)*('13_VANZARI'!$H$5:$H$1004&lt;&gt;"")*'13_VANZARI'!$A$5:$A$1004))=0,"",SUMPRODUCT(MAX(('13_VANZARI'!$D$5:$D$1004=$A109)*('13_VANZARI'!$H$5:$H$1004&lt;&gt;"")*'13_VANZARI'!$A$5:$A$1004))),""))</f>
        <v/>
      </c>
      <c r="L109" s="24">
        <f>IF(OR($A109="",$K109=""),"",'09_PARAMETRI'!$B$9-$K109)</f>
        <v/>
      </c>
      <c r="M109" s="24">
        <f>IF($A109="","",SUMPRODUCT(('11_PRODUSE'!$A$5:$A$104&lt;&gt;"")*(SUMIFS('13_VANZARI'!$H$5:$H$1004,'13_VANZARI'!$D$5:$D$1004,$A109,'13_VANZARI'!$E$5:$E$1004,'11_PRODUSE'!$A$5:$A$104,'13_VANZARI'!$A$5:$A$1004,"&gt;="&amp;'09_PARAMETRI'!$B$5,'13_VANZARI'!$A$5:$A$1004,"&lt;="&amp;'09_PARAMETRI'!$B$6)&lt;&gt;0)))</f>
        <v/>
      </c>
      <c r="N109" s="50">
        <f>IF($A109="","",IFERROR(AVERAGEIFS('15_NPS'!$F$5:$F$504,'15_NPS'!$C$5:$C$504,$A109,'15_NPS'!$B$5:$B$504,"&gt;="&amp;'09_PARAMETRI'!$B$5,'15_NPS'!$B$5:$B$504,"&lt;="&amp;'09_PARAMETRI'!$B$6),""))</f>
        <v/>
      </c>
      <c r="O109" s="39">
        <f>IF($A109="","",IF(AND($F109&gt;0,$E109=0),"Client pierdut",IF(AND($L109&lt;&gt;"",$L109&gt;'09_PARAMETRI'!$B$16,$F109&gt;0),"Client dormant",IF(AND($G109&lt;&gt;"",$G109&lt;='09_PARAMETRI'!$B$13),"Scădere de venit",IF(AND($N109&lt;&gt;"",$N109&lt;7),"Detractor activ",IF(AND($E109&gt;0,$J109&gt;'09_PARAMETRI'!$B$19),"Risc concentrare",IF(AND($E109&gt;0,$I109&lt;&gt;"",$I109&lt;'09_PARAMETRI'!$B$15),"Marjă sub referință",IF(AND($G109&lt;&gt;"",$G109&gt;='09_PARAMETRI'!$B$14),"În creștere",IF($E109=0,"Fără activitate","Stabil")))))))))</f>
        <v/>
      </c>
      <c r="P109" s="39">
        <f>IF($A109="","",IF($O109="Risc concentrare","Risc concentrare",IF($O109="Client pierdut","Recuperare client",IF($O109="Client dormant","Reactivare client",IF($O109="Scădere de venit","Recuperare client",IF($O109="Detractor activ","Recuperare NPS",IF($O109="Marjă sub referință","Marjă / preț",IF($O109="În creștere","Up-sell",IF($O109="Fără activitate","Reactivare client","Cross-sell")))))))))</f>
        <v/>
      </c>
      <c r="Q109" s="24">
        <f>IF($A109="","",IFERROR(IF($O109="Scădere de venit",MAX(0,$F109-$E109),IF(OR($O109="Client pierdut",$O109="Client dormant",$O109="Fără activitate"),$F109,IF($O109="Marjă sub referință",MAX(0,$E109*('09_PARAMETRI'!$B$15-$I109)),$E109*0.15))),""))</f>
        <v/>
      </c>
      <c r="R109" s="48">
        <f>IF(OR($A109="",$E109="",N($E109)&lt;=0),"",$E109+ROW()/1000000)</f>
        <v/>
      </c>
    </row>
    <row r="110">
      <c r="A110" s="39">
        <f>IF('10_CLIENTI'!$A110="","",'10_CLIENTI'!$A110)</f>
        <v/>
      </c>
      <c r="B110" s="39">
        <f>IF($A110="","",IFERROR(INDEX('10_CLIENTI'!$B$5:$B$204,MATCH($A110,'10_CLIENTI'!$A$5:$A$204,0)),""))</f>
        <v/>
      </c>
      <c r="C110" s="39">
        <f>IF($A110="","",IFERROR(INDEX('10_CLIENTI'!$C$5:$C$204,MATCH($A110,'10_CLIENTI'!$A$5:$A$204,0)),""))</f>
        <v/>
      </c>
      <c r="D110" s="39">
        <f>IF($A110="","",IFERROR(INDEX('10_CLIENTI'!$G$5:$G$204,MATCH($A110,'10_CLIENTI'!$A$5:$A$204,0)),""))</f>
        <v/>
      </c>
      <c r="E110" s="24">
        <f>IF($A110="","",SUMIFS('13_VANZARI'!$H$5:$H$1004,'13_VANZARI'!$D$5:$D$1004,$A110,'13_VANZARI'!$A$5:$A$1004,"&gt;="&amp;'09_PARAMETRI'!$B$5,'13_VANZARI'!$A$5:$A$1004,"&lt;="&amp;'09_PARAMETRI'!$B$6))</f>
        <v/>
      </c>
      <c r="F110" s="24">
        <f>IF($A110="","",SUMIFS('13_VANZARI'!$H$5:$H$1004,'13_VANZARI'!$D$5:$D$1004,$A110,'13_VANZARI'!$A$5:$A$1004,"&gt;="&amp;'09_PARAMETRI'!$B$7,'13_VANZARI'!$A$5:$A$1004,"&lt;="&amp;'09_PARAMETRI'!$B$8))</f>
        <v/>
      </c>
      <c r="G110" s="25">
        <f>IF($A110="","",IFERROR(IF($F110=0,"",($E110-$F110)/ABS($F110)),""))</f>
        <v/>
      </c>
      <c r="H110" s="24">
        <f>IF($A110="","",SUMIFS('13_VANZARI'!$K$5:$K$1004,'13_VANZARI'!$D$5:$D$1004,$A110,'13_VANZARI'!$A$5:$A$1004,"&gt;="&amp;'09_PARAMETRI'!$B$5,'13_VANZARI'!$A$5:$A$1004,"&lt;="&amp;'09_PARAMETRI'!$B$6))</f>
        <v/>
      </c>
      <c r="I110" s="25">
        <f>IF($A110="","",IFERROR($H110/$E110,""))</f>
        <v/>
      </c>
      <c r="J110" s="25">
        <f>IF($A110="","",IFERROR($E110/SUMIFS('13_VANZARI'!$H$5:$H$1004,'13_VANZARI'!$A$5:$A$1004,"&gt;="&amp;'09_PARAMETRI'!$B$5,'13_VANZARI'!$A$5:$A$1004,"&lt;="&amp;'09_PARAMETRI'!$B$6),""))</f>
        <v/>
      </c>
      <c r="K110" s="36">
        <f>IF($A110="","",IFERROR(IF(SUMPRODUCT(MAX(('13_VANZARI'!$D$5:$D$1004=$A110)*('13_VANZARI'!$H$5:$H$1004&lt;&gt;"")*'13_VANZARI'!$A$5:$A$1004))=0,"",SUMPRODUCT(MAX(('13_VANZARI'!$D$5:$D$1004=$A110)*('13_VANZARI'!$H$5:$H$1004&lt;&gt;"")*'13_VANZARI'!$A$5:$A$1004))),""))</f>
        <v/>
      </c>
      <c r="L110" s="24">
        <f>IF(OR($A110="",$K110=""),"",'09_PARAMETRI'!$B$9-$K110)</f>
        <v/>
      </c>
      <c r="M110" s="24">
        <f>IF($A110="","",SUMPRODUCT(('11_PRODUSE'!$A$5:$A$104&lt;&gt;"")*(SUMIFS('13_VANZARI'!$H$5:$H$1004,'13_VANZARI'!$D$5:$D$1004,$A110,'13_VANZARI'!$E$5:$E$1004,'11_PRODUSE'!$A$5:$A$104,'13_VANZARI'!$A$5:$A$1004,"&gt;="&amp;'09_PARAMETRI'!$B$5,'13_VANZARI'!$A$5:$A$1004,"&lt;="&amp;'09_PARAMETRI'!$B$6)&lt;&gt;0)))</f>
        <v/>
      </c>
      <c r="N110" s="50">
        <f>IF($A110="","",IFERROR(AVERAGEIFS('15_NPS'!$F$5:$F$504,'15_NPS'!$C$5:$C$504,$A110,'15_NPS'!$B$5:$B$504,"&gt;="&amp;'09_PARAMETRI'!$B$5,'15_NPS'!$B$5:$B$504,"&lt;="&amp;'09_PARAMETRI'!$B$6),""))</f>
        <v/>
      </c>
      <c r="O110" s="39">
        <f>IF($A110="","",IF(AND($F110&gt;0,$E110=0),"Client pierdut",IF(AND($L110&lt;&gt;"",$L110&gt;'09_PARAMETRI'!$B$16,$F110&gt;0),"Client dormant",IF(AND($G110&lt;&gt;"",$G110&lt;='09_PARAMETRI'!$B$13),"Scădere de venit",IF(AND($N110&lt;&gt;"",$N110&lt;7),"Detractor activ",IF(AND($E110&gt;0,$J110&gt;'09_PARAMETRI'!$B$19),"Risc concentrare",IF(AND($E110&gt;0,$I110&lt;&gt;"",$I110&lt;'09_PARAMETRI'!$B$15),"Marjă sub referință",IF(AND($G110&lt;&gt;"",$G110&gt;='09_PARAMETRI'!$B$14),"În creștere",IF($E110=0,"Fără activitate","Stabil")))))))))</f>
        <v/>
      </c>
      <c r="P110" s="39">
        <f>IF($A110="","",IF($O110="Risc concentrare","Risc concentrare",IF($O110="Client pierdut","Recuperare client",IF($O110="Client dormant","Reactivare client",IF($O110="Scădere de venit","Recuperare client",IF($O110="Detractor activ","Recuperare NPS",IF($O110="Marjă sub referință","Marjă / preț",IF($O110="În creștere","Up-sell",IF($O110="Fără activitate","Reactivare client","Cross-sell")))))))))</f>
        <v/>
      </c>
      <c r="Q110" s="24">
        <f>IF($A110="","",IFERROR(IF($O110="Scădere de venit",MAX(0,$F110-$E110),IF(OR($O110="Client pierdut",$O110="Client dormant",$O110="Fără activitate"),$F110,IF($O110="Marjă sub referință",MAX(0,$E110*('09_PARAMETRI'!$B$15-$I110)),$E110*0.15))),""))</f>
        <v/>
      </c>
      <c r="R110" s="48">
        <f>IF(OR($A110="",$E110="",N($E110)&lt;=0),"",$E110+ROW()/1000000)</f>
        <v/>
      </c>
    </row>
    <row r="111">
      <c r="A111" s="39">
        <f>IF('10_CLIENTI'!$A111="","",'10_CLIENTI'!$A111)</f>
        <v/>
      </c>
      <c r="B111" s="39">
        <f>IF($A111="","",IFERROR(INDEX('10_CLIENTI'!$B$5:$B$204,MATCH($A111,'10_CLIENTI'!$A$5:$A$204,0)),""))</f>
        <v/>
      </c>
      <c r="C111" s="39">
        <f>IF($A111="","",IFERROR(INDEX('10_CLIENTI'!$C$5:$C$204,MATCH($A111,'10_CLIENTI'!$A$5:$A$204,0)),""))</f>
        <v/>
      </c>
      <c r="D111" s="39">
        <f>IF($A111="","",IFERROR(INDEX('10_CLIENTI'!$G$5:$G$204,MATCH($A111,'10_CLIENTI'!$A$5:$A$204,0)),""))</f>
        <v/>
      </c>
      <c r="E111" s="24">
        <f>IF($A111="","",SUMIFS('13_VANZARI'!$H$5:$H$1004,'13_VANZARI'!$D$5:$D$1004,$A111,'13_VANZARI'!$A$5:$A$1004,"&gt;="&amp;'09_PARAMETRI'!$B$5,'13_VANZARI'!$A$5:$A$1004,"&lt;="&amp;'09_PARAMETRI'!$B$6))</f>
        <v/>
      </c>
      <c r="F111" s="24">
        <f>IF($A111="","",SUMIFS('13_VANZARI'!$H$5:$H$1004,'13_VANZARI'!$D$5:$D$1004,$A111,'13_VANZARI'!$A$5:$A$1004,"&gt;="&amp;'09_PARAMETRI'!$B$7,'13_VANZARI'!$A$5:$A$1004,"&lt;="&amp;'09_PARAMETRI'!$B$8))</f>
        <v/>
      </c>
      <c r="G111" s="25">
        <f>IF($A111="","",IFERROR(IF($F111=0,"",($E111-$F111)/ABS($F111)),""))</f>
        <v/>
      </c>
      <c r="H111" s="24">
        <f>IF($A111="","",SUMIFS('13_VANZARI'!$K$5:$K$1004,'13_VANZARI'!$D$5:$D$1004,$A111,'13_VANZARI'!$A$5:$A$1004,"&gt;="&amp;'09_PARAMETRI'!$B$5,'13_VANZARI'!$A$5:$A$1004,"&lt;="&amp;'09_PARAMETRI'!$B$6))</f>
        <v/>
      </c>
      <c r="I111" s="25">
        <f>IF($A111="","",IFERROR($H111/$E111,""))</f>
        <v/>
      </c>
      <c r="J111" s="25">
        <f>IF($A111="","",IFERROR($E111/SUMIFS('13_VANZARI'!$H$5:$H$1004,'13_VANZARI'!$A$5:$A$1004,"&gt;="&amp;'09_PARAMETRI'!$B$5,'13_VANZARI'!$A$5:$A$1004,"&lt;="&amp;'09_PARAMETRI'!$B$6),""))</f>
        <v/>
      </c>
      <c r="K111" s="36">
        <f>IF($A111="","",IFERROR(IF(SUMPRODUCT(MAX(('13_VANZARI'!$D$5:$D$1004=$A111)*('13_VANZARI'!$H$5:$H$1004&lt;&gt;"")*'13_VANZARI'!$A$5:$A$1004))=0,"",SUMPRODUCT(MAX(('13_VANZARI'!$D$5:$D$1004=$A111)*('13_VANZARI'!$H$5:$H$1004&lt;&gt;"")*'13_VANZARI'!$A$5:$A$1004))),""))</f>
        <v/>
      </c>
      <c r="L111" s="24">
        <f>IF(OR($A111="",$K111=""),"",'09_PARAMETRI'!$B$9-$K111)</f>
        <v/>
      </c>
      <c r="M111" s="24">
        <f>IF($A111="","",SUMPRODUCT(('11_PRODUSE'!$A$5:$A$104&lt;&gt;"")*(SUMIFS('13_VANZARI'!$H$5:$H$1004,'13_VANZARI'!$D$5:$D$1004,$A111,'13_VANZARI'!$E$5:$E$1004,'11_PRODUSE'!$A$5:$A$104,'13_VANZARI'!$A$5:$A$1004,"&gt;="&amp;'09_PARAMETRI'!$B$5,'13_VANZARI'!$A$5:$A$1004,"&lt;="&amp;'09_PARAMETRI'!$B$6)&lt;&gt;0)))</f>
        <v/>
      </c>
      <c r="N111" s="50">
        <f>IF($A111="","",IFERROR(AVERAGEIFS('15_NPS'!$F$5:$F$504,'15_NPS'!$C$5:$C$504,$A111,'15_NPS'!$B$5:$B$504,"&gt;="&amp;'09_PARAMETRI'!$B$5,'15_NPS'!$B$5:$B$504,"&lt;="&amp;'09_PARAMETRI'!$B$6),""))</f>
        <v/>
      </c>
      <c r="O111" s="39">
        <f>IF($A111="","",IF(AND($F111&gt;0,$E111=0),"Client pierdut",IF(AND($L111&lt;&gt;"",$L111&gt;'09_PARAMETRI'!$B$16,$F111&gt;0),"Client dormant",IF(AND($G111&lt;&gt;"",$G111&lt;='09_PARAMETRI'!$B$13),"Scădere de venit",IF(AND($N111&lt;&gt;"",$N111&lt;7),"Detractor activ",IF(AND($E111&gt;0,$J111&gt;'09_PARAMETRI'!$B$19),"Risc concentrare",IF(AND($E111&gt;0,$I111&lt;&gt;"",$I111&lt;'09_PARAMETRI'!$B$15),"Marjă sub referință",IF(AND($G111&lt;&gt;"",$G111&gt;='09_PARAMETRI'!$B$14),"În creștere",IF($E111=0,"Fără activitate","Stabil")))))))))</f>
        <v/>
      </c>
      <c r="P111" s="39">
        <f>IF($A111="","",IF($O111="Risc concentrare","Risc concentrare",IF($O111="Client pierdut","Recuperare client",IF($O111="Client dormant","Reactivare client",IF($O111="Scădere de venit","Recuperare client",IF($O111="Detractor activ","Recuperare NPS",IF($O111="Marjă sub referință","Marjă / preț",IF($O111="În creștere","Up-sell",IF($O111="Fără activitate","Reactivare client","Cross-sell")))))))))</f>
        <v/>
      </c>
      <c r="Q111" s="24">
        <f>IF($A111="","",IFERROR(IF($O111="Scădere de venit",MAX(0,$F111-$E111),IF(OR($O111="Client pierdut",$O111="Client dormant",$O111="Fără activitate"),$F111,IF($O111="Marjă sub referință",MAX(0,$E111*('09_PARAMETRI'!$B$15-$I111)),$E111*0.15))),""))</f>
        <v/>
      </c>
      <c r="R111" s="48">
        <f>IF(OR($A111="",$E111="",N($E111)&lt;=0),"",$E111+ROW()/1000000)</f>
        <v/>
      </c>
    </row>
    <row r="112">
      <c r="A112" s="39">
        <f>IF('10_CLIENTI'!$A112="","",'10_CLIENTI'!$A112)</f>
        <v/>
      </c>
      <c r="B112" s="39">
        <f>IF($A112="","",IFERROR(INDEX('10_CLIENTI'!$B$5:$B$204,MATCH($A112,'10_CLIENTI'!$A$5:$A$204,0)),""))</f>
        <v/>
      </c>
      <c r="C112" s="39">
        <f>IF($A112="","",IFERROR(INDEX('10_CLIENTI'!$C$5:$C$204,MATCH($A112,'10_CLIENTI'!$A$5:$A$204,0)),""))</f>
        <v/>
      </c>
      <c r="D112" s="39">
        <f>IF($A112="","",IFERROR(INDEX('10_CLIENTI'!$G$5:$G$204,MATCH($A112,'10_CLIENTI'!$A$5:$A$204,0)),""))</f>
        <v/>
      </c>
      <c r="E112" s="24">
        <f>IF($A112="","",SUMIFS('13_VANZARI'!$H$5:$H$1004,'13_VANZARI'!$D$5:$D$1004,$A112,'13_VANZARI'!$A$5:$A$1004,"&gt;="&amp;'09_PARAMETRI'!$B$5,'13_VANZARI'!$A$5:$A$1004,"&lt;="&amp;'09_PARAMETRI'!$B$6))</f>
        <v/>
      </c>
      <c r="F112" s="24">
        <f>IF($A112="","",SUMIFS('13_VANZARI'!$H$5:$H$1004,'13_VANZARI'!$D$5:$D$1004,$A112,'13_VANZARI'!$A$5:$A$1004,"&gt;="&amp;'09_PARAMETRI'!$B$7,'13_VANZARI'!$A$5:$A$1004,"&lt;="&amp;'09_PARAMETRI'!$B$8))</f>
        <v/>
      </c>
      <c r="G112" s="25">
        <f>IF($A112="","",IFERROR(IF($F112=0,"",($E112-$F112)/ABS($F112)),""))</f>
        <v/>
      </c>
      <c r="H112" s="24">
        <f>IF($A112="","",SUMIFS('13_VANZARI'!$K$5:$K$1004,'13_VANZARI'!$D$5:$D$1004,$A112,'13_VANZARI'!$A$5:$A$1004,"&gt;="&amp;'09_PARAMETRI'!$B$5,'13_VANZARI'!$A$5:$A$1004,"&lt;="&amp;'09_PARAMETRI'!$B$6))</f>
        <v/>
      </c>
      <c r="I112" s="25">
        <f>IF($A112="","",IFERROR($H112/$E112,""))</f>
        <v/>
      </c>
      <c r="J112" s="25">
        <f>IF($A112="","",IFERROR($E112/SUMIFS('13_VANZARI'!$H$5:$H$1004,'13_VANZARI'!$A$5:$A$1004,"&gt;="&amp;'09_PARAMETRI'!$B$5,'13_VANZARI'!$A$5:$A$1004,"&lt;="&amp;'09_PARAMETRI'!$B$6),""))</f>
        <v/>
      </c>
      <c r="K112" s="36">
        <f>IF($A112="","",IFERROR(IF(SUMPRODUCT(MAX(('13_VANZARI'!$D$5:$D$1004=$A112)*('13_VANZARI'!$H$5:$H$1004&lt;&gt;"")*'13_VANZARI'!$A$5:$A$1004))=0,"",SUMPRODUCT(MAX(('13_VANZARI'!$D$5:$D$1004=$A112)*('13_VANZARI'!$H$5:$H$1004&lt;&gt;"")*'13_VANZARI'!$A$5:$A$1004))),""))</f>
        <v/>
      </c>
      <c r="L112" s="24">
        <f>IF(OR($A112="",$K112=""),"",'09_PARAMETRI'!$B$9-$K112)</f>
        <v/>
      </c>
      <c r="M112" s="24">
        <f>IF($A112="","",SUMPRODUCT(('11_PRODUSE'!$A$5:$A$104&lt;&gt;"")*(SUMIFS('13_VANZARI'!$H$5:$H$1004,'13_VANZARI'!$D$5:$D$1004,$A112,'13_VANZARI'!$E$5:$E$1004,'11_PRODUSE'!$A$5:$A$104,'13_VANZARI'!$A$5:$A$1004,"&gt;="&amp;'09_PARAMETRI'!$B$5,'13_VANZARI'!$A$5:$A$1004,"&lt;="&amp;'09_PARAMETRI'!$B$6)&lt;&gt;0)))</f>
        <v/>
      </c>
      <c r="N112" s="50">
        <f>IF($A112="","",IFERROR(AVERAGEIFS('15_NPS'!$F$5:$F$504,'15_NPS'!$C$5:$C$504,$A112,'15_NPS'!$B$5:$B$504,"&gt;="&amp;'09_PARAMETRI'!$B$5,'15_NPS'!$B$5:$B$504,"&lt;="&amp;'09_PARAMETRI'!$B$6),""))</f>
        <v/>
      </c>
      <c r="O112" s="39">
        <f>IF($A112="","",IF(AND($F112&gt;0,$E112=0),"Client pierdut",IF(AND($L112&lt;&gt;"",$L112&gt;'09_PARAMETRI'!$B$16,$F112&gt;0),"Client dormant",IF(AND($G112&lt;&gt;"",$G112&lt;='09_PARAMETRI'!$B$13),"Scădere de venit",IF(AND($N112&lt;&gt;"",$N112&lt;7),"Detractor activ",IF(AND($E112&gt;0,$J112&gt;'09_PARAMETRI'!$B$19),"Risc concentrare",IF(AND($E112&gt;0,$I112&lt;&gt;"",$I112&lt;'09_PARAMETRI'!$B$15),"Marjă sub referință",IF(AND($G112&lt;&gt;"",$G112&gt;='09_PARAMETRI'!$B$14),"În creștere",IF($E112=0,"Fără activitate","Stabil")))))))))</f>
        <v/>
      </c>
      <c r="P112" s="39">
        <f>IF($A112="","",IF($O112="Risc concentrare","Risc concentrare",IF($O112="Client pierdut","Recuperare client",IF($O112="Client dormant","Reactivare client",IF($O112="Scădere de venit","Recuperare client",IF($O112="Detractor activ","Recuperare NPS",IF($O112="Marjă sub referință","Marjă / preț",IF($O112="În creștere","Up-sell",IF($O112="Fără activitate","Reactivare client","Cross-sell")))))))))</f>
        <v/>
      </c>
      <c r="Q112" s="24">
        <f>IF($A112="","",IFERROR(IF($O112="Scădere de venit",MAX(0,$F112-$E112),IF(OR($O112="Client pierdut",$O112="Client dormant",$O112="Fără activitate"),$F112,IF($O112="Marjă sub referință",MAX(0,$E112*('09_PARAMETRI'!$B$15-$I112)),$E112*0.15))),""))</f>
        <v/>
      </c>
      <c r="R112" s="48">
        <f>IF(OR($A112="",$E112="",N($E112)&lt;=0),"",$E112+ROW()/1000000)</f>
        <v/>
      </c>
    </row>
    <row r="113">
      <c r="A113" s="39">
        <f>IF('10_CLIENTI'!$A113="","",'10_CLIENTI'!$A113)</f>
        <v/>
      </c>
      <c r="B113" s="39">
        <f>IF($A113="","",IFERROR(INDEX('10_CLIENTI'!$B$5:$B$204,MATCH($A113,'10_CLIENTI'!$A$5:$A$204,0)),""))</f>
        <v/>
      </c>
      <c r="C113" s="39">
        <f>IF($A113="","",IFERROR(INDEX('10_CLIENTI'!$C$5:$C$204,MATCH($A113,'10_CLIENTI'!$A$5:$A$204,0)),""))</f>
        <v/>
      </c>
      <c r="D113" s="39">
        <f>IF($A113="","",IFERROR(INDEX('10_CLIENTI'!$G$5:$G$204,MATCH($A113,'10_CLIENTI'!$A$5:$A$204,0)),""))</f>
        <v/>
      </c>
      <c r="E113" s="24">
        <f>IF($A113="","",SUMIFS('13_VANZARI'!$H$5:$H$1004,'13_VANZARI'!$D$5:$D$1004,$A113,'13_VANZARI'!$A$5:$A$1004,"&gt;="&amp;'09_PARAMETRI'!$B$5,'13_VANZARI'!$A$5:$A$1004,"&lt;="&amp;'09_PARAMETRI'!$B$6))</f>
        <v/>
      </c>
      <c r="F113" s="24">
        <f>IF($A113="","",SUMIFS('13_VANZARI'!$H$5:$H$1004,'13_VANZARI'!$D$5:$D$1004,$A113,'13_VANZARI'!$A$5:$A$1004,"&gt;="&amp;'09_PARAMETRI'!$B$7,'13_VANZARI'!$A$5:$A$1004,"&lt;="&amp;'09_PARAMETRI'!$B$8))</f>
        <v/>
      </c>
      <c r="G113" s="25">
        <f>IF($A113="","",IFERROR(IF($F113=0,"",($E113-$F113)/ABS($F113)),""))</f>
        <v/>
      </c>
      <c r="H113" s="24">
        <f>IF($A113="","",SUMIFS('13_VANZARI'!$K$5:$K$1004,'13_VANZARI'!$D$5:$D$1004,$A113,'13_VANZARI'!$A$5:$A$1004,"&gt;="&amp;'09_PARAMETRI'!$B$5,'13_VANZARI'!$A$5:$A$1004,"&lt;="&amp;'09_PARAMETRI'!$B$6))</f>
        <v/>
      </c>
      <c r="I113" s="25">
        <f>IF($A113="","",IFERROR($H113/$E113,""))</f>
        <v/>
      </c>
      <c r="J113" s="25">
        <f>IF($A113="","",IFERROR($E113/SUMIFS('13_VANZARI'!$H$5:$H$1004,'13_VANZARI'!$A$5:$A$1004,"&gt;="&amp;'09_PARAMETRI'!$B$5,'13_VANZARI'!$A$5:$A$1004,"&lt;="&amp;'09_PARAMETRI'!$B$6),""))</f>
        <v/>
      </c>
      <c r="K113" s="36">
        <f>IF($A113="","",IFERROR(IF(SUMPRODUCT(MAX(('13_VANZARI'!$D$5:$D$1004=$A113)*('13_VANZARI'!$H$5:$H$1004&lt;&gt;"")*'13_VANZARI'!$A$5:$A$1004))=0,"",SUMPRODUCT(MAX(('13_VANZARI'!$D$5:$D$1004=$A113)*('13_VANZARI'!$H$5:$H$1004&lt;&gt;"")*'13_VANZARI'!$A$5:$A$1004))),""))</f>
        <v/>
      </c>
      <c r="L113" s="24">
        <f>IF(OR($A113="",$K113=""),"",'09_PARAMETRI'!$B$9-$K113)</f>
        <v/>
      </c>
      <c r="M113" s="24">
        <f>IF($A113="","",SUMPRODUCT(('11_PRODUSE'!$A$5:$A$104&lt;&gt;"")*(SUMIFS('13_VANZARI'!$H$5:$H$1004,'13_VANZARI'!$D$5:$D$1004,$A113,'13_VANZARI'!$E$5:$E$1004,'11_PRODUSE'!$A$5:$A$104,'13_VANZARI'!$A$5:$A$1004,"&gt;="&amp;'09_PARAMETRI'!$B$5,'13_VANZARI'!$A$5:$A$1004,"&lt;="&amp;'09_PARAMETRI'!$B$6)&lt;&gt;0)))</f>
        <v/>
      </c>
      <c r="N113" s="50">
        <f>IF($A113="","",IFERROR(AVERAGEIFS('15_NPS'!$F$5:$F$504,'15_NPS'!$C$5:$C$504,$A113,'15_NPS'!$B$5:$B$504,"&gt;="&amp;'09_PARAMETRI'!$B$5,'15_NPS'!$B$5:$B$504,"&lt;="&amp;'09_PARAMETRI'!$B$6),""))</f>
        <v/>
      </c>
      <c r="O113" s="39">
        <f>IF($A113="","",IF(AND($F113&gt;0,$E113=0),"Client pierdut",IF(AND($L113&lt;&gt;"",$L113&gt;'09_PARAMETRI'!$B$16,$F113&gt;0),"Client dormant",IF(AND($G113&lt;&gt;"",$G113&lt;='09_PARAMETRI'!$B$13),"Scădere de venit",IF(AND($N113&lt;&gt;"",$N113&lt;7),"Detractor activ",IF(AND($E113&gt;0,$J113&gt;'09_PARAMETRI'!$B$19),"Risc concentrare",IF(AND($E113&gt;0,$I113&lt;&gt;"",$I113&lt;'09_PARAMETRI'!$B$15),"Marjă sub referință",IF(AND($G113&lt;&gt;"",$G113&gt;='09_PARAMETRI'!$B$14),"În creștere",IF($E113=0,"Fără activitate","Stabil")))))))))</f>
        <v/>
      </c>
      <c r="P113" s="39">
        <f>IF($A113="","",IF($O113="Risc concentrare","Risc concentrare",IF($O113="Client pierdut","Recuperare client",IF($O113="Client dormant","Reactivare client",IF($O113="Scădere de venit","Recuperare client",IF($O113="Detractor activ","Recuperare NPS",IF($O113="Marjă sub referință","Marjă / preț",IF($O113="În creștere","Up-sell",IF($O113="Fără activitate","Reactivare client","Cross-sell")))))))))</f>
        <v/>
      </c>
      <c r="Q113" s="24">
        <f>IF($A113="","",IFERROR(IF($O113="Scădere de venit",MAX(0,$F113-$E113),IF(OR($O113="Client pierdut",$O113="Client dormant",$O113="Fără activitate"),$F113,IF($O113="Marjă sub referință",MAX(0,$E113*('09_PARAMETRI'!$B$15-$I113)),$E113*0.15))),""))</f>
        <v/>
      </c>
      <c r="R113" s="48">
        <f>IF(OR($A113="",$E113="",N($E113)&lt;=0),"",$E113+ROW()/1000000)</f>
        <v/>
      </c>
    </row>
    <row r="114">
      <c r="A114" s="39">
        <f>IF('10_CLIENTI'!$A114="","",'10_CLIENTI'!$A114)</f>
        <v/>
      </c>
      <c r="B114" s="39">
        <f>IF($A114="","",IFERROR(INDEX('10_CLIENTI'!$B$5:$B$204,MATCH($A114,'10_CLIENTI'!$A$5:$A$204,0)),""))</f>
        <v/>
      </c>
      <c r="C114" s="39">
        <f>IF($A114="","",IFERROR(INDEX('10_CLIENTI'!$C$5:$C$204,MATCH($A114,'10_CLIENTI'!$A$5:$A$204,0)),""))</f>
        <v/>
      </c>
      <c r="D114" s="39">
        <f>IF($A114="","",IFERROR(INDEX('10_CLIENTI'!$G$5:$G$204,MATCH($A114,'10_CLIENTI'!$A$5:$A$204,0)),""))</f>
        <v/>
      </c>
      <c r="E114" s="24">
        <f>IF($A114="","",SUMIFS('13_VANZARI'!$H$5:$H$1004,'13_VANZARI'!$D$5:$D$1004,$A114,'13_VANZARI'!$A$5:$A$1004,"&gt;="&amp;'09_PARAMETRI'!$B$5,'13_VANZARI'!$A$5:$A$1004,"&lt;="&amp;'09_PARAMETRI'!$B$6))</f>
        <v/>
      </c>
      <c r="F114" s="24">
        <f>IF($A114="","",SUMIFS('13_VANZARI'!$H$5:$H$1004,'13_VANZARI'!$D$5:$D$1004,$A114,'13_VANZARI'!$A$5:$A$1004,"&gt;="&amp;'09_PARAMETRI'!$B$7,'13_VANZARI'!$A$5:$A$1004,"&lt;="&amp;'09_PARAMETRI'!$B$8))</f>
        <v/>
      </c>
      <c r="G114" s="25">
        <f>IF($A114="","",IFERROR(IF($F114=0,"",($E114-$F114)/ABS($F114)),""))</f>
        <v/>
      </c>
      <c r="H114" s="24">
        <f>IF($A114="","",SUMIFS('13_VANZARI'!$K$5:$K$1004,'13_VANZARI'!$D$5:$D$1004,$A114,'13_VANZARI'!$A$5:$A$1004,"&gt;="&amp;'09_PARAMETRI'!$B$5,'13_VANZARI'!$A$5:$A$1004,"&lt;="&amp;'09_PARAMETRI'!$B$6))</f>
        <v/>
      </c>
      <c r="I114" s="25">
        <f>IF($A114="","",IFERROR($H114/$E114,""))</f>
        <v/>
      </c>
      <c r="J114" s="25">
        <f>IF($A114="","",IFERROR($E114/SUMIFS('13_VANZARI'!$H$5:$H$1004,'13_VANZARI'!$A$5:$A$1004,"&gt;="&amp;'09_PARAMETRI'!$B$5,'13_VANZARI'!$A$5:$A$1004,"&lt;="&amp;'09_PARAMETRI'!$B$6),""))</f>
        <v/>
      </c>
      <c r="K114" s="36">
        <f>IF($A114="","",IFERROR(IF(SUMPRODUCT(MAX(('13_VANZARI'!$D$5:$D$1004=$A114)*('13_VANZARI'!$H$5:$H$1004&lt;&gt;"")*'13_VANZARI'!$A$5:$A$1004))=0,"",SUMPRODUCT(MAX(('13_VANZARI'!$D$5:$D$1004=$A114)*('13_VANZARI'!$H$5:$H$1004&lt;&gt;"")*'13_VANZARI'!$A$5:$A$1004))),""))</f>
        <v/>
      </c>
      <c r="L114" s="24">
        <f>IF(OR($A114="",$K114=""),"",'09_PARAMETRI'!$B$9-$K114)</f>
        <v/>
      </c>
      <c r="M114" s="24">
        <f>IF($A114="","",SUMPRODUCT(('11_PRODUSE'!$A$5:$A$104&lt;&gt;"")*(SUMIFS('13_VANZARI'!$H$5:$H$1004,'13_VANZARI'!$D$5:$D$1004,$A114,'13_VANZARI'!$E$5:$E$1004,'11_PRODUSE'!$A$5:$A$104,'13_VANZARI'!$A$5:$A$1004,"&gt;="&amp;'09_PARAMETRI'!$B$5,'13_VANZARI'!$A$5:$A$1004,"&lt;="&amp;'09_PARAMETRI'!$B$6)&lt;&gt;0)))</f>
        <v/>
      </c>
      <c r="N114" s="50">
        <f>IF($A114="","",IFERROR(AVERAGEIFS('15_NPS'!$F$5:$F$504,'15_NPS'!$C$5:$C$504,$A114,'15_NPS'!$B$5:$B$504,"&gt;="&amp;'09_PARAMETRI'!$B$5,'15_NPS'!$B$5:$B$504,"&lt;="&amp;'09_PARAMETRI'!$B$6),""))</f>
        <v/>
      </c>
      <c r="O114" s="39">
        <f>IF($A114="","",IF(AND($F114&gt;0,$E114=0),"Client pierdut",IF(AND($L114&lt;&gt;"",$L114&gt;'09_PARAMETRI'!$B$16,$F114&gt;0),"Client dormant",IF(AND($G114&lt;&gt;"",$G114&lt;='09_PARAMETRI'!$B$13),"Scădere de venit",IF(AND($N114&lt;&gt;"",$N114&lt;7),"Detractor activ",IF(AND($E114&gt;0,$J114&gt;'09_PARAMETRI'!$B$19),"Risc concentrare",IF(AND($E114&gt;0,$I114&lt;&gt;"",$I114&lt;'09_PARAMETRI'!$B$15),"Marjă sub referință",IF(AND($G114&lt;&gt;"",$G114&gt;='09_PARAMETRI'!$B$14),"În creștere",IF($E114=0,"Fără activitate","Stabil")))))))))</f>
        <v/>
      </c>
      <c r="P114" s="39">
        <f>IF($A114="","",IF($O114="Risc concentrare","Risc concentrare",IF($O114="Client pierdut","Recuperare client",IF($O114="Client dormant","Reactivare client",IF($O114="Scădere de venit","Recuperare client",IF($O114="Detractor activ","Recuperare NPS",IF($O114="Marjă sub referință","Marjă / preț",IF($O114="În creștere","Up-sell",IF($O114="Fără activitate","Reactivare client","Cross-sell")))))))))</f>
        <v/>
      </c>
      <c r="Q114" s="24">
        <f>IF($A114="","",IFERROR(IF($O114="Scădere de venit",MAX(0,$F114-$E114),IF(OR($O114="Client pierdut",$O114="Client dormant",$O114="Fără activitate"),$F114,IF($O114="Marjă sub referință",MAX(0,$E114*('09_PARAMETRI'!$B$15-$I114)),$E114*0.15))),""))</f>
        <v/>
      </c>
      <c r="R114" s="48">
        <f>IF(OR($A114="",$E114="",N($E114)&lt;=0),"",$E114+ROW()/1000000)</f>
        <v/>
      </c>
    </row>
    <row r="115">
      <c r="A115" s="39">
        <f>IF('10_CLIENTI'!$A115="","",'10_CLIENTI'!$A115)</f>
        <v/>
      </c>
      <c r="B115" s="39">
        <f>IF($A115="","",IFERROR(INDEX('10_CLIENTI'!$B$5:$B$204,MATCH($A115,'10_CLIENTI'!$A$5:$A$204,0)),""))</f>
        <v/>
      </c>
      <c r="C115" s="39">
        <f>IF($A115="","",IFERROR(INDEX('10_CLIENTI'!$C$5:$C$204,MATCH($A115,'10_CLIENTI'!$A$5:$A$204,0)),""))</f>
        <v/>
      </c>
      <c r="D115" s="39">
        <f>IF($A115="","",IFERROR(INDEX('10_CLIENTI'!$G$5:$G$204,MATCH($A115,'10_CLIENTI'!$A$5:$A$204,0)),""))</f>
        <v/>
      </c>
      <c r="E115" s="24">
        <f>IF($A115="","",SUMIFS('13_VANZARI'!$H$5:$H$1004,'13_VANZARI'!$D$5:$D$1004,$A115,'13_VANZARI'!$A$5:$A$1004,"&gt;="&amp;'09_PARAMETRI'!$B$5,'13_VANZARI'!$A$5:$A$1004,"&lt;="&amp;'09_PARAMETRI'!$B$6))</f>
        <v/>
      </c>
      <c r="F115" s="24">
        <f>IF($A115="","",SUMIFS('13_VANZARI'!$H$5:$H$1004,'13_VANZARI'!$D$5:$D$1004,$A115,'13_VANZARI'!$A$5:$A$1004,"&gt;="&amp;'09_PARAMETRI'!$B$7,'13_VANZARI'!$A$5:$A$1004,"&lt;="&amp;'09_PARAMETRI'!$B$8))</f>
        <v/>
      </c>
      <c r="G115" s="25">
        <f>IF($A115="","",IFERROR(IF($F115=0,"",($E115-$F115)/ABS($F115)),""))</f>
        <v/>
      </c>
      <c r="H115" s="24">
        <f>IF($A115="","",SUMIFS('13_VANZARI'!$K$5:$K$1004,'13_VANZARI'!$D$5:$D$1004,$A115,'13_VANZARI'!$A$5:$A$1004,"&gt;="&amp;'09_PARAMETRI'!$B$5,'13_VANZARI'!$A$5:$A$1004,"&lt;="&amp;'09_PARAMETRI'!$B$6))</f>
        <v/>
      </c>
      <c r="I115" s="25">
        <f>IF($A115="","",IFERROR($H115/$E115,""))</f>
        <v/>
      </c>
      <c r="J115" s="25">
        <f>IF($A115="","",IFERROR($E115/SUMIFS('13_VANZARI'!$H$5:$H$1004,'13_VANZARI'!$A$5:$A$1004,"&gt;="&amp;'09_PARAMETRI'!$B$5,'13_VANZARI'!$A$5:$A$1004,"&lt;="&amp;'09_PARAMETRI'!$B$6),""))</f>
        <v/>
      </c>
      <c r="K115" s="36">
        <f>IF($A115="","",IFERROR(IF(SUMPRODUCT(MAX(('13_VANZARI'!$D$5:$D$1004=$A115)*('13_VANZARI'!$H$5:$H$1004&lt;&gt;"")*'13_VANZARI'!$A$5:$A$1004))=0,"",SUMPRODUCT(MAX(('13_VANZARI'!$D$5:$D$1004=$A115)*('13_VANZARI'!$H$5:$H$1004&lt;&gt;"")*'13_VANZARI'!$A$5:$A$1004))),""))</f>
        <v/>
      </c>
      <c r="L115" s="24">
        <f>IF(OR($A115="",$K115=""),"",'09_PARAMETRI'!$B$9-$K115)</f>
        <v/>
      </c>
      <c r="M115" s="24">
        <f>IF($A115="","",SUMPRODUCT(('11_PRODUSE'!$A$5:$A$104&lt;&gt;"")*(SUMIFS('13_VANZARI'!$H$5:$H$1004,'13_VANZARI'!$D$5:$D$1004,$A115,'13_VANZARI'!$E$5:$E$1004,'11_PRODUSE'!$A$5:$A$104,'13_VANZARI'!$A$5:$A$1004,"&gt;="&amp;'09_PARAMETRI'!$B$5,'13_VANZARI'!$A$5:$A$1004,"&lt;="&amp;'09_PARAMETRI'!$B$6)&lt;&gt;0)))</f>
        <v/>
      </c>
      <c r="N115" s="50">
        <f>IF($A115="","",IFERROR(AVERAGEIFS('15_NPS'!$F$5:$F$504,'15_NPS'!$C$5:$C$504,$A115,'15_NPS'!$B$5:$B$504,"&gt;="&amp;'09_PARAMETRI'!$B$5,'15_NPS'!$B$5:$B$504,"&lt;="&amp;'09_PARAMETRI'!$B$6),""))</f>
        <v/>
      </c>
      <c r="O115" s="39">
        <f>IF($A115="","",IF(AND($F115&gt;0,$E115=0),"Client pierdut",IF(AND($L115&lt;&gt;"",$L115&gt;'09_PARAMETRI'!$B$16,$F115&gt;0),"Client dormant",IF(AND($G115&lt;&gt;"",$G115&lt;='09_PARAMETRI'!$B$13),"Scădere de venit",IF(AND($N115&lt;&gt;"",$N115&lt;7),"Detractor activ",IF(AND($E115&gt;0,$J115&gt;'09_PARAMETRI'!$B$19),"Risc concentrare",IF(AND($E115&gt;0,$I115&lt;&gt;"",$I115&lt;'09_PARAMETRI'!$B$15),"Marjă sub referință",IF(AND($G115&lt;&gt;"",$G115&gt;='09_PARAMETRI'!$B$14),"În creștere",IF($E115=0,"Fără activitate","Stabil")))))))))</f>
        <v/>
      </c>
      <c r="P115" s="39">
        <f>IF($A115="","",IF($O115="Risc concentrare","Risc concentrare",IF($O115="Client pierdut","Recuperare client",IF($O115="Client dormant","Reactivare client",IF($O115="Scădere de venit","Recuperare client",IF($O115="Detractor activ","Recuperare NPS",IF($O115="Marjă sub referință","Marjă / preț",IF($O115="În creștere","Up-sell",IF($O115="Fără activitate","Reactivare client","Cross-sell")))))))))</f>
        <v/>
      </c>
      <c r="Q115" s="24">
        <f>IF($A115="","",IFERROR(IF($O115="Scădere de venit",MAX(0,$F115-$E115),IF(OR($O115="Client pierdut",$O115="Client dormant",$O115="Fără activitate"),$F115,IF($O115="Marjă sub referință",MAX(0,$E115*('09_PARAMETRI'!$B$15-$I115)),$E115*0.15))),""))</f>
        <v/>
      </c>
      <c r="R115" s="48">
        <f>IF(OR($A115="",$E115="",N($E115)&lt;=0),"",$E115+ROW()/1000000)</f>
        <v/>
      </c>
    </row>
    <row r="116">
      <c r="A116" s="39">
        <f>IF('10_CLIENTI'!$A116="","",'10_CLIENTI'!$A116)</f>
        <v/>
      </c>
      <c r="B116" s="39">
        <f>IF($A116="","",IFERROR(INDEX('10_CLIENTI'!$B$5:$B$204,MATCH($A116,'10_CLIENTI'!$A$5:$A$204,0)),""))</f>
        <v/>
      </c>
      <c r="C116" s="39">
        <f>IF($A116="","",IFERROR(INDEX('10_CLIENTI'!$C$5:$C$204,MATCH($A116,'10_CLIENTI'!$A$5:$A$204,0)),""))</f>
        <v/>
      </c>
      <c r="D116" s="39">
        <f>IF($A116="","",IFERROR(INDEX('10_CLIENTI'!$G$5:$G$204,MATCH($A116,'10_CLIENTI'!$A$5:$A$204,0)),""))</f>
        <v/>
      </c>
      <c r="E116" s="24">
        <f>IF($A116="","",SUMIFS('13_VANZARI'!$H$5:$H$1004,'13_VANZARI'!$D$5:$D$1004,$A116,'13_VANZARI'!$A$5:$A$1004,"&gt;="&amp;'09_PARAMETRI'!$B$5,'13_VANZARI'!$A$5:$A$1004,"&lt;="&amp;'09_PARAMETRI'!$B$6))</f>
        <v/>
      </c>
      <c r="F116" s="24">
        <f>IF($A116="","",SUMIFS('13_VANZARI'!$H$5:$H$1004,'13_VANZARI'!$D$5:$D$1004,$A116,'13_VANZARI'!$A$5:$A$1004,"&gt;="&amp;'09_PARAMETRI'!$B$7,'13_VANZARI'!$A$5:$A$1004,"&lt;="&amp;'09_PARAMETRI'!$B$8))</f>
        <v/>
      </c>
      <c r="G116" s="25">
        <f>IF($A116="","",IFERROR(IF($F116=0,"",($E116-$F116)/ABS($F116)),""))</f>
        <v/>
      </c>
      <c r="H116" s="24">
        <f>IF($A116="","",SUMIFS('13_VANZARI'!$K$5:$K$1004,'13_VANZARI'!$D$5:$D$1004,$A116,'13_VANZARI'!$A$5:$A$1004,"&gt;="&amp;'09_PARAMETRI'!$B$5,'13_VANZARI'!$A$5:$A$1004,"&lt;="&amp;'09_PARAMETRI'!$B$6))</f>
        <v/>
      </c>
      <c r="I116" s="25">
        <f>IF($A116="","",IFERROR($H116/$E116,""))</f>
        <v/>
      </c>
      <c r="J116" s="25">
        <f>IF($A116="","",IFERROR($E116/SUMIFS('13_VANZARI'!$H$5:$H$1004,'13_VANZARI'!$A$5:$A$1004,"&gt;="&amp;'09_PARAMETRI'!$B$5,'13_VANZARI'!$A$5:$A$1004,"&lt;="&amp;'09_PARAMETRI'!$B$6),""))</f>
        <v/>
      </c>
      <c r="K116" s="36">
        <f>IF($A116="","",IFERROR(IF(SUMPRODUCT(MAX(('13_VANZARI'!$D$5:$D$1004=$A116)*('13_VANZARI'!$H$5:$H$1004&lt;&gt;"")*'13_VANZARI'!$A$5:$A$1004))=0,"",SUMPRODUCT(MAX(('13_VANZARI'!$D$5:$D$1004=$A116)*('13_VANZARI'!$H$5:$H$1004&lt;&gt;"")*'13_VANZARI'!$A$5:$A$1004))),""))</f>
        <v/>
      </c>
      <c r="L116" s="24">
        <f>IF(OR($A116="",$K116=""),"",'09_PARAMETRI'!$B$9-$K116)</f>
        <v/>
      </c>
      <c r="M116" s="24">
        <f>IF($A116="","",SUMPRODUCT(('11_PRODUSE'!$A$5:$A$104&lt;&gt;"")*(SUMIFS('13_VANZARI'!$H$5:$H$1004,'13_VANZARI'!$D$5:$D$1004,$A116,'13_VANZARI'!$E$5:$E$1004,'11_PRODUSE'!$A$5:$A$104,'13_VANZARI'!$A$5:$A$1004,"&gt;="&amp;'09_PARAMETRI'!$B$5,'13_VANZARI'!$A$5:$A$1004,"&lt;="&amp;'09_PARAMETRI'!$B$6)&lt;&gt;0)))</f>
        <v/>
      </c>
      <c r="N116" s="50">
        <f>IF($A116="","",IFERROR(AVERAGEIFS('15_NPS'!$F$5:$F$504,'15_NPS'!$C$5:$C$504,$A116,'15_NPS'!$B$5:$B$504,"&gt;="&amp;'09_PARAMETRI'!$B$5,'15_NPS'!$B$5:$B$504,"&lt;="&amp;'09_PARAMETRI'!$B$6),""))</f>
        <v/>
      </c>
      <c r="O116" s="39">
        <f>IF($A116="","",IF(AND($F116&gt;0,$E116=0),"Client pierdut",IF(AND($L116&lt;&gt;"",$L116&gt;'09_PARAMETRI'!$B$16,$F116&gt;0),"Client dormant",IF(AND($G116&lt;&gt;"",$G116&lt;='09_PARAMETRI'!$B$13),"Scădere de venit",IF(AND($N116&lt;&gt;"",$N116&lt;7),"Detractor activ",IF(AND($E116&gt;0,$J116&gt;'09_PARAMETRI'!$B$19),"Risc concentrare",IF(AND($E116&gt;0,$I116&lt;&gt;"",$I116&lt;'09_PARAMETRI'!$B$15),"Marjă sub referință",IF(AND($G116&lt;&gt;"",$G116&gt;='09_PARAMETRI'!$B$14),"În creștere",IF($E116=0,"Fără activitate","Stabil")))))))))</f>
        <v/>
      </c>
      <c r="P116" s="39">
        <f>IF($A116="","",IF($O116="Risc concentrare","Risc concentrare",IF($O116="Client pierdut","Recuperare client",IF($O116="Client dormant","Reactivare client",IF($O116="Scădere de venit","Recuperare client",IF($O116="Detractor activ","Recuperare NPS",IF($O116="Marjă sub referință","Marjă / preț",IF($O116="În creștere","Up-sell",IF($O116="Fără activitate","Reactivare client","Cross-sell")))))))))</f>
        <v/>
      </c>
      <c r="Q116" s="24">
        <f>IF($A116="","",IFERROR(IF($O116="Scădere de venit",MAX(0,$F116-$E116),IF(OR($O116="Client pierdut",$O116="Client dormant",$O116="Fără activitate"),$F116,IF($O116="Marjă sub referință",MAX(0,$E116*('09_PARAMETRI'!$B$15-$I116)),$E116*0.15))),""))</f>
        <v/>
      </c>
      <c r="R116" s="48">
        <f>IF(OR($A116="",$E116="",N($E116)&lt;=0),"",$E116+ROW()/1000000)</f>
        <v/>
      </c>
    </row>
    <row r="117">
      <c r="A117" s="39">
        <f>IF('10_CLIENTI'!$A117="","",'10_CLIENTI'!$A117)</f>
        <v/>
      </c>
      <c r="B117" s="39">
        <f>IF($A117="","",IFERROR(INDEX('10_CLIENTI'!$B$5:$B$204,MATCH($A117,'10_CLIENTI'!$A$5:$A$204,0)),""))</f>
        <v/>
      </c>
      <c r="C117" s="39">
        <f>IF($A117="","",IFERROR(INDEX('10_CLIENTI'!$C$5:$C$204,MATCH($A117,'10_CLIENTI'!$A$5:$A$204,0)),""))</f>
        <v/>
      </c>
      <c r="D117" s="39">
        <f>IF($A117="","",IFERROR(INDEX('10_CLIENTI'!$G$5:$G$204,MATCH($A117,'10_CLIENTI'!$A$5:$A$204,0)),""))</f>
        <v/>
      </c>
      <c r="E117" s="24">
        <f>IF($A117="","",SUMIFS('13_VANZARI'!$H$5:$H$1004,'13_VANZARI'!$D$5:$D$1004,$A117,'13_VANZARI'!$A$5:$A$1004,"&gt;="&amp;'09_PARAMETRI'!$B$5,'13_VANZARI'!$A$5:$A$1004,"&lt;="&amp;'09_PARAMETRI'!$B$6))</f>
        <v/>
      </c>
      <c r="F117" s="24">
        <f>IF($A117="","",SUMIFS('13_VANZARI'!$H$5:$H$1004,'13_VANZARI'!$D$5:$D$1004,$A117,'13_VANZARI'!$A$5:$A$1004,"&gt;="&amp;'09_PARAMETRI'!$B$7,'13_VANZARI'!$A$5:$A$1004,"&lt;="&amp;'09_PARAMETRI'!$B$8))</f>
        <v/>
      </c>
      <c r="G117" s="25">
        <f>IF($A117="","",IFERROR(IF($F117=0,"",($E117-$F117)/ABS($F117)),""))</f>
        <v/>
      </c>
      <c r="H117" s="24">
        <f>IF($A117="","",SUMIFS('13_VANZARI'!$K$5:$K$1004,'13_VANZARI'!$D$5:$D$1004,$A117,'13_VANZARI'!$A$5:$A$1004,"&gt;="&amp;'09_PARAMETRI'!$B$5,'13_VANZARI'!$A$5:$A$1004,"&lt;="&amp;'09_PARAMETRI'!$B$6))</f>
        <v/>
      </c>
      <c r="I117" s="25">
        <f>IF($A117="","",IFERROR($H117/$E117,""))</f>
        <v/>
      </c>
      <c r="J117" s="25">
        <f>IF($A117="","",IFERROR($E117/SUMIFS('13_VANZARI'!$H$5:$H$1004,'13_VANZARI'!$A$5:$A$1004,"&gt;="&amp;'09_PARAMETRI'!$B$5,'13_VANZARI'!$A$5:$A$1004,"&lt;="&amp;'09_PARAMETRI'!$B$6),""))</f>
        <v/>
      </c>
      <c r="K117" s="36">
        <f>IF($A117="","",IFERROR(IF(SUMPRODUCT(MAX(('13_VANZARI'!$D$5:$D$1004=$A117)*('13_VANZARI'!$H$5:$H$1004&lt;&gt;"")*'13_VANZARI'!$A$5:$A$1004))=0,"",SUMPRODUCT(MAX(('13_VANZARI'!$D$5:$D$1004=$A117)*('13_VANZARI'!$H$5:$H$1004&lt;&gt;"")*'13_VANZARI'!$A$5:$A$1004))),""))</f>
        <v/>
      </c>
      <c r="L117" s="24">
        <f>IF(OR($A117="",$K117=""),"",'09_PARAMETRI'!$B$9-$K117)</f>
        <v/>
      </c>
      <c r="M117" s="24">
        <f>IF($A117="","",SUMPRODUCT(('11_PRODUSE'!$A$5:$A$104&lt;&gt;"")*(SUMIFS('13_VANZARI'!$H$5:$H$1004,'13_VANZARI'!$D$5:$D$1004,$A117,'13_VANZARI'!$E$5:$E$1004,'11_PRODUSE'!$A$5:$A$104,'13_VANZARI'!$A$5:$A$1004,"&gt;="&amp;'09_PARAMETRI'!$B$5,'13_VANZARI'!$A$5:$A$1004,"&lt;="&amp;'09_PARAMETRI'!$B$6)&lt;&gt;0)))</f>
        <v/>
      </c>
      <c r="N117" s="50">
        <f>IF($A117="","",IFERROR(AVERAGEIFS('15_NPS'!$F$5:$F$504,'15_NPS'!$C$5:$C$504,$A117,'15_NPS'!$B$5:$B$504,"&gt;="&amp;'09_PARAMETRI'!$B$5,'15_NPS'!$B$5:$B$504,"&lt;="&amp;'09_PARAMETRI'!$B$6),""))</f>
        <v/>
      </c>
      <c r="O117" s="39">
        <f>IF($A117="","",IF(AND($F117&gt;0,$E117=0),"Client pierdut",IF(AND($L117&lt;&gt;"",$L117&gt;'09_PARAMETRI'!$B$16,$F117&gt;0),"Client dormant",IF(AND($G117&lt;&gt;"",$G117&lt;='09_PARAMETRI'!$B$13),"Scădere de venit",IF(AND($N117&lt;&gt;"",$N117&lt;7),"Detractor activ",IF(AND($E117&gt;0,$J117&gt;'09_PARAMETRI'!$B$19),"Risc concentrare",IF(AND($E117&gt;0,$I117&lt;&gt;"",$I117&lt;'09_PARAMETRI'!$B$15),"Marjă sub referință",IF(AND($G117&lt;&gt;"",$G117&gt;='09_PARAMETRI'!$B$14),"În creștere",IF($E117=0,"Fără activitate","Stabil")))))))))</f>
        <v/>
      </c>
      <c r="P117" s="39">
        <f>IF($A117="","",IF($O117="Risc concentrare","Risc concentrare",IF($O117="Client pierdut","Recuperare client",IF($O117="Client dormant","Reactivare client",IF($O117="Scădere de venit","Recuperare client",IF($O117="Detractor activ","Recuperare NPS",IF($O117="Marjă sub referință","Marjă / preț",IF($O117="În creștere","Up-sell",IF($O117="Fără activitate","Reactivare client","Cross-sell")))))))))</f>
        <v/>
      </c>
      <c r="Q117" s="24">
        <f>IF($A117="","",IFERROR(IF($O117="Scădere de venit",MAX(0,$F117-$E117),IF(OR($O117="Client pierdut",$O117="Client dormant",$O117="Fără activitate"),$F117,IF($O117="Marjă sub referință",MAX(0,$E117*('09_PARAMETRI'!$B$15-$I117)),$E117*0.15))),""))</f>
        <v/>
      </c>
      <c r="R117" s="48">
        <f>IF(OR($A117="",$E117="",N($E117)&lt;=0),"",$E117+ROW()/1000000)</f>
        <v/>
      </c>
    </row>
    <row r="118">
      <c r="A118" s="39">
        <f>IF('10_CLIENTI'!$A118="","",'10_CLIENTI'!$A118)</f>
        <v/>
      </c>
      <c r="B118" s="39">
        <f>IF($A118="","",IFERROR(INDEX('10_CLIENTI'!$B$5:$B$204,MATCH($A118,'10_CLIENTI'!$A$5:$A$204,0)),""))</f>
        <v/>
      </c>
      <c r="C118" s="39">
        <f>IF($A118="","",IFERROR(INDEX('10_CLIENTI'!$C$5:$C$204,MATCH($A118,'10_CLIENTI'!$A$5:$A$204,0)),""))</f>
        <v/>
      </c>
      <c r="D118" s="39">
        <f>IF($A118="","",IFERROR(INDEX('10_CLIENTI'!$G$5:$G$204,MATCH($A118,'10_CLIENTI'!$A$5:$A$204,0)),""))</f>
        <v/>
      </c>
      <c r="E118" s="24">
        <f>IF($A118="","",SUMIFS('13_VANZARI'!$H$5:$H$1004,'13_VANZARI'!$D$5:$D$1004,$A118,'13_VANZARI'!$A$5:$A$1004,"&gt;="&amp;'09_PARAMETRI'!$B$5,'13_VANZARI'!$A$5:$A$1004,"&lt;="&amp;'09_PARAMETRI'!$B$6))</f>
        <v/>
      </c>
      <c r="F118" s="24">
        <f>IF($A118="","",SUMIFS('13_VANZARI'!$H$5:$H$1004,'13_VANZARI'!$D$5:$D$1004,$A118,'13_VANZARI'!$A$5:$A$1004,"&gt;="&amp;'09_PARAMETRI'!$B$7,'13_VANZARI'!$A$5:$A$1004,"&lt;="&amp;'09_PARAMETRI'!$B$8))</f>
        <v/>
      </c>
      <c r="G118" s="25">
        <f>IF($A118="","",IFERROR(IF($F118=0,"",($E118-$F118)/ABS($F118)),""))</f>
        <v/>
      </c>
      <c r="H118" s="24">
        <f>IF($A118="","",SUMIFS('13_VANZARI'!$K$5:$K$1004,'13_VANZARI'!$D$5:$D$1004,$A118,'13_VANZARI'!$A$5:$A$1004,"&gt;="&amp;'09_PARAMETRI'!$B$5,'13_VANZARI'!$A$5:$A$1004,"&lt;="&amp;'09_PARAMETRI'!$B$6))</f>
        <v/>
      </c>
      <c r="I118" s="25">
        <f>IF($A118="","",IFERROR($H118/$E118,""))</f>
        <v/>
      </c>
      <c r="J118" s="25">
        <f>IF($A118="","",IFERROR($E118/SUMIFS('13_VANZARI'!$H$5:$H$1004,'13_VANZARI'!$A$5:$A$1004,"&gt;="&amp;'09_PARAMETRI'!$B$5,'13_VANZARI'!$A$5:$A$1004,"&lt;="&amp;'09_PARAMETRI'!$B$6),""))</f>
        <v/>
      </c>
      <c r="K118" s="36">
        <f>IF($A118="","",IFERROR(IF(SUMPRODUCT(MAX(('13_VANZARI'!$D$5:$D$1004=$A118)*('13_VANZARI'!$H$5:$H$1004&lt;&gt;"")*'13_VANZARI'!$A$5:$A$1004))=0,"",SUMPRODUCT(MAX(('13_VANZARI'!$D$5:$D$1004=$A118)*('13_VANZARI'!$H$5:$H$1004&lt;&gt;"")*'13_VANZARI'!$A$5:$A$1004))),""))</f>
        <v/>
      </c>
      <c r="L118" s="24">
        <f>IF(OR($A118="",$K118=""),"",'09_PARAMETRI'!$B$9-$K118)</f>
        <v/>
      </c>
      <c r="M118" s="24">
        <f>IF($A118="","",SUMPRODUCT(('11_PRODUSE'!$A$5:$A$104&lt;&gt;"")*(SUMIFS('13_VANZARI'!$H$5:$H$1004,'13_VANZARI'!$D$5:$D$1004,$A118,'13_VANZARI'!$E$5:$E$1004,'11_PRODUSE'!$A$5:$A$104,'13_VANZARI'!$A$5:$A$1004,"&gt;="&amp;'09_PARAMETRI'!$B$5,'13_VANZARI'!$A$5:$A$1004,"&lt;="&amp;'09_PARAMETRI'!$B$6)&lt;&gt;0)))</f>
        <v/>
      </c>
      <c r="N118" s="50">
        <f>IF($A118="","",IFERROR(AVERAGEIFS('15_NPS'!$F$5:$F$504,'15_NPS'!$C$5:$C$504,$A118,'15_NPS'!$B$5:$B$504,"&gt;="&amp;'09_PARAMETRI'!$B$5,'15_NPS'!$B$5:$B$504,"&lt;="&amp;'09_PARAMETRI'!$B$6),""))</f>
        <v/>
      </c>
      <c r="O118" s="39">
        <f>IF($A118="","",IF(AND($F118&gt;0,$E118=0),"Client pierdut",IF(AND($L118&lt;&gt;"",$L118&gt;'09_PARAMETRI'!$B$16,$F118&gt;0),"Client dormant",IF(AND($G118&lt;&gt;"",$G118&lt;='09_PARAMETRI'!$B$13),"Scădere de venit",IF(AND($N118&lt;&gt;"",$N118&lt;7),"Detractor activ",IF(AND($E118&gt;0,$J118&gt;'09_PARAMETRI'!$B$19),"Risc concentrare",IF(AND($E118&gt;0,$I118&lt;&gt;"",$I118&lt;'09_PARAMETRI'!$B$15),"Marjă sub referință",IF(AND($G118&lt;&gt;"",$G118&gt;='09_PARAMETRI'!$B$14),"În creștere",IF($E118=0,"Fără activitate","Stabil")))))))))</f>
        <v/>
      </c>
      <c r="P118" s="39">
        <f>IF($A118="","",IF($O118="Risc concentrare","Risc concentrare",IF($O118="Client pierdut","Recuperare client",IF($O118="Client dormant","Reactivare client",IF($O118="Scădere de venit","Recuperare client",IF($O118="Detractor activ","Recuperare NPS",IF($O118="Marjă sub referință","Marjă / preț",IF($O118="În creștere","Up-sell",IF($O118="Fără activitate","Reactivare client","Cross-sell")))))))))</f>
        <v/>
      </c>
      <c r="Q118" s="24">
        <f>IF($A118="","",IFERROR(IF($O118="Scădere de venit",MAX(0,$F118-$E118),IF(OR($O118="Client pierdut",$O118="Client dormant",$O118="Fără activitate"),$F118,IF($O118="Marjă sub referință",MAX(0,$E118*('09_PARAMETRI'!$B$15-$I118)),$E118*0.15))),""))</f>
        <v/>
      </c>
      <c r="R118" s="48">
        <f>IF(OR($A118="",$E118="",N($E118)&lt;=0),"",$E118+ROW()/1000000)</f>
        <v/>
      </c>
    </row>
    <row r="119">
      <c r="A119" s="39">
        <f>IF('10_CLIENTI'!$A119="","",'10_CLIENTI'!$A119)</f>
        <v/>
      </c>
      <c r="B119" s="39">
        <f>IF($A119="","",IFERROR(INDEX('10_CLIENTI'!$B$5:$B$204,MATCH($A119,'10_CLIENTI'!$A$5:$A$204,0)),""))</f>
        <v/>
      </c>
      <c r="C119" s="39">
        <f>IF($A119="","",IFERROR(INDEX('10_CLIENTI'!$C$5:$C$204,MATCH($A119,'10_CLIENTI'!$A$5:$A$204,0)),""))</f>
        <v/>
      </c>
      <c r="D119" s="39">
        <f>IF($A119="","",IFERROR(INDEX('10_CLIENTI'!$G$5:$G$204,MATCH($A119,'10_CLIENTI'!$A$5:$A$204,0)),""))</f>
        <v/>
      </c>
      <c r="E119" s="24">
        <f>IF($A119="","",SUMIFS('13_VANZARI'!$H$5:$H$1004,'13_VANZARI'!$D$5:$D$1004,$A119,'13_VANZARI'!$A$5:$A$1004,"&gt;="&amp;'09_PARAMETRI'!$B$5,'13_VANZARI'!$A$5:$A$1004,"&lt;="&amp;'09_PARAMETRI'!$B$6))</f>
        <v/>
      </c>
      <c r="F119" s="24">
        <f>IF($A119="","",SUMIFS('13_VANZARI'!$H$5:$H$1004,'13_VANZARI'!$D$5:$D$1004,$A119,'13_VANZARI'!$A$5:$A$1004,"&gt;="&amp;'09_PARAMETRI'!$B$7,'13_VANZARI'!$A$5:$A$1004,"&lt;="&amp;'09_PARAMETRI'!$B$8))</f>
        <v/>
      </c>
      <c r="G119" s="25">
        <f>IF($A119="","",IFERROR(IF($F119=0,"",($E119-$F119)/ABS($F119)),""))</f>
        <v/>
      </c>
      <c r="H119" s="24">
        <f>IF($A119="","",SUMIFS('13_VANZARI'!$K$5:$K$1004,'13_VANZARI'!$D$5:$D$1004,$A119,'13_VANZARI'!$A$5:$A$1004,"&gt;="&amp;'09_PARAMETRI'!$B$5,'13_VANZARI'!$A$5:$A$1004,"&lt;="&amp;'09_PARAMETRI'!$B$6))</f>
        <v/>
      </c>
      <c r="I119" s="25">
        <f>IF($A119="","",IFERROR($H119/$E119,""))</f>
        <v/>
      </c>
      <c r="J119" s="25">
        <f>IF($A119="","",IFERROR($E119/SUMIFS('13_VANZARI'!$H$5:$H$1004,'13_VANZARI'!$A$5:$A$1004,"&gt;="&amp;'09_PARAMETRI'!$B$5,'13_VANZARI'!$A$5:$A$1004,"&lt;="&amp;'09_PARAMETRI'!$B$6),""))</f>
        <v/>
      </c>
      <c r="K119" s="36">
        <f>IF($A119="","",IFERROR(IF(SUMPRODUCT(MAX(('13_VANZARI'!$D$5:$D$1004=$A119)*('13_VANZARI'!$H$5:$H$1004&lt;&gt;"")*'13_VANZARI'!$A$5:$A$1004))=0,"",SUMPRODUCT(MAX(('13_VANZARI'!$D$5:$D$1004=$A119)*('13_VANZARI'!$H$5:$H$1004&lt;&gt;"")*'13_VANZARI'!$A$5:$A$1004))),""))</f>
        <v/>
      </c>
      <c r="L119" s="24">
        <f>IF(OR($A119="",$K119=""),"",'09_PARAMETRI'!$B$9-$K119)</f>
        <v/>
      </c>
      <c r="M119" s="24">
        <f>IF($A119="","",SUMPRODUCT(('11_PRODUSE'!$A$5:$A$104&lt;&gt;"")*(SUMIFS('13_VANZARI'!$H$5:$H$1004,'13_VANZARI'!$D$5:$D$1004,$A119,'13_VANZARI'!$E$5:$E$1004,'11_PRODUSE'!$A$5:$A$104,'13_VANZARI'!$A$5:$A$1004,"&gt;="&amp;'09_PARAMETRI'!$B$5,'13_VANZARI'!$A$5:$A$1004,"&lt;="&amp;'09_PARAMETRI'!$B$6)&lt;&gt;0)))</f>
        <v/>
      </c>
      <c r="N119" s="50">
        <f>IF($A119="","",IFERROR(AVERAGEIFS('15_NPS'!$F$5:$F$504,'15_NPS'!$C$5:$C$504,$A119,'15_NPS'!$B$5:$B$504,"&gt;="&amp;'09_PARAMETRI'!$B$5,'15_NPS'!$B$5:$B$504,"&lt;="&amp;'09_PARAMETRI'!$B$6),""))</f>
        <v/>
      </c>
      <c r="O119" s="39">
        <f>IF($A119="","",IF(AND($F119&gt;0,$E119=0),"Client pierdut",IF(AND($L119&lt;&gt;"",$L119&gt;'09_PARAMETRI'!$B$16,$F119&gt;0),"Client dormant",IF(AND($G119&lt;&gt;"",$G119&lt;='09_PARAMETRI'!$B$13),"Scădere de venit",IF(AND($N119&lt;&gt;"",$N119&lt;7),"Detractor activ",IF(AND($E119&gt;0,$J119&gt;'09_PARAMETRI'!$B$19),"Risc concentrare",IF(AND($E119&gt;0,$I119&lt;&gt;"",$I119&lt;'09_PARAMETRI'!$B$15),"Marjă sub referință",IF(AND($G119&lt;&gt;"",$G119&gt;='09_PARAMETRI'!$B$14),"În creștere",IF($E119=0,"Fără activitate","Stabil")))))))))</f>
        <v/>
      </c>
      <c r="P119" s="39">
        <f>IF($A119="","",IF($O119="Risc concentrare","Risc concentrare",IF($O119="Client pierdut","Recuperare client",IF($O119="Client dormant","Reactivare client",IF($O119="Scădere de venit","Recuperare client",IF($O119="Detractor activ","Recuperare NPS",IF($O119="Marjă sub referință","Marjă / preț",IF($O119="În creștere","Up-sell",IF($O119="Fără activitate","Reactivare client","Cross-sell")))))))))</f>
        <v/>
      </c>
      <c r="Q119" s="24">
        <f>IF($A119="","",IFERROR(IF($O119="Scădere de venit",MAX(0,$F119-$E119),IF(OR($O119="Client pierdut",$O119="Client dormant",$O119="Fără activitate"),$F119,IF($O119="Marjă sub referință",MAX(0,$E119*('09_PARAMETRI'!$B$15-$I119)),$E119*0.15))),""))</f>
        <v/>
      </c>
      <c r="R119" s="48">
        <f>IF(OR($A119="",$E119="",N($E119)&lt;=0),"",$E119+ROW()/1000000)</f>
        <v/>
      </c>
    </row>
    <row r="120">
      <c r="A120" s="39">
        <f>IF('10_CLIENTI'!$A120="","",'10_CLIENTI'!$A120)</f>
        <v/>
      </c>
      <c r="B120" s="39">
        <f>IF($A120="","",IFERROR(INDEX('10_CLIENTI'!$B$5:$B$204,MATCH($A120,'10_CLIENTI'!$A$5:$A$204,0)),""))</f>
        <v/>
      </c>
      <c r="C120" s="39">
        <f>IF($A120="","",IFERROR(INDEX('10_CLIENTI'!$C$5:$C$204,MATCH($A120,'10_CLIENTI'!$A$5:$A$204,0)),""))</f>
        <v/>
      </c>
      <c r="D120" s="39">
        <f>IF($A120="","",IFERROR(INDEX('10_CLIENTI'!$G$5:$G$204,MATCH($A120,'10_CLIENTI'!$A$5:$A$204,0)),""))</f>
        <v/>
      </c>
      <c r="E120" s="24">
        <f>IF($A120="","",SUMIFS('13_VANZARI'!$H$5:$H$1004,'13_VANZARI'!$D$5:$D$1004,$A120,'13_VANZARI'!$A$5:$A$1004,"&gt;="&amp;'09_PARAMETRI'!$B$5,'13_VANZARI'!$A$5:$A$1004,"&lt;="&amp;'09_PARAMETRI'!$B$6))</f>
        <v/>
      </c>
      <c r="F120" s="24">
        <f>IF($A120="","",SUMIFS('13_VANZARI'!$H$5:$H$1004,'13_VANZARI'!$D$5:$D$1004,$A120,'13_VANZARI'!$A$5:$A$1004,"&gt;="&amp;'09_PARAMETRI'!$B$7,'13_VANZARI'!$A$5:$A$1004,"&lt;="&amp;'09_PARAMETRI'!$B$8))</f>
        <v/>
      </c>
      <c r="G120" s="25">
        <f>IF($A120="","",IFERROR(IF($F120=0,"",($E120-$F120)/ABS($F120)),""))</f>
        <v/>
      </c>
      <c r="H120" s="24">
        <f>IF($A120="","",SUMIFS('13_VANZARI'!$K$5:$K$1004,'13_VANZARI'!$D$5:$D$1004,$A120,'13_VANZARI'!$A$5:$A$1004,"&gt;="&amp;'09_PARAMETRI'!$B$5,'13_VANZARI'!$A$5:$A$1004,"&lt;="&amp;'09_PARAMETRI'!$B$6))</f>
        <v/>
      </c>
      <c r="I120" s="25">
        <f>IF($A120="","",IFERROR($H120/$E120,""))</f>
        <v/>
      </c>
      <c r="J120" s="25">
        <f>IF($A120="","",IFERROR($E120/SUMIFS('13_VANZARI'!$H$5:$H$1004,'13_VANZARI'!$A$5:$A$1004,"&gt;="&amp;'09_PARAMETRI'!$B$5,'13_VANZARI'!$A$5:$A$1004,"&lt;="&amp;'09_PARAMETRI'!$B$6),""))</f>
        <v/>
      </c>
      <c r="K120" s="36">
        <f>IF($A120="","",IFERROR(IF(SUMPRODUCT(MAX(('13_VANZARI'!$D$5:$D$1004=$A120)*('13_VANZARI'!$H$5:$H$1004&lt;&gt;"")*'13_VANZARI'!$A$5:$A$1004))=0,"",SUMPRODUCT(MAX(('13_VANZARI'!$D$5:$D$1004=$A120)*('13_VANZARI'!$H$5:$H$1004&lt;&gt;"")*'13_VANZARI'!$A$5:$A$1004))),""))</f>
        <v/>
      </c>
      <c r="L120" s="24">
        <f>IF(OR($A120="",$K120=""),"",'09_PARAMETRI'!$B$9-$K120)</f>
        <v/>
      </c>
      <c r="M120" s="24">
        <f>IF($A120="","",SUMPRODUCT(('11_PRODUSE'!$A$5:$A$104&lt;&gt;"")*(SUMIFS('13_VANZARI'!$H$5:$H$1004,'13_VANZARI'!$D$5:$D$1004,$A120,'13_VANZARI'!$E$5:$E$1004,'11_PRODUSE'!$A$5:$A$104,'13_VANZARI'!$A$5:$A$1004,"&gt;="&amp;'09_PARAMETRI'!$B$5,'13_VANZARI'!$A$5:$A$1004,"&lt;="&amp;'09_PARAMETRI'!$B$6)&lt;&gt;0)))</f>
        <v/>
      </c>
      <c r="N120" s="50">
        <f>IF($A120="","",IFERROR(AVERAGEIFS('15_NPS'!$F$5:$F$504,'15_NPS'!$C$5:$C$504,$A120,'15_NPS'!$B$5:$B$504,"&gt;="&amp;'09_PARAMETRI'!$B$5,'15_NPS'!$B$5:$B$504,"&lt;="&amp;'09_PARAMETRI'!$B$6),""))</f>
        <v/>
      </c>
      <c r="O120" s="39">
        <f>IF($A120="","",IF(AND($F120&gt;0,$E120=0),"Client pierdut",IF(AND($L120&lt;&gt;"",$L120&gt;'09_PARAMETRI'!$B$16,$F120&gt;0),"Client dormant",IF(AND($G120&lt;&gt;"",$G120&lt;='09_PARAMETRI'!$B$13),"Scădere de venit",IF(AND($N120&lt;&gt;"",$N120&lt;7),"Detractor activ",IF(AND($E120&gt;0,$J120&gt;'09_PARAMETRI'!$B$19),"Risc concentrare",IF(AND($E120&gt;0,$I120&lt;&gt;"",$I120&lt;'09_PARAMETRI'!$B$15),"Marjă sub referință",IF(AND($G120&lt;&gt;"",$G120&gt;='09_PARAMETRI'!$B$14),"În creștere",IF($E120=0,"Fără activitate","Stabil")))))))))</f>
        <v/>
      </c>
      <c r="P120" s="39">
        <f>IF($A120="","",IF($O120="Risc concentrare","Risc concentrare",IF($O120="Client pierdut","Recuperare client",IF($O120="Client dormant","Reactivare client",IF($O120="Scădere de venit","Recuperare client",IF($O120="Detractor activ","Recuperare NPS",IF($O120="Marjă sub referință","Marjă / preț",IF($O120="În creștere","Up-sell",IF($O120="Fără activitate","Reactivare client","Cross-sell")))))))))</f>
        <v/>
      </c>
      <c r="Q120" s="24">
        <f>IF($A120="","",IFERROR(IF($O120="Scădere de venit",MAX(0,$F120-$E120),IF(OR($O120="Client pierdut",$O120="Client dormant",$O120="Fără activitate"),$F120,IF($O120="Marjă sub referință",MAX(0,$E120*('09_PARAMETRI'!$B$15-$I120)),$E120*0.15))),""))</f>
        <v/>
      </c>
      <c r="R120" s="48">
        <f>IF(OR($A120="",$E120="",N($E120)&lt;=0),"",$E120+ROW()/1000000)</f>
        <v/>
      </c>
    </row>
    <row r="121">
      <c r="A121" s="39">
        <f>IF('10_CLIENTI'!$A121="","",'10_CLIENTI'!$A121)</f>
        <v/>
      </c>
      <c r="B121" s="39">
        <f>IF($A121="","",IFERROR(INDEX('10_CLIENTI'!$B$5:$B$204,MATCH($A121,'10_CLIENTI'!$A$5:$A$204,0)),""))</f>
        <v/>
      </c>
      <c r="C121" s="39">
        <f>IF($A121="","",IFERROR(INDEX('10_CLIENTI'!$C$5:$C$204,MATCH($A121,'10_CLIENTI'!$A$5:$A$204,0)),""))</f>
        <v/>
      </c>
      <c r="D121" s="39">
        <f>IF($A121="","",IFERROR(INDEX('10_CLIENTI'!$G$5:$G$204,MATCH($A121,'10_CLIENTI'!$A$5:$A$204,0)),""))</f>
        <v/>
      </c>
      <c r="E121" s="24">
        <f>IF($A121="","",SUMIFS('13_VANZARI'!$H$5:$H$1004,'13_VANZARI'!$D$5:$D$1004,$A121,'13_VANZARI'!$A$5:$A$1004,"&gt;="&amp;'09_PARAMETRI'!$B$5,'13_VANZARI'!$A$5:$A$1004,"&lt;="&amp;'09_PARAMETRI'!$B$6))</f>
        <v/>
      </c>
      <c r="F121" s="24">
        <f>IF($A121="","",SUMIFS('13_VANZARI'!$H$5:$H$1004,'13_VANZARI'!$D$5:$D$1004,$A121,'13_VANZARI'!$A$5:$A$1004,"&gt;="&amp;'09_PARAMETRI'!$B$7,'13_VANZARI'!$A$5:$A$1004,"&lt;="&amp;'09_PARAMETRI'!$B$8))</f>
        <v/>
      </c>
      <c r="G121" s="25">
        <f>IF($A121="","",IFERROR(IF($F121=0,"",($E121-$F121)/ABS($F121)),""))</f>
        <v/>
      </c>
      <c r="H121" s="24">
        <f>IF($A121="","",SUMIFS('13_VANZARI'!$K$5:$K$1004,'13_VANZARI'!$D$5:$D$1004,$A121,'13_VANZARI'!$A$5:$A$1004,"&gt;="&amp;'09_PARAMETRI'!$B$5,'13_VANZARI'!$A$5:$A$1004,"&lt;="&amp;'09_PARAMETRI'!$B$6))</f>
        <v/>
      </c>
      <c r="I121" s="25">
        <f>IF($A121="","",IFERROR($H121/$E121,""))</f>
        <v/>
      </c>
      <c r="J121" s="25">
        <f>IF($A121="","",IFERROR($E121/SUMIFS('13_VANZARI'!$H$5:$H$1004,'13_VANZARI'!$A$5:$A$1004,"&gt;="&amp;'09_PARAMETRI'!$B$5,'13_VANZARI'!$A$5:$A$1004,"&lt;="&amp;'09_PARAMETRI'!$B$6),""))</f>
        <v/>
      </c>
      <c r="K121" s="36">
        <f>IF($A121="","",IFERROR(IF(SUMPRODUCT(MAX(('13_VANZARI'!$D$5:$D$1004=$A121)*('13_VANZARI'!$H$5:$H$1004&lt;&gt;"")*'13_VANZARI'!$A$5:$A$1004))=0,"",SUMPRODUCT(MAX(('13_VANZARI'!$D$5:$D$1004=$A121)*('13_VANZARI'!$H$5:$H$1004&lt;&gt;"")*'13_VANZARI'!$A$5:$A$1004))),""))</f>
        <v/>
      </c>
      <c r="L121" s="24">
        <f>IF(OR($A121="",$K121=""),"",'09_PARAMETRI'!$B$9-$K121)</f>
        <v/>
      </c>
      <c r="M121" s="24">
        <f>IF($A121="","",SUMPRODUCT(('11_PRODUSE'!$A$5:$A$104&lt;&gt;"")*(SUMIFS('13_VANZARI'!$H$5:$H$1004,'13_VANZARI'!$D$5:$D$1004,$A121,'13_VANZARI'!$E$5:$E$1004,'11_PRODUSE'!$A$5:$A$104,'13_VANZARI'!$A$5:$A$1004,"&gt;="&amp;'09_PARAMETRI'!$B$5,'13_VANZARI'!$A$5:$A$1004,"&lt;="&amp;'09_PARAMETRI'!$B$6)&lt;&gt;0)))</f>
        <v/>
      </c>
      <c r="N121" s="50">
        <f>IF($A121="","",IFERROR(AVERAGEIFS('15_NPS'!$F$5:$F$504,'15_NPS'!$C$5:$C$504,$A121,'15_NPS'!$B$5:$B$504,"&gt;="&amp;'09_PARAMETRI'!$B$5,'15_NPS'!$B$5:$B$504,"&lt;="&amp;'09_PARAMETRI'!$B$6),""))</f>
        <v/>
      </c>
      <c r="O121" s="39">
        <f>IF($A121="","",IF(AND($F121&gt;0,$E121=0),"Client pierdut",IF(AND($L121&lt;&gt;"",$L121&gt;'09_PARAMETRI'!$B$16,$F121&gt;0),"Client dormant",IF(AND($G121&lt;&gt;"",$G121&lt;='09_PARAMETRI'!$B$13),"Scădere de venit",IF(AND($N121&lt;&gt;"",$N121&lt;7),"Detractor activ",IF(AND($E121&gt;0,$J121&gt;'09_PARAMETRI'!$B$19),"Risc concentrare",IF(AND($E121&gt;0,$I121&lt;&gt;"",$I121&lt;'09_PARAMETRI'!$B$15),"Marjă sub referință",IF(AND($G121&lt;&gt;"",$G121&gt;='09_PARAMETRI'!$B$14),"În creștere",IF($E121=0,"Fără activitate","Stabil")))))))))</f>
        <v/>
      </c>
      <c r="P121" s="39">
        <f>IF($A121="","",IF($O121="Risc concentrare","Risc concentrare",IF($O121="Client pierdut","Recuperare client",IF($O121="Client dormant","Reactivare client",IF($O121="Scădere de venit","Recuperare client",IF($O121="Detractor activ","Recuperare NPS",IF($O121="Marjă sub referință","Marjă / preț",IF($O121="În creștere","Up-sell",IF($O121="Fără activitate","Reactivare client","Cross-sell")))))))))</f>
        <v/>
      </c>
      <c r="Q121" s="24">
        <f>IF($A121="","",IFERROR(IF($O121="Scădere de venit",MAX(0,$F121-$E121),IF(OR($O121="Client pierdut",$O121="Client dormant",$O121="Fără activitate"),$F121,IF($O121="Marjă sub referință",MAX(0,$E121*('09_PARAMETRI'!$B$15-$I121)),$E121*0.15))),""))</f>
        <v/>
      </c>
      <c r="R121" s="48">
        <f>IF(OR($A121="",$E121="",N($E121)&lt;=0),"",$E121+ROW()/1000000)</f>
        <v/>
      </c>
    </row>
    <row r="122">
      <c r="A122" s="39">
        <f>IF('10_CLIENTI'!$A122="","",'10_CLIENTI'!$A122)</f>
        <v/>
      </c>
      <c r="B122" s="39">
        <f>IF($A122="","",IFERROR(INDEX('10_CLIENTI'!$B$5:$B$204,MATCH($A122,'10_CLIENTI'!$A$5:$A$204,0)),""))</f>
        <v/>
      </c>
      <c r="C122" s="39">
        <f>IF($A122="","",IFERROR(INDEX('10_CLIENTI'!$C$5:$C$204,MATCH($A122,'10_CLIENTI'!$A$5:$A$204,0)),""))</f>
        <v/>
      </c>
      <c r="D122" s="39">
        <f>IF($A122="","",IFERROR(INDEX('10_CLIENTI'!$G$5:$G$204,MATCH($A122,'10_CLIENTI'!$A$5:$A$204,0)),""))</f>
        <v/>
      </c>
      <c r="E122" s="24">
        <f>IF($A122="","",SUMIFS('13_VANZARI'!$H$5:$H$1004,'13_VANZARI'!$D$5:$D$1004,$A122,'13_VANZARI'!$A$5:$A$1004,"&gt;="&amp;'09_PARAMETRI'!$B$5,'13_VANZARI'!$A$5:$A$1004,"&lt;="&amp;'09_PARAMETRI'!$B$6))</f>
        <v/>
      </c>
      <c r="F122" s="24">
        <f>IF($A122="","",SUMIFS('13_VANZARI'!$H$5:$H$1004,'13_VANZARI'!$D$5:$D$1004,$A122,'13_VANZARI'!$A$5:$A$1004,"&gt;="&amp;'09_PARAMETRI'!$B$7,'13_VANZARI'!$A$5:$A$1004,"&lt;="&amp;'09_PARAMETRI'!$B$8))</f>
        <v/>
      </c>
      <c r="G122" s="25">
        <f>IF($A122="","",IFERROR(IF($F122=0,"",($E122-$F122)/ABS($F122)),""))</f>
        <v/>
      </c>
      <c r="H122" s="24">
        <f>IF($A122="","",SUMIFS('13_VANZARI'!$K$5:$K$1004,'13_VANZARI'!$D$5:$D$1004,$A122,'13_VANZARI'!$A$5:$A$1004,"&gt;="&amp;'09_PARAMETRI'!$B$5,'13_VANZARI'!$A$5:$A$1004,"&lt;="&amp;'09_PARAMETRI'!$B$6))</f>
        <v/>
      </c>
      <c r="I122" s="25">
        <f>IF($A122="","",IFERROR($H122/$E122,""))</f>
        <v/>
      </c>
      <c r="J122" s="25">
        <f>IF($A122="","",IFERROR($E122/SUMIFS('13_VANZARI'!$H$5:$H$1004,'13_VANZARI'!$A$5:$A$1004,"&gt;="&amp;'09_PARAMETRI'!$B$5,'13_VANZARI'!$A$5:$A$1004,"&lt;="&amp;'09_PARAMETRI'!$B$6),""))</f>
        <v/>
      </c>
      <c r="K122" s="36">
        <f>IF($A122="","",IFERROR(IF(SUMPRODUCT(MAX(('13_VANZARI'!$D$5:$D$1004=$A122)*('13_VANZARI'!$H$5:$H$1004&lt;&gt;"")*'13_VANZARI'!$A$5:$A$1004))=0,"",SUMPRODUCT(MAX(('13_VANZARI'!$D$5:$D$1004=$A122)*('13_VANZARI'!$H$5:$H$1004&lt;&gt;"")*'13_VANZARI'!$A$5:$A$1004))),""))</f>
        <v/>
      </c>
      <c r="L122" s="24">
        <f>IF(OR($A122="",$K122=""),"",'09_PARAMETRI'!$B$9-$K122)</f>
        <v/>
      </c>
      <c r="M122" s="24">
        <f>IF($A122="","",SUMPRODUCT(('11_PRODUSE'!$A$5:$A$104&lt;&gt;"")*(SUMIFS('13_VANZARI'!$H$5:$H$1004,'13_VANZARI'!$D$5:$D$1004,$A122,'13_VANZARI'!$E$5:$E$1004,'11_PRODUSE'!$A$5:$A$104,'13_VANZARI'!$A$5:$A$1004,"&gt;="&amp;'09_PARAMETRI'!$B$5,'13_VANZARI'!$A$5:$A$1004,"&lt;="&amp;'09_PARAMETRI'!$B$6)&lt;&gt;0)))</f>
        <v/>
      </c>
      <c r="N122" s="50">
        <f>IF($A122="","",IFERROR(AVERAGEIFS('15_NPS'!$F$5:$F$504,'15_NPS'!$C$5:$C$504,$A122,'15_NPS'!$B$5:$B$504,"&gt;="&amp;'09_PARAMETRI'!$B$5,'15_NPS'!$B$5:$B$504,"&lt;="&amp;'09_PARAMETRI'!$B$6),""))</f>
        <v/>
      </c>
      <c r="O122" s="39">
        <f>IF($A122="","",IF(AND($F122&gt;0,$E122=0),"Client pierdut",IF(AND($L122&lt;&gt;"",$L122&gt;'09_PARAMETRI'!$B$16,$F122&gt;0),"Client dormant",IF(AND($G122&lt;&gt;"",$G122&lt;='09_PARAMETRI'!$B$13),"Scădere de venit",IF(AND($N122&lt;&gt;"",$N122&lt;7),"Detractor activ",IF(AND($E122&gt;0,$J122&gt;'09_PARAMETRI'!$B$19),"Risc concentrare",IF(AND($E122&gt;0,$I122&lt;&gt;"",$I122&lt;'09_PARAMETRI'!$B$15),"Marjă sub referință",IF(AND($G122&lt;&gt;"",$G122&gt;='09_PARAMETRI'!$B$14),"În creștere",IF($E122=0,"Fără activitate","Stabil")))))))))</f>
        <v/>
      </c>
      <c r="P122" s="39">
        <f>IF($A122="","",IF($O122="Risc concentrare","Risc concentrare",IF($O122="Client pierdut","Recuperare client",IF($O122="Client dormant","Reactivare client",IF($O122="Scădere de venit","Recuperare client",IF($O122="Detractor activ","Recuperare NPS",IF($O122="Marjă sub referință","Marjă / preț",IF($O122="În creștere","Up-sell",IF($O122="Fără activitate","Reactivare client","Cross-sell")))))))))</f>
        <v/>
      </c>
      <c r="Q122" s="24">
        <f>IF($A122="","",IFERROR(IF($O122="Scădere de venit",MAX(0,$F122-$E122),IF(OR($O122="Client pierdut",$O122="Client dormant",$O122="Fără activitate"),$F122,IF($O122="Marjă sub referință",MAX(0,$E122*('09_PARAMETRI'!$B$15-$I122)),$E122*0.15))),""))</f>
        <v/>
      </c>
      <c r="R122" s="48">
        <f>IF(OR($A122="",$E122="",N($E122)&lt;=0),"",$E122+ROW()/1000000)</f>
        <v/>
      </c>
    </row>
    <row r="123">
      <c r="A123" s="39">
        <f>IF('10_CLIENTI'!$A123="","",'10_CLIENTI'!$A123)</f>
        <v/>
      </c>
      <c r="B123" s="39">
        <f>IF($A123="","",IFERROR(INDEX('10_CLIENTI'!$B$5:$B$204,MATCH($A123,'10_CLIENTI'!$A$5:$A$204,0)),""))</f>
        <v/>
      </c>
      <c r="C123" s="39">
        <f>IF($A123="","",IFERROR(INDEX('10_CLIENTI'!$C$5:$C$204,MATCH($A123,'10_CLIENTI'!$A$5:$A$204,0)),""))</f>
        <v/>
      </c>
      <c r="D123" s="39">
        <f>IF($A123="","",IFERROR(INDEX('10_CLIENTI'!$G$5:$G$204,MATCH($A123,'10_CLIENTI'!$A$5:$A$204,0)),""))</f>
        <v/>
      </c>
      <c r="E123" s="24">
        <f>IF($A123="","",SUMIFS('13_VANZARI'!$H$5:$H$1004,'13_VANZARI'!$D$5:$D$1004,$A123,'13_VANZARI'!$A$5:$A$1004,"&gt;="&amp;'09_PARAMETRI'!$B$5,'13_VANZARI'!$A$5:$A$1004,"&lt;="&amp;'09_PARAMETRI'!$B$6))</f>
        <v/>
      </c>
      <c r="F123" s="24">
        <f>IF($A123="","",SUMIFS('13_VANZARI'!$H$5:$H$1004,'13_VANZARI'!$D$5:$D$1004,$A123,'13_VANZARI'!$A$5:$A$1004,"&gt;="&amp;'09_PARAMETRI'!$B$7,'13_VANZARI'!$A$5:$A$1004,"&lt;="&amp;'09_PARAMETRI'!$B$8))</f>
        <v/>
      </c>
      <c r="G123" s="25">
        <f>IF($A123="","",IFERROR(IF($F123=0,"",($E123-$F123)/ABS($F123)),""))</f>
        <v/>
      </c>
      <c r="H123" s="24">
        <f>IF($A123="","",SUMIFS('13_VANZARI'!$K$5:$K$1004,'13_VANZARI'!$D$5:$D$1004,$A123,'13_VANZARI'!$A$5:$A$1004,"&gt;="&amp;'09_PARAMETRI'!$B$5,'13_VANZARI'!$A$5:$A$1004,"&lt;="&amp;'09_PARAMETRI'!$B$6))</f>
        <v/>
      </c>
      <c r="I123" s="25">
        <f>IF($A123="","",IFERROR($H123/$E123,""))</f>
        <v/>
      </c>
      <c r="J123" s="25">
        <f>IF($A123="","",IFERROR($E123/SUMIFS('13_VANZARI'!$H$5:$H$1004,'13_VANZARI'!$A$5:$A$1004,"&gt;="&amp;'09_PARAMETRI'!$B$5,'13_VANZARI'!$A$5:$A$1004,"&lt;="&amp;'09_PARAMETRI'!$B$6),""))</f>
        <v/>
      </c>
      <c r="K123" s="36">
        <f>IF($A123="","",IFERROR(IF(SUMPRODUCT(MAX(('13_VANZARI'!$D$5:$D$1004=$A123)*('13_VANZARI'!$H$5:$H$1004&lt;&gt;"")*'13_VANZARI'!$A$5:$A$1004))=0,"",SUMPRODUCT(MAX(('13_VANZARI'!$D$5:$D$1004=$A123)*('13_VANZARI'!$H$5:$H$1004&lt;&gt;"")*'13_VANZARI'!$A$5:$A$1004))),""))</f>
        <v/>
      </c>
      <c r="L123" s="24">
        <f>IF(OR($A123="",$K123=""),"",'09_PARAMETRI'!$B$9-$K123)</f>
        <v/>
      </c>
      <c r="M123" s="24">
        <f>IF($A123="","",SUMPRODUCT(('11_PRODUSE'!$A$5:$A$104&lt;&gt;"")*(SUMIFS('13_VANZARI'!$H$5:$H$1004,'13_VANZARI'!$D$5:$D$1004,$A123,'13_VANZARI'!$E$5:$E$1004,'11_PRODUSE'!$A$5:$A$104,'13_VANZARI'!$A$5:$A$1004,"&gt;="&amp;'09_PARAMETRI'!$B$5,'13_VANZARI'!$A$5:$A$1004,"&lt;="&amp;'09_PARAMETRI'!$B$6)&lt;&gt;0)))</f>
        <v/>
      </c>
      <c r="N123" s="50">
        <f>IF($A123="","",IFERROR(AVERAGEIFS('15_NPS'!$F$5:$F$504,'15_NPS'!$C$5:$C$504,$A123,'15_NPS'!$B$5:$B$504,"&gt;="&amp;'09_PARAMETRI'!$B$5,'15_NPS'!$B$5:$B$504,"&lt;="&amp;'09_PARAMETRI'!$B$6),""))</f>
        <v/>
      </c>
      <c r="O123" s="39">
        <f>IF($A123="","",IF(AND($F123&gt;0,$E123=0),"Client pierdut",IF(AND($L123&lt;&gt;"",$L123&gt;'09_PARAMETRI'!$B$16,$F123&gt;0),"Client dormant",IF(AND($G123&lt;&gt;"",$G123&lt;='09_PARAMETRI'!$B$13),"Scădere de venit",IF(AND($N123&lt;&gt;"",$N123&lt;7),"Detractor activ",IF(AND($E123&gt;0,$J123&gt;'09_PARAMETRI'!$B$19),"Risc concentrare",IF(AND($E123&gt;0,$I123&lt;&gt;"",$I123&lt;'09_PARAMETRI'!$B$15),"Marjă sub referință",IF(AND($G123&lt;&gt;"",$G123&gt;='09_PARAMETRI'!$B$14),"În creștere",IF($E123=0,"Fără activitate","Stabil")))))))))</f>
        <v/>
      </c>
      <c r="P123" s="39">
        <f>IF($A123="","",IF($O123="Risc concentrare","Risc concentrare",IF($O123="Client pierdut","Recuperare client",IF($O123="Client dormant","Reactivare client",IF($O123="Scădere de venit","Recuperare client",IF($O123="Detractor activ","Recuperare NPS",IF($O123="Marjă sub referință","Marjă / preț",IF($O123="În creștere","Up-sell",IF($O123="Fără activitate","Reactivare client","Cross-sell")))))))))</f>
        <v/>
      </c>
      <c r="Q123" s="24">
        <f>IF($A123="","",IFERROR(IF($O123="Scădere de venit",MAX(0,$F123-$E123),IF(OR($O123="Client pierdut",$O123="Client dormant",$O123="Fără activitate"),$F123,IF($O123="Marjă sub referință",MAX(0,$E123*('09_PARAMETRI'!$B$15-$I123)),$E123*0.15))),""))</f>
        <v/>
      </c>
      <c r="R123" s="48">
        <f>IF(OR($A123="",$E123="",N($E123)&lt;=0),"",$E123+ROW()/1000000)</f>
        <v/>
      </c>
    </row>
    <row r="124">
      <c r="A124" s="39">
        <f>IF('10_CLIENTI'!$A124="","",'10_CLIENTI'!$A124)</f>
        <v/>
      </c>
      <c r="B124" s="39">
        <f>IF($A124="","",IFERROR(INDEX('10_CLIENTI'!$B$5:$B$204,MATCH($A124,'10_CLIENTI'!$A$5:$A$204,0)),""))</f>
        <v/>
      </c>
      <c r="C124" s="39">
        <f>IF($A124="","",IFERROR(INDEX('10_CLIENTI'!$C$5:$C$204,MATCH($A124,'10_CLIENTI'!$A$5:$A$204,0)),""))</f>
        <v/>
      </c>
      <c r="D124" s="39">
        <f>IF($A124="","",IFERROR(INDEX('10_CLIENTI'!$G$5:$G$204,MATCH($A124,'10_CLIENTI'!$A$5:$A$204,0)),""))</f>
        <v/>
      </c>
      <c r="E124" s="24">
        <f>IF($A124="","",SUMIFS('13_VANZARI'!$H$5:$H$1004,'13_VANZARI'!$D$5:$D$1004,$A124,'13_VANZARI'!$A$5:$A$1004,"&gt;="&amp;'09_PARAMETRI'!$B$5,'13_VANZARI'!$A$5:$A$1004,"&lt;="&amp;'09_PARAMETRI'!$B$6))</f>
        <v/>
      </c>
      <c r="F124" s="24">
        <f>IF($A124="","",SUMIFS('13_VANZARI'!$H$5:$H$1004,'13_VANZARI'!$D$5:$D$1004,$A124,'13_VANZARI'!$A$5:$A$1004,"&gt;="&amp;'09_PARAMETRI'!$B$7,'13_VANZARI'!$A$5:$A$1004,"&lt;="&amp;'09_PARAMETRI'!$B$8))</f>
        <v/>
      </c>
      <c r="G124" s="25">
        <f>IF($A124="","",IFERROR(IF($F124=0,"",($E124-$F124)/ABS($F124)),""))</f>
        <v/>
      </c>
      <c r="H124" s="24">
        <f>IF($A124="","",SUMIFS('13_VANZARI'!$K$5:$K$1004,'13_VANZARI'!$D$5:$D$1004,$A124,'13_VANZARI'!$A$5:$A$1004,"&gt;="&amp;'09_PARAMETRI'!$B$5,'13_VANZARI'!$A$5:$A$1004,"&lt;="&amp;'09_PARAMETRI'!$B$6))</f>
        <v/>
      </c>
      <c r="I124" s="25">
        <f>IF($A124="","",IFERROR($H124/$E124,""))</f>
        <v/>
      </c>
      <c r="J124" s="25">
        <f>IF($A124="","",IFERROR($E124/SUMIFS('13_VANZARI'!$H$5:$H$1004,'13_VANZARI'!$A$5:$A$1004,"&gt;="&amp;'09_PARAMETRI'!$B$5,'13_VANZARI'!$A$5:$A$1004,"&lt;="&amp;'09_PARAMETRI'!$B$6),""))</f>
        <v/>
      </c>
      <c r="K124" s="36">
        <f>IF($A124="","",IFERROR(IF(SUMPRODUCT(MAX(('13_VANZARI'!$D$5:$D$1004=$A124)*('13_VANZARI'!$H$5:$H$1004&lt;&gt;"")*'13_VANZARI'!$A$5:$A$1004))=0,"",SUMPRODUCT(MAX(('13_VANZARI'!$D$5:$D$1004=$A124)*('13_VANZARI'!$H$5:$H$1004&lt;&gt;"")*'13_VANZARI'!$A$5:$A$1004))),""))</f>
        <v/>
      </c>
      <c r="L124" s="24">
        <f>IF(OR($A124="",$K124=""),"",'09_PARAMETRI'!$B$9-$K124)</f>
        <v/>
      </c>
      <c r="M124" s="24">
        <f>IF($A124="","",SUMPRODUCT(('11_PRODUSE'!$A$5:$A$104&lt;&gt;"")*(SUMIFS('13_VANZARI'!$H$5:$H$1004,'13_VANZARI'!$D$5:$D$1004,$A124,'13_VANZARI'!$E$5:$E$1004,'11_PRODUSE'!$A$5:$A$104,'13_VANZARI'!$A$5:$A$1004,"&gt;="&amp;'09_PARAMETRI'!$B$5,'13_VANZARI'!$A$5:$A$1004,"&lt;="&amp;'09_PARAMETRI'!$B$6)&lt;&gt;0)))</f>
        <v/>
      </c>
      <c r="N124" s="50">
        <f>IF($A124="","",IFERROR(AVERAGEIFS('15_NPS'!$F$5:$F$504,'15_NPS'!$C$5:$C$504,$A124,'15_NPS'!$B$5:$B$504,"&gt;="&amp;'09_PARAMETRI'!$B$5,'15_NPS'!$B$5:$B$504,"&lt;="&amp;'09_PARAMETRI'!$B$6),""))</f>
        <v/>
      </c>
      <c r="O124" s="39">
        <f>IF($A124="","",IF(AND($F124&gt;0,$E124=0),"Client pierdut",IF(AND($L124&lt;&gt;"",$L124&gt;'09_PARAMETRI'!$B$16,$F124&gt;0),"Client dormant",IF(AND($G124&lt;&gt;"",$G124&lt;='09_PARAMETRI'!$B$13),"Scădere de venit",IF(AND($N124&lt;&gt;"",$N124&lt;7),"Detractor activ",IF(AND($E124&gt;0,$J124&gt;'09_PARAMETRI'!$B$19),"Risc concentrare",IF(AND($E124&gt;0,$I124&lt;&gt;"",$I124&lt;'09_PARAMETRI'!$B$15),"Marjă sub referință",IF(AND($G124&lt;&gt;"",$G124&gt;='09_PARAMETRI'!$B$14),"În creștere",IF($E124=0,"Fără activitate","Stabil")))))))))</f>
        <v/>
      </c>
      <c r="P124" s="39">
        <f>IF($A124="","",IF($O124="Risc concentrare","Risc concentrare",IF($O124="Client pierdut","Recuperare client",IF($O124="Client dormant","Reactivare client",IF($O124="Scădere de venit","Recuperare client",IF($O124="Detractor activ","Recuperare NPS",IF($O124="Marjă sub referință","Marjă / preț",IF($O124="În creștere","Up-sell",IF($O124="Fără activitate","Reactivare client","Cross-sell")))))))))</f>
        <v/>
      </c>
      <c r="Q124" s="24">
        <f>IF($A124="","",IFERROR(IF($O124="Scădere de venit",MAX(0,$F124-$E124),IF(OR($O124="Client pierdut",$O124="Client dormant",$O124="Fără activitate"),$F124,IF($O124="Marjă sub referință",MAX(0,$E124*('09_PARAMETRI'!$B$15-$I124)),$E124*0.15))),""))</f>
        <v/>
      </c>
      <c r="R124" s="48">
        <f>IF(OR($A124="",$E124="",N($E124)&lt;=0),"",$E124+ROW()/1000000)</f>
        <v/>
      </c>
    </row>
    <row r="125">
      <c r="A125" s="39">
        <f>IF('10_CLIENTI'!$A125="","",'10_CLIENTI'!$A125)</f>
        <v/>
      </c>
      <c r="B125" s="39">
        <f>IF($A125="","",IFERROR(INDEX('10_CLIENTI'!$B$5:$B$204,MATCH($A125,'10_CLIENTI'!$A$5:$A$204,0)),""))</f>
        <v/>
      </c>
      <c r="C125" s="39">
        <f>IF($A125="","",IFERROR(INDEX('10_CLIENTI'!$C$5:$C$204,MATCH($A125,'10_CLIENTI'!$A$5:$A$204,0)),""))</f>
        <v/>
      </c>
      <c r="D125" s="39">
        <f>IF($A125="","",IFERROR(INDEX('10_CLIENTI'!$G$5:$G$204,MATCH($A125,'10_CLIENTI'!$A$5:$A$204,0)),""))</f>
        <v/>
      </c>
      <c r="E125" s="24">
        <f>IF($A125="","",SUMIFS('13_VANZARI'!$H$5:$H$1004,'13_VANZARI'!$D$5:$D$1004,$A125,'13_VANZARI'!$A$5:$A$1004,"&gt;="&amp;'09_PARAMETRI'!$B$5,'13_VANZARI'!$A$5:$A$1004,"&lt;="&amp;'09_PARAMETRI'!$B$6))</f>
        <v/>
      </c>
      <c r="F125" s="24">
        <f>IF($A125="","",SUMIFS('13_VANZARI'!$H$5:$H$1004,'13_VANZARI'!$D$5:$D$1004,$A125,'13_VANZARI'!$A$5:$A$1004,"&gt;="&amp;'09_PARAMETRI'!$B$7,'13_VANZARI'!$A$5:$A$1004,"&lt;="&amp;'09_PARAMETRI'!$B$8))</f>
        <v/>
      </c>
      <c r="G125" s="25">
        <f>IF($A125="","",IFERROR(IF($F125=0,"",($E125-$F125)/ABS($F125)),""))</f>
        <v/>
      </c>
      <c r="H125" s="24">
        <f>IF($A125="","",SUMIFS('13_VANZARI'!$K$5:$K$1004,'13_VANZARI'!$D$5:$D$1004,$A125,'13_VANZARI'!$A$5:$A$1004,"&gt;="&amp;'09_PARAMETRI'!$B$5,'13_VANZARI'!$A$5:$A$1004,"&lt;="&amp;'09_PARAMETRI'!$B$6))</f>
        <v/>
      </c>
      <c r="I125" s="25">
        <f>IF($A125="","",IFERROR($H125/$E125,""))</f>
        <v/>
      </c>
      <c r="J125" s="25">
        <f>IF($A125="","",IFERROR($E125/SUMIFS('13_VANZARI'!$H$5:$H$1004,'13_VANZARI'!$A$5:$A$1004,"&gt;="&amp;'09_PARAMETRI'!$B$5,'13_VANZARI'!$A$5:$A$1004,"&lt;="&amp;'09_PARAMETRI'!$B$6),""))</f>
        <v/>
      </c>
      <c r="K125" s="36">
        <f>IF($A125="","",IFERROR(IF(SUMPRODUCT(MAX(('13_VANZARI'!$D$5:$D$1004=$A125)*('13_VANZARI'!$H$5:$H$1004&lt;&gt;"")*'13_VANZARI'!$A$5:$A$1004))=0,"",SUMPRODUCT(MAX(('13_VANZARI'!$D$5:$D$1004=$A125)*('13_VANZARI'!$H$5:$H$1004&lt;&gt;"")*'13_VANZARI'!$A$5:$A$1004))),""))</f>
        <v/>
      </c>
      <c r="L125" s="24">
        <f>IF(OR($A125="",$K125=""),"",'09_PARAMETRI'!$B$9-$K125)</f>
        <v/>
      </c>
      <c r="M125" s="24">
        <f>IF($A125="","",SUMPRODUCT(('11_PRODUSE'!$A$5:$A$104&lt;&gt;"")*(SUMIFS('13_VANZARI'!$H$5:$H$1004,'13_VANZARI'!$D$5:$D$1004,$A125,'13_VANZARI'!$E$5:$E$1004,'11_PRODUSE'!$A$5:$A$104,'13_VANZARI'!$A$5:$A$1004,"&gt;="&amp;'09_PARAMETRI'!$B$5,'13_VANZARI'!$A$5:$A$1004,"&lt;="&amp;'09_PARAMETRI'!$B$6)&lt;&gt;0)))</f>
        <v/>
      </c>
      <c r="N125" s="50">
        <f>IF($A125="","",IFERROR(AVERAGEIFS('15_NPS'!$F$5:$F$504,'15_NPS'!$C$5:$C$504,$A125,'15_NPS'!$B$5:$B$504,"&gt;="&amp;'09_PARAMETRI'!$B$5,'15_NPS'!$B$5:$B$504,"&lt;="&amp;'09_PARAMETRI'!$B$6),""))</f>
        <v/>
      </c>
      <c r="O125" s="39">
        <f>IF($A125="","",IF(AND($F125&gt;0,$E125=0),"Client pierdut",IF(AND($L125&lt;&gt;"",$L125&gt;'09_PARAMETRI'!$B$16,$F125&gt;0),"Client dormant",IF(AND($G125&lt;&gt;"",$G125&lt;='09_PARAMETRI'!$B$13),"Scădere de venit",IF(AND($N125&lt;&gt;"",$N125&lt;7),"Detractor activ",IF(AND($E125&gt;0,$J125&gt;'09_PARAMETRI'!$B$19),"Risc concentrare",IF(AND($E125&gt;0,$I125&lt;&gt;"",$I125&lt;'09_PARAMETRI'!$B$15),"Marjă sub referință",IF(AND($G125&lt;&gt;"",$G125&gt;='09_PARAMETRI'!$B$14),"În creștere",IF($E125=0,"Fără activitate","Stabil")))))))))</f>
        <v/>
      </c>
      <c r="P125" s="39">
        <f>IF($A125="","",IF($O125="Risc concentrare","Risc concentrare",IF($O125="Client pierdut","Recuperare client",IF($O125="Client dormant","Reactivare client",IF($O125="Scădere de venit","Recuperare client",IF($O125="Detractor activ","Recuperare NPS",IF($O125="Marjă sub referință","Marjă / preț",IF($O125="În creștere","Up-sell",IF($O125="Fără activitate","Reactivare client","Cross-sell")))))))))</f>
        <v/>
      </c>
      <c r="Q125" s="24">
        <f>IF($A125="","",IFERROR(IF($O125="Scădere de venit",MAX(0,$F125-$E125),IF(OR($O125="Client pierdut",$O125="Client dormant",$O125="Fără activitate"),$F125,IF($O125="Marjă sub referință",MAX(0,$E125*('09_PARAMETRI'!$B$15-$I125)),$E125*0.15))),""))</f>
        <v/>
      </c>
      <c r="R125" s="48">
        <f>IF(OR($A125="",$E125="",N($E125)&lt;=0),"",$E125+ROW()/1000000)</f>
        <v/>
      </c>
    </row>
    <row r="126">
      <c r="A126" s="39">
        <f>IF('10_CLIENTI'!$A126="","",'10_CLIENTI'!$A126)</f>
        <v/>
      </c>
      <c r="B126" s="39">
        <f>IF($A126="","",IFERROR(INDEX('10_CLIENTI'!$B$5:$B$204,MATCH($A126,'10_CLIENTI'!$A$5:$A$204,0)),""))</f>
        <v/>
      </c>
      <c r="C126" s="39">
        <f>IF($A126="","",IFERROR(INDEX('10_CLIENTI'!$C$5:$C$204,MATCH($A126,'10_CLIENTI'!$A$5:$A$204,0)),""))</f>
        <v/>
      </c>
      <c r="D126" s="39">
        <f>IF($A126="","",IFERROR(INDEX('10_CLIENTI'!$G$5:$G$204,MATCH($A126,'10_CLIENTI'!$A$5:$A$204,0)),""))</f>
        <v/>
      </c>
      <c r="E126" s="24">
        <f>IF($A126="","",SUMIFS('13_VANZARI'!$H$5:$H$1004,'13_VANZARI'!$D$5:$D$1004,$A126,'13_VANZARI'!$A$5:$A$1004,"&gt;="&amp;'09_PARAMETRI'!$B$5,'13_VANZARI'!$A$5:$A$1004,"&lt;="&amp;'09_PARAMETRI'!$B$6))</f>
        <v/>
      </c>
      <c r="F126" s="24">
        <f>IF($A126="","",SUMIFS('13_VANZARI'!$H$5:$H$1004,'13_VANZARI'!$D$5:$D$1004,$A126,'13_VANZARI'!$A$5:$A$1004,"&gt;="&amp;'09_PARAMETRI'!$B$7,'13_VANZARI'!$A$5:$A$1004,"&lt;="&amp;'09_PARAMETRI'!$B$8))</f>
        <v/>
      </c>
      <c r="G126" s="25">
        <f>IF($A126="","",IFERROR(IF($F126=0,"",($E126-$F126)/ABS($F126)),""))</f>
        <v/>
      </c>
      <c r="H126" s="24">
        <f>IF($A126="","",SUMIFS('13_VANZARI'!$K$5:$K$1004,'13_VANZARI'!$D$5:$D$1004,$A126,'13_VANZARI'!$A$5:$A$1004,"&gt;="&amp;'09_PARAMETRI'!$B$5,'13_VANZARI'!$A$5:$A$1004,"&lt;="&amp;'09_PARAMETRI'!$B$6))</f>
        <v/>
      </c>
      <c r="I126" s="25">
        <f>IF($A126="","",IFERROR($H126/$E126,""))</f>
        <v/>
      </c>
      <c r="J126" s="25">
        <f>IF($A126="","",IFERROR($E126/SUMIFS('13_VANZARI'!$H$5:$H$1004,'13_VANZARI'!$A$5:$A$1004,"&gt;="&amp;'09_PARAMETRI'!$B$5,'13_VANZARI'!$A$5:$A$1004,"&lt;="&amp;'09_PARAMETRI'!$B$6),""))</f>
        <v/>
      </c>
      <c r="K126" s="36">
        <f>IF($A126="","",IFERROR(IF(SUMPRODUCT(MAX(('13_VANZARI'!$D$5:$D$1004=$A126)*('13_VANZARI'!$H$5:$H$1004&lt;&gt;"")*'13_VANZARI'!$A$5:$A$1004))=0,"",SUMPRODUCT(MAX(('13_VANZARI'!$D$5:$D$1004=$A126)*('13_VANZARI'!$H$5:$H$1004&lt;&gt;"")*'13_VANZARI'!$A$5:$A$1004))),""))</f>
        <v/>
      </c>
      <c r="L126" s="24">
        <f>IF(OR($A126="",$K126=""),"",'09_PARAMETRI'!$B$9-$K126)</f>
        <v/>
      </c>
      <c r="M126" s="24">
        <f>IF($A126="","",SUMPRODUCT(('11_PRODUSE'!$A$5:$A$104&lt;&gt;"")*(SUMIFS('13_VANZARI'!$H$5:$H$1004,'13_VANZARI'!$D$5:$D$1004,$A126,'13_VANZARI'!$E$5:$E$1004,'11_PRODUSE'!$A$5:$A$104,'13_VANZARI'!$A$5:$A$1004,"&gt;="&amp;'09_PARAMETRI'!$B$5,'13_VANZARI'!$A$5:$A$1004,"&lt;="&amp;'09_PARAMETRI'!$B$6)&lt;&gt;0)))</f>
        <v/>
      </c>
      <c r="N126" s="50">
        <f>IF($A126="","",IFERROR(AVERAGEIFS('15_NPS'!$F$5:$F$504,'15_NPS'!$C$5:$C$504,$A126,'15_NPS'!$B$5:$B$504,"&gt;="&amp;'09_PARAMETRI'!$B$5,'15_NPS'!$B$5:$B$504,"&lt;="&amp;'09_PARAMETRI'!$B$6),""))</f>
        <v/>
      </c>
      <c r="O126" s="39">
        <f>IF($A126="","",IF(AND($F126&gt;0,$E126=0),"Client pierdut",IF(AND($L126&lt;&gt;"",$L126&gt;'09_PARAMETRI'!$B$16,$F126&gt;0),"Client dormant",IF(AND($G126&lt;&gt;"",$G126&lt;='09_PARAMETRI'!$B$13),"Scădere de venit",IF(AND($N126&lt;&gt;"",$N126&lt;7),"Detractor activ",IF(AND($E126&gt;0,$J126&gt;'09_PARAMETRI'!$B$19),"Risc concentrare",IF(AND($E126&gt;0,$I126&lt;&gt;"",$I126&lt;'09_PARAMETRI'!$B$15),"Marjă sub referință",IF(AND($G126&lt;&gt;"",$G126&gt;='09_PARAMETRI'!$B$14),"În creștere",IF($E126=0,"Fără activitate","Stabil")))))))))</f>
        <v/>
      </c>
      <c r="P126" s="39">
        <f>IF($A126="","",IF($O126="Risc concentrare","Risc concentrare",IF($O126="Client pierdut","Recuperare client",IF($O126="Client dormant","Reactivare client",IF($O126="Scădere de venit","Recuperare client",IF($O126="Detractor activ","Recuperare NPS",IF($O126="Marjă sub referință","Marjă / preț",IF($O126="În creștere","Up-sell",IF($O126="Fără activitate","Reactivare client","Cross-sell")))))))))</f>
        <v/>
      </c>
      <c r="Q126" s="24">
        <f>IF($A126="","",IFERROR(IF($O126="Scădere de venit",MAX(0,$F126-$E126),IF(OR($O126="Client pierdut",$O126="Client dormant",$O126="Fără activitate"),$F126,IF($O126="Marjă sub referință",MAX(0,$E126*('09_PARAMETRI'!$B$15-$I126)),$E126*0.15))),""))</f>
        <v/>
      </c>
      <c r="R126" s="48">
        <f>IF(OR($A126="",$E126="",N($E126)&lt;=0),"",$E126+ROW()/1000000)</f>
        <v/>
      </c>
    </row>
    <row r="127">
      <c r="A127" s="39">
        <f>IF('10_CLIENTI'!$A127="","",'10_CLIENTI'!$A127)</f>
        <v/>
      </c>
      <c r="B127" s="39">
        <f>IF($A127="","",IFERROR(INDEX('10_CLIENTI'!$B$5:$B$204,MATCH($A127,'10_CLIENTI'!$A$5:$A$204,0)),""))</f>
        <v/>
      </c>
      <c r="C127" s="39">
        <f>IF($A127="","",IFERROR(INDEX('10_CLIENTI'!$C$5:$C$204,MATCH($A127,'10_CLIENTI'!$A$5:$A$204,0)),""))</f>
        <v/>
      </c>
      <c r="D127" s="39">
        <f>IF($A127="","",IFERROR(INDEX('10_CLIENTI'!$G$5:$G$204,MATCH($A127,'10_CLIENTI'!$A$5:$A$204,0)),""))</f>
        <v/>
      </c>
      <c r="E127" s="24">
        <f>IF($A127="","",SUMIFS('13_VANZARI'!$H$5:$H$1004,'13_VANZARI'!$D$5:$D$1004,$A127,'13_VANZARI'!$A$5:$A$1004,"&gt;="&amp;'09_PARAMETRI'!$B$5,'13_VANZARI'!$A$5:$A$1004,"&lt;="&amp;'09_PARAMETRI'!$B$6))</f>
        <v/>
      </c>
      <c r="F127" s="24">
        <f>IF($A127="","",SUMIFS('13_VANZARI'!$H$5:$H$1004,'13_VANZARI'!$D$5:$D$1004,$A127,'13_VANZARI'!$A$5:$A$1004,"&gt;="&amp;'09_PARAMETRI'!$B$7,'13_VANZARI'!$A$5:$A$1004,"&lt;="&amp;'09_PARAMETRI'!$B$8))</f>
        <v/>
      </c>
      <c r="G127" s="25">
        <f>IF($A127="","",IFERROR(IF($F127=0,"",($E127-$F127)/ABS($F127)),""))</f>
        <v/>
      </c>
      <c r="H127" s="24">
        <f>IF($A127="","",SUMIFS('13_VANZARI'!$K$5:$K$1004,'13_VANZARI'!$D$5:$D$1004,$A127,'13_VANZARI'!$A$5:$A$1004,"&gt;="&amp;'09_PARAMETRI'!$B$5,'13_VANZARI'!$A$5:$A$1004,"&lt;="&amp;'09_PARAMETRI'!$B$6))</f>
        <v/>
      </c>
      <c r="I127" s="25">
        <f>IF($A127="","",IFERROR($H127/$E127,""))</f>
        <v/>
      </c>
      <c r="J127" s="25">
        <f>IF($A127="","",IFERROR($E127/SUMIFS('13_VANZARI'!$H$5:$H$1004,'13_VANZARI'!$A$5:$A$1004,"&gt;="&amp;'09_PARAMETRI'!$B$5,'13_VANZARI'!$A$5:$A$1004,"&lt;="&amp;'09_PARAMETRI'!$B$6),""))</f>
        <v/>
      </c>
      <c r="K127" s="36">
        <f>IF($A127="","",IFERROR(IF(SUMPRODUCT(MAX(('13_VANZARI'!$D$5:$D$1004=$A127)*('13_VANZARI'!$H$5:$H$1004&lt;&gt;"")*'13_VANZARI'!$A$5:$A$1004))=0,"",SUMPRODUCT(MAX(('13_VANZARI'!$D$5:$D$1004=$A127)*('13_VANZARI'!$H$5:$H$1004&lt;&gt;"")*'13_VANZARI'!$A$5:$A$1004))),""))</f>
        <v/>
      </c>
      <c r="L127" s="24">
        <f>IF(OR($A127="",$K127=""),"",'09_PARAMETRI'!$B$9-$K127)</f>
        <v/>
      </c>
      <c r="M127" s="24">
        <f>IF($A127="","",SUMPRODUCT(('11_PRODUSE'!$A$5:$A$104&lt;&gt;"")*(SUMIFS('13_VANZARI'!$H$5:$H$1004,'13_VANZARI'!$D$5:$D$1004,$A127,'13_VANZARI'!$E$5:$E$1004,'11_PRODUSE'!$A$5:$A$104,'13_VANZARI'!$A$5:$A$1004,"&gt;="&amp;'09_PARAMETRI'!$B$5,'13_VANZARI'!$A$5:$A$1004,"&lt;="&amp;'09_PARAMETRI'!$B$6)&lt;&gt;0)))</f>
        <v/>
      </c>
      <c r="N127" s="50">
        <f>IF($A127="","",IFERROR(AVERAGEIFS('15_NPS'!$F$5:$F$504,'15_NPS'!$C$5:$C$504,$A127,'15_NPS'!$B$5:$B$504,"&gt;="&amp;'09_PARAMETRI'!$B$5,'15_NPS'!$B$5:$B$504,"&lt;="&amp;'09_PARAMETRI'!$B$6),""))</f>
        <v/>
      </c>
      <c r="O127" s="39">
        <f>IF($A127="","",IF(AND($F127&gt;0,$E127=0),"Client pierdut",IF(AND($L127&lt;&gt;"",$L127&gt;'09_PARAMETRI'!$B$16,$F127&gt;0),"Client dormant",IF(AND($G127&lt;&gt;"",$G127&lt;='09_PARAMETRI'!$B$13),"Scădere de venit",IF(AND($N127&lt;&gt;"",$N127&lt;7),"Detractor activ",IF(AND($E127&gt;0,$J127&gt;'09_PARAMETRI'!$B$19),"Risc concentrare",IF(AND($E127&gt;0,$I127&lt;&gt;"",$I127&lt;'09_PARAMETRI'!$B$15),"Marjă sub referință",IF(AND($G127&lt;&gt;"",$G127&gt;='09_PARAMETRI'!$B$14),"În creștere",IF($E127=0,"Fără activitate","Stabil")))))))))</f>
        <v/>
      </c>
      <c r="P127" s="39">
        <f>IF($A127="","",IF($O127="Risc concentrare","Risc concentrare",IF($O127="Client pierdut","Recuperare client",IF($O127="Client dormant","Reactivare client",IF($O127="Scădere de venit","Recuperare client",IF($O127="Detractor activ","Recuperare NPS",IF($O127="Marjă sub referință","Marjă / preț",IF($O127="În creștere","Up-sell",IF($O127="Fără activitate","Reactivare client","Cross-sell")))))))))</f>
        <v/>
      </c>
      <c r="Q127" s="24">
        <f>IF($A127="","",IFERROR(IF($O127="Scădere de venit",MAX(0,$F127-$E127),IF(OR($O127="Client pierdut",$O127="Client dormant",$O127="Fără activitate"),$F127,IF($O127="Marjă sub referință",MAX(0,$E127*('09_PARAMETRI'!$B$15-$I127)),$E127*0.15))),""))</f>
        <v/>
      </c>
      <c r="R127" s="48">
        <f>IF(OR($A127="",$E127="",N($E127)&lt;=0),"",$E127+ROW()/1000000)</f>
        <v/>
      </c>
    </row>
    <row r="128">
      <c r="A128" s="39">
        <f>IF('10_CLIENTI'!$A128="","",'10_CLIENTI'!$A128)</f>
        <v/>
      </c>
      <c r="B128" s="39">
        <f>IF($A128="","",IFERROR(INDEX('10_CLIENTI'!$B$5:$B$204,MATCH($A128,'10_CLIENTI'!$A$5:$A$204,0)),""))</f>
        <v/>
      </c>
      <c r="C128" s="39">
        <f>IF($A128="","",IFERROR(INDEX('10_CLIENTI'!$C$5:$C$204,MATCH($A128,'10_CLIENTI'!$A$5:$A$204,0)),""))</f>
        <v/>
      </c>
      <c r="D128" s="39">
        <f>IF($A128="","",IFERROR(INDEX('10_CLIENTI'!$G$5:$G$204,MATCH($A128,'10_CLIENTI'!$A$5:$A$204,0)),""))</f>
        <v/>
      </c>
      <c r="E128" s="24">
        <f>IF($A128="","",SUMIFS('13_VANZARI'!$H$5:$H$1004,'13_VANZARI'!$D$5:$D$1004,$A128,'13_VANZARI'!$A$5:$A$1004,"&gt;="&amp;'09_PARAMETRI'!$B$5,'13_VANZARI'!$A$5:$A$1004,"&lt;="&amp;'09_PARAMETRI'!$B$6))</f>
        <v/>
      </c>
      <c r="F128" s="24">
        <f>IF($A128="","",SUMIFS('13_VANZARI'!$H$5:$H$1004,'13_VANZARI'!$D$5:$D$1004,$A128,'13_VANZARI'!$A$5:$A$1004,"&gt;="&amp;'09_PARAMETRI'!$B$7,'13_VANZARI'!$A$5:$A$1004,"&lt;="&amp;'09_PARAMETRI'!$B$8))</f>
        <v/>
      </c>
      <c r="G128" s="25">
        <f>IF($A128="","",IFERROR(IF($F128=0,"",($E128-$F128)/ABS($F128)),""))</f>
        <v/>
      </c>
      <c r="H128" s="24">
        <f>IF($A128="","",SUMIFS('13_VANZARI'!$K$5:$K$1004,'13_VANZARI'!$D$5:$D$1004,$A128,'13_VANZARI'!$A$5:$A$1004,"&gt;="&amp;'09_PARAMETRI'!$B$5,'13_VANZARI'!$A$5:$A$1004,"&lt;="&amp;'09_PARAMETRI'!$B$6))</f>
        <v/>
      </c>
      <c r="I128" s="25">
        <f>IF($A128="","",IFERROR($H128/$E128,""))</f>
        <v/>
      </c>
      <c r="J128" s="25">
        <f>IF($A128="","",IFERROR($E128/SUMIFS('13_VANZARI'!$H$5:$H$1004,'13_VANZARI'!$A$5:$A$1004,"&gt;="&amp;'09_PARAMETRI'!$B$5,'13_VANZARI'!$A$5:$A$1004,"&lt;="&amp;'09_PARAMETRI'!$B$6),""))</f>
        <v/>
      </c>
      <c r="K128" s="36">
        <f>IF($A128="","",IFERROR(IF(SUMPRODUCT(MAX(('13_VANZARI'!$D$5:$D$1004=$A128)*('13_VANZARI'!$H$5:$H$1004&lt;&gt;"")*'13_VANZARI'!$A$5:$A$1004))=0,"",SUMPRODUCT(MAX(('13_VANZARI'!$D$5:$D$1004=$A128)*('13_VANZARI'!$H$5:$H$1004&lt;&gt;"")*'13_VANZARI'!$A$5:$A$1004))),""))</f>
        <v/>
      </c>
      <c r="L128" s="24">
        <f>IF(OR($A128="",$K128=""),"",'09_PARAMETRI'!$B$9-$K128)</f>
        <v/>
      </c>
      <c r="M128" s="24">
        <f>IF($A128="","",SUMPRODUCT(('11_PRODUSE'!$A$5:$A$104&lt;&gt;"")*(SUMIFS('13_VANZARI'!$H$5:$H$1004,'13_VANZARI'!$D$5:$D$1004,$A128,'13_VANZARI'!$E$5:$E$1004,'11_PRODUSE'!$A$5:$A$104,'13_VANZARI'!$A$5:$A$1004,"&gt;="&amp;'09_PARAMETRI'!$B$5,'13_VANZARI'!$A$5:$A$1004,"&lt;="&amp;'09_PARAMETRI'!$B$6)&lt;&gt;0)))</f>
        <v/>
      </c>
      <c r="N128" s="50">
        <f>IF($A128="","",IFERROR(AVERAGEIFS('15_NPS'!$F$5:$F$504,'15_NPS'!$C$5:$C$504,$A128,'15_NPS'!$B$5:$B$504,"&gt;="&amp;'09_PARAMETRI'!$B$5,'15_NPS'!$B$5:$B$504,"&lt;="&amp;'09_PARAMETRI'!$B$6),""))</f>
        <v/>
      </c>
      <c r="O128" s="39">
        <f>IF($A128="","",IF(AND($F128&gt;0,$E128=0),"Client pierdut",IF(AND($L128&lt;&gt;"",$L128&gt;'09_PARAMETRI'!$B$16,$F128&gt;0),"Client dormant",IF(AND($G128&lt;&gt;"",$G128&lt;='09_PARAMETRI'!$B$13),"Scădere de venit",IF(AND($N128&lt;&gt;"",$N128&lt;7),"Detractor activ",IF(AND($E128&gt;0,$J128&gt;'09_PARAMETRI'!$B$19),"Risc concentrare",IF(AND($E128&gt;0,$I128&lt;&gt;"",$I128&lt;'09_PARAMETRI'!$B$15),"Marjă sub referință",IF(AND($G128&lt;&gt;"",$G128&gt;='09_PARAMETRI'!$B$14),"În creștere",IF($E128=0,"Fără activitate","Stabil")))))))))</f>
        <v/>
      </c>
      <c r="P128" s="39">
        <f>IF($A128="","",IF($O128="Risc concentrare","Risc concentrare",IF($O128="Client pierdut","Recuperare client",IF($O128="Client dormant","Reactivare client",IF($O128="Scădere de venit","Recuperare client",IF($O128="Detractor activ","Recuperare NPS",IF($O128="Marjă sub referință","Marjă / preț",IF($O128="În creștere","Up-sell",IF($O128="Fără activitate","Reactivare client","Cross-sell")))))))))</f>
        <v/>
      </c>
      <c r="Q128" s="24">
        <f>IF($A128="","",IFERROR(IF($O128="Scădere de venit",MAX(0,$F128-$E128),IF(OR($O128="Client pierdut",$O128="Client dormant",$O128="Fără activitate"),$F128,IF($O128="Marjă sub referință",MAX(0,$E128*('09_PARAMETRI'!$B$15-$I128)),$E128*0.15))),""))</f>
        <v/>
      </c>
      <c r="R128" s="48">
        <f>IF(OR($A128="",$E128="",N($E128)&lt;=0),"",$E128+ROW()/1000000)</f>
        <v/>
      </c>
    </row>
    <row r="129">
      <c r="A129" s="39">
        <f>IF('10_CLIENTI'!$A129="","",'10_CLIENTI'!$A129)</f>
        <v/>
      </c>
      <c r="B129" s="39">
        <f>IF($A129="","",IFERROR(INDEX('10_CLIENTI'!$B$5:$B$204,MATCH($A129,'10_CLIENTI'!$A$5:$A$204,0)),""))</f>
        <v/>
      </c>
      <c r="C129" s="39">
        <f>IF($A129="","",IFERROR(INDEX('10_CLIENTI'!$C$5:$C$204,MATCH($A129,'10_CLIENTI'!$A$5:$A$204,0)),""))</f>
        <v/>
      </c>
      <c r="D129" s="39">
        <f>IF($A129="","",IFERROR(INDEX('10_CLIENTI'!$G$5:$G$204,MATCH($A129,'10_CLIENTI'!$A$5:$A$204,0)),""))</f>
        <v/>
      </c>
      <c r="E129" s="24">
        <f>IF($A129="","",SUMIFS('13_VANZARI'!$H$5:$H$1004,'13_VANZARI'!$D$5:$D$1004,$A129,'13_VANZARI'!$A$5:$A$1004,"&gt;="&amp;'09_PARAMETRI'!$B$5,'13_VANZARI'!$A$5:$A$1004,"&lt;="&amp;'09_PARAMETRI'!$B$6))</f>
        <v/>
      </c>
      <c r="F129" s="24">
        <f>IF($A129="","",SUMIFS('13_VANZARI'!$H$5:$H$1004,'13_VANZARI'!$D$5:$D$1004,$A129,'13_VANZARI'!$A$5:$A$1004,"&gt;="&amp;'09_PARAMETRI'!$B$7,'13_VANZARI'!$A$5:$A$1004,"&lt;="&amp;'09_PARAMETRI'!$B$8))</f>
        <v/>
      </c>
      <c r="G129" s="25">
        <f>IF($A129="","",IFERROR(IF($F129=0,"",($E129-$F129)/ABS($F129)),""))</f>
        <v/>
      </c>
      <c r="H129" s="24">
        <f>IF($A129="","",SUMIFS('13_VANZARI'!$K$5:$K$1004,'13_VANZARI'!$D$5:$D$1004,$A129,'13_VANZARI'!$A$5:$A$1004,"&gt;="&amp;'09_PARAMETRI'!$B$5,'13_VANZARI'!$A$5:$A$1004,"&lt;="&amp;'09_PARAMETRI'!$B$6))</f>
        <v/>
      </c>
      <c r="I129" s="25">
        <f>IF($A129="","",IFERROR($H129/$E129,""))</f>
        <v/>
      </c>
      <c r="J129" s="25">
        <f>IF($A129="","",IFERROR($E129/SUMIFS('13_VANZARI'!$H$5:$H$1004,'13_VANZARI'!$A$5:$A$1004,"&gt;="&amp;'09_PARAMETRI'!$B$5,'13_VANZARI'!$A$5:$A$1004,"&lt;="&amp;'09_PARAMETRI'!$B$6),""))</f>
        <v/>
      </c>
      <c r="K129" s="36">
        <f>IF($A129="","",IFERROR(IF(SUMPRODUCT(MAX(('13_VANZARI'!$D$5:$D$1004=$A129)*('13_VANZARI'!$H$5:$H$1004&lt;&gt;"")*'13_VANZARI'!$A$5:$A$1004))=0,"",SUMPRODUCT(MAX(('13_VANZARI'!$D$5:$D$1004=$A129)*('13_VANZARI'!$H$5:$H$1004&lt;&gt;"")*'13_VANZARI'!$A$5:$A$1004))),""))</f>
        <v/>
      </c>
      <c r="L129" s="24">
        <f>IF(OR($A129="",$K129=""),"",'09_PARAMETRI'!$B$9-$K129)</f>
        <v/>
      </c>
      <c r="M129" s="24">
        <f>IF($A129="","",SUMPRODUCT(('11_PRODUSE'!$A$5:$A$104&lt;&gt;"")*(SUMIFS('13_VANZARI'!$H$5:$H$1004,'13_VANZARI'!$D$5:$D$1004,$A129,'13_VANZARI'!$E$5:$E$1004,'11_PRODUSE'!$A$5:$A$104,'13_VANZARI'!$A$5:$A$1004,"&gt;="&amp;'09_PARAMETRI'!$B$5,'13_VANZARI'!$A$5:$A$1004,"&lt;="&amp;'09_PARAMETRI'!$B$6)&lt;&gt;0)))</f>
        <v/>
      </c>
      <c r="N129" s="50">
        <f>IF($A129="","",IFERROR(AVERAGEIFS('15_NPS'!$F$5:$F$504,'15_NPS'!$C$5:$C$504,$A129,'15_NPS'!$B$5:$B$504,"&gt;="&amp;'09_PARAMETRI'!$B$5,'15_NPS'!$B$5:$B$504,"&lt;="&amp;'09_PARAMETRI'!$B$6),""))</f>
        <v/>
      </c>
      <c r="O129" s="39">
        <f>IF($A129="","",IF(AND($F129&gt;0,$E129=0),"Client pierdut",IF(AND($L129&lt;&gt;"",$L129&gt;'09_PARAMETRI'!$B$16,$F129&gt;0),"Client dormant",IF(AND($G129&lt;&gt;"",$G129&lt;='09_PARAMETRI'!$B$13),"Scădere de venit",IF(AND($N129&lt;&gt;"",$N129&lt;7),"Detractor activ",IF(AND($E129&gt;0,$J129&gt;'09_PARAMETRI'!$B$19),"Risc concentrare",IF(AND($E129&gt;0,$I129&lt;&gt;"",$I129&lt;'09_PARAMETRI'!$B$15),"Marjă sub referință",IF(AND($G129&lt;&gt;"",$G129&gt;='09_PARAMETRI'!$B$14),"În creștere",IF($E129=0,"Fără activitate","Stabil")))))))))</f>
        <v/>
      </c>
      <c r="P129" s="39">
        <f>IF($A129="","",IF($O129="Risc concentrare","Risc concentrare",IF($O129="Client pierdut","Recuperare client",IF($O129="Client dormant","Reactivare client",IF($O129="Scădere de venit","Recuperare client",IF($O129="Detractor activ","Recuperare NPS",IF($O129="Marjă sub referință","Marjă / preț",IF($O129="În creștere","Up-sell",IF($O129="Fără activitate","Reactivare client","Cross-sell")))))))))</f>
        <v/>
      </c>
      <c r="Q129" s="24">
        <f>IF($A129="","",IFERROR(IF($O129="Scădere de venit",MAX(0,$F129-$E129),IF(OR($O129="Client pierdut",$O129="Client dormant",$O129="Fără activitate"),$F129,IF($O129="Marjă sub referință",MAX(0,$E129*('09_PARAMETRI'!$B$15-$I129)),$E129*0.15))),""))</f>
        <v/>
      </c>
      <c r="R129" s="48">
        <f>IF(OR($A129="",$E129="",N($E129)&lt;=0),"",$E129+ROW()/1000000)</f>
        <v/>
      </c>
    </row>
    <row r="130">
      <c r="A130" s="39">
        <f>IF('10_CLIENTI'!$A130="","",'10_CLIENTI'!$A130)</f>
        <v/>
      </c>
      <c r="B130" s="39">
        <f>IF($A130="","",IFERROR(INDEX('10_CLIENTI'!$B$5:$B$204,MATCH($A130,'10_CLIENTI'!$A$5:$A$204,0)),""))</f>
        <v/>
      </c>
      <c r="C130" s="39">
        <f>IF($A130="","",IFERROR(INDEX('10_CLIENTI'!$C$5:$C$204,MATCH($A130,'10_CLIENTI'!$A$5:$A$204,0)),""))</f>
        <v/>
      </c>
      <c r="D130" s="39">
        <f>IF($A130="","",IFERROR(INDEX('10_CLIENTI'!$G$5:$G$204,MATCH($A130,'10_CLIENTI'!$A$5:$A$204,0)),""))</f>
        <v/>
      </c>
      <c r="E130" s="24">
        <f>IF($A130="","",SUMIFS('13_VANZARI'!$H$5:$H$1004,'13_VANZARI'!$D$5:$D$1004,$A130,'13_VANZARI'!$A$5:$A$1004,"&gt;="&amp;'09_PARAMETRI'!$B$5,'13_VANZARI'!$A$5:$A$1004,"&lt;="&amp;'09_PARAMETRI'!$B$6))</f>
        <v/>
      </c>
      <c r="F130" s="24">
        <f>IF($A130="","",SUMIFS('13_VANZARI'!$H$5:$H$1004,'13_VANZARI'!$D$5:$D$1004,$A130,'13_VANZARI'!$A$5:$A$1004,"&gt;="&amp;'09_PARAMETRI'!$B$7,'13_VANZARI'!$A$5:$A$1004,"&lt;="&amp;'09_PARAMETRI'!$B$8))</f>
        <v/>
      </c>
      <c r="G130" s="25">
        <f>IF($A130="","",IFERROR(IF($F130=0,"",($E130-$F130)/ABS($F130)),""))</f>
        <v/>
      </c>
      <c r="H130" s="24">
        <f>IF($A130="","",SUMIFS('13_VANZARI'!$K$5:$K$1004,'13_VANZARI'!$D$5:$D$1004,$A130,'13_VANZARI'!$A$5:$A$1004,"&gt;="&amp;'09_PARAMETRI'!$B$5,'13_VANZARI'!$A$5:$A$1004,"&lt;="&amp;'09_PARAMETRI'!$B$6))</f>
        <v/>
      </c>
      <c r="I130" s="25">
        <f>IF($A130="","",IFERROR($H130/$E130,""))</f>
        <v/>
      </c>
      <c r="J130" s="25">
        <f>IF($A130="","",IFERROR($E130/SUMIFS('13_VANZARI'!$H$5:$H$1004,'13_VANZARI'!$A$5:$A$1004,"&gt;="&amp;'09_PARAMETRI'!$B$5,'13_VANZARI'!$A$5:$A$1004,"&lt;="&amp;'09_PARAMETRI'!$B$6),""))</f>
        <v/>
      </c>
      <c r="K130" s="36">
        <f>IF($A130="","",IFERROR(IF(SUMPRODUCT(MAX(('13_VANZARI'!$D$5:$D$1004=$A130)*('13_VANZARI'!$H$5:$H$1004&lt;&gt;"")*'13_VANZARI'!$A$5:$A$1004))=0,"",SUMPRODUCT(MAX(('13_VANZARI'!$D$5:$D$1004=$A130)*('13_VANZARI'!$H$5:$H$1004&lt;&gt;"")*'13_VANZARI'!$A$5:$A$1004))),""))</f>
        <v/>
      </c>
      <c r="L130" s="24">
        <f>IF(OR($A130="",$K130=""),"",'09_PARAMETRI'!$B$9-$K130)</f>
        <v/>
      </c>
      <c r="M130" s="24">
        <f>IF($A130="","",SUMPRODUCT(('11_PRODUSE'!$A$5:$A$104&lt;&gt;"")*(SUMIFS('13_VANZARI'!$H$5:$H$1004,'13_VANZARI'!$D$5:$D$1004,$A130,'13_VANZARI'!$E$5:$E$1004,'11_PRODUSE'!$A$5:$A$104,'13_VANZARI'!$A$5:$A$1004,"&gt;="&amp;'09_PARAMETRI'!$B$5,'13_VANZARI'!$A$5:$A$1004,"&lt;="&amp;'09_PARAMETRI'!$B$6)&lt;&gt;0)))</f>
        <v/>
      </c>
      <c r="N130" s="50">
        <f>IF($A130="","",IFERROR(AVERAGEIFS('15_NPS'!$F$5:$F$504,'15_NPS'!$C$5:$C$504,$A130,'15_NPS'!$B$5:$B$504,"&gt;="&amp;'09_PARAMETRI'!$B$5,'15_NPS'!$B$5:$B$504,"&lt;="&amp;'09_PARAMETRI'!$B$6),""))</f>
        <v/>
      </c>
      <c r="O130" s="39">
        <f>IF($A130="","",IF(AND($F130&gt;0,$E130=0),"Client pierdut",IF(AND($L130&lt;&gt;"",$L130&gt;'09_PARAMETRI'!$B$16,$F130&gt;0),"Client dormant",IF(AND($G130&lt;&gt;"",$G130&lt;='09_PARAMETRI'!$B$13),"Scădere de venit",IF(AND($N130&lt;&gt;"",$N130&lt;7),"Detractor activ",IF(AND($E130&gt;0,$J130&gt;'09_PARAMETRI'!$B$19),"Risc concentrare",IF(AND($E130&gt;0,$I130&lt;&gt;"",$I130&lt;'09_PARAMETRI'!$B$15),"Marjă sub referință",IF(AND($G130&lt;&gt;"",$G130&gt;='09_PARAMETRI'!$B$14),"În creștere",IF($E130=0,"Fără activitate","Stabil")))))))))</f>
        <v/>
      </c>
      <c r="P130" s="39">
        <f>IF($A130="","",IF($O130="Risc concentrare","Risc concentrare",IF($O130="Client pierdut","Recuperare client",IF($O130="Client dormant","Reactivare client",IF($O130="Scădere de venit","Recuperare client",IF($O130="Detractor activ","Recuperare NPS",IF($O130="Marjă sub referință","Marjă / preț",IF($O130="În creștere","Up-sell",IF($O130="Fără activitate","Reactivare client","Cross-sell")))))))))</f>
        <v/>
      </c>
      <c r="Q130" s="24">
        <f>IF($A130="","",IFERROR(IF($O130="Scădere de venit",MAX(0,$F130-$E130),IF(OR($O130="Client pierdut",$O130="Client dormant",$O130="Fără activitate"),$F130,IF($O130="Marjă sub referință",MAX(0,$E130*('09_PARAMETRI'!$B$15-$I130)),$E130*0.15))),""))</f>
        <v/>
      </c>
      <c r="R130" s="48">
        <f>IF(OR($A130="",$E130="",N($E130)&lt;=0),"",$E130+ROW()/1000000)</f>
        <v/>
      </c>
    </row>
    <row r="131">
      <c r="A131" s="39">
        <f>IF('10_CLIENTI'!$A131="","",'10_CLIENTI'!$A131)</f>
        <v/>
      </c>
      <c r="B131" s="39">
        <f>IF($A131="","",IFERROR(INDEX('10_CLIENTI'!$B$5:$B$204,MATCH($A131,'10_CLIENTI'!$A$5:$A$204,0)),""))</f>
        <v/>
      </c>
      <c r="C131" s="39">
        <f>IF($A131="","",IFERROR(INDEX('10_CLIENTI'!$C$5:$C$204,MATCH($A131,'10_CLIENTI'!$A$5:$A$204,0)),""))</f>
        <v/>
      </c>
      <c r="D131" s="39">
        <f>IF($A131="","",IFERROR(INDEX('10_CLIENTI'!$G$5:$G$204,MATCH($A131,'10_CLIENTI'!$A$5:$A$204,0)),""))</f>
        <v/>
      </c>
      <c r="E131" s="24">
        <f>IF($A131="","",SUMIFS('13_VANZARI'!$H$5:$H$1004,'13_VANZARI'!$D$5:$D$1004,$A131,'13_VANZARI'!$A$5:$A$1004,"&gt;="&amp;'09_PARAMETRI'!$B$5,'13_VANZARI'!$A$5:$A$1004,"&lt;="&amp;'09_PARAMETRI'!$B$6))</f>
        <v/>
      </c>
      <c r="F131" s="24">
        <f>IF($A131="","",SUMIFS('13_VANZARI'!$H$5:$H$1004,'13_VANZARI'!$D$5:$D$1004,$A131,'13_VANZARI'!$A$5:$A$1004,"&gt;="&amp;'09_PARAMETRI'!$B$7,'13_VANZARI'!$A$5:$A$1004,"&lt;="&amp;'09_PARAMETRI'!$B$8))</f>
        <v/>
      </c>
      <c r="G131" s="25">
        <f>IF($A131="","",IFERROR(IF($F131=0,"",($E131-$F131)/ABS($F131)),""))</f>
        <v/>
      </c>
      <c r="H131" s="24">
        <f>IF($A131="","",SUMIFS('13_VANZARI'!$K$5:$K$1004,'13_VANZARI'!$D$5:$D$1004,$A131,'13_VANZARI'!$A$5:$A$1004,"&gt;="&amp;'09_PARAMETRI'!$B$5,'13_VANZARI'!$A$5:$A$1004,"&lt;="&amp;'09_PARAMETRI'!$B$6))</f>
        <v/>
      </c>
      <c r="I131" s="25">
        <f>IF($A131="","",IFERROR($H131/$E131,""))</f>
        <v/>
      </c>
      <c r="J131" s="25">
        <f>IF($A131="","",IFERROR($E131/SUMIFS('13_VANZARI'!$H$5:$H$1004,'13_VANZARI'!$A$5:$A$1004,"&gt;="&amp;'09_PARAMETRI'!$B$5,'13_VANZARI'!$A$5:$A$1004,"&lt;="&amp;'09_PARAMETRI'!$B$6),""))</f>
        <v/>
      </c>
      <c r="K131" s="36">
        <f>IF($A131="","",IFERROR(IF(SUMPRODUCT(MAX(('13_VANZARI'!$D$5:$D$1004=$A131)*('13_VANZARI'!$H$5:$H$1004&lt;&gt;"")*'13_VANZARI'!$A$5:$A$1004))=0,"",SUMPRODUCT(MAX(('13_VANZARI'!$D$5:$D$1004=$A131)*('13_VANZARI'!$H$5:$H$1004&lt;&gt;"")*'13_VANZARI'!$A$5:$A$1004))),""))</f>
        <v/>
      </c>
      <c r="L131" s="24">
        <f>IF(OR($A131="",$K131=""),"",'09_PARAMETRI'!$B$9-$K131)</f>
        <v/>
      </c>
      <c r="M131" s="24">
        <f>IF($A131="","",SUMPRODUCT(('11_PRODUSE'!$A$5:$A$104&lt;&gt;"")*(SUMIFS('13_VANZARI'!$H$5:$H$1004,'13_VANZARI'!$D$5:$D$1004,$A131,'13_VANZARI'!$E$5:$E$1004,'11_PRODUSE'!$A$5:$A$104,'13_VANZARI'!$A$5:$A$1004,"&gt;="&amp;'09_PARAMETRI'!$B$5,'13_VANZARI'!$A$5:$A$1004,"&lt;="&amp;'09_PARAMETRI'!$B$6)&lt;&gt;0)))</f>
        <v/>
      </c>
      <c r="N131" s="50">
        <f>IF($A131="","",IFERROR(AVERAGEIFS('15_NPS'!$F$5:$F$504,'15_NPS'!$C$5:$C$504,$A131,'15_NPS'!$B$5:$B$504,"&gt;="&amp;'09_PARAMETRI'!$B$5,'15_NPS'!$B$5:$B$504,"&lt;="&amp;'09_PARAMETRI'!$B$6),""))</f>
        <v/>
      </c>
      <c r="O131" s="39">
        <f>IF($A131="","",IF(AND($F131&gt;0,$E131=0),"Client pierdut",IF(AND($L131&lt;&gt;"",$L131&gt;'09_PARAMETRI'!$B$16,$F131&gt;0),"Client dormant",IF(AND($G131&lt;&gt;"",$G131&lt;='09_PARAMETRI'!$B$13),"Scădere de venit",IF(AND($N131&lt;&gt;"",$N131&lt;7),"Detractor activ",IF(AND($E131&gt;0,$J131&gt;'09_PARAMETRI'!$B$19),"Risc concentrare",IF(AND($E131&gt;0,$I131&lt;&gt;"",$I131&lt;'09_PARAMETRI'!$B$15),"Marjă sub referință",IF(AND($G131&lt;&gt;"",$G131&gt;='09_PARAMETRI'!$B$14),"În creștere",IF($E131=0,"Fără activitate","Stabil")))))))))</f>
        <v/>
      </c>
      <c r="P131" s="39">
        <f>IF($A131="","",IF($O131="Risc concentrare","Risc concentrare",IF($O131="Client pierdut","Recuperare client",IF($O131="Client dormant","Reactivare client",IF($O131="Scădere de venit","Recuperare client",IF($O131="Detractor activ","Recuperare NPS",IF($O131="Marjă sub referință","Marjă / preț",IF($O131="În creștere","Up-sell",IF($O131="Fără activitate","Reactivare client","Cross-sell")))))))))</f>
        <v/>
      </c>
      <c r="Q131" s="24">
        <f>IF($A131="","",IFERROR(IF($O131="Scădere de venit",MAX(0,$F131-$E131),IF(OR($O131="Client pierdut",$O131="Client dormant",$O131="Fără activitate"),$F131,IF($O131="Marjă sub referință",MAX(0,$E131*('09_PARAMETRI'!$B$15-$I131)),$E131*0.15))),""))</f>
        <v/>
      </c>
      <c r="R131" s="48">
        <f>IF(OR($A131="",$E131="",N($E131)&lt;=0),"",$E131+ROW()/1000000)</f>
        <v/>
      </c>
    </row>
    <row r="132">
      <c r="A132" s="39">
        <f>IF('10_CLIENTI'!$A132="","",'10_CLIENTI'!$A132)</f>
        <v/>
      </c>
      <c r="B132" s="39">
        <f>IF($A132="","",IFERROR(INDEX('10_CLIENTI'!$B$5:$B$204,MATCH($A132,'10_CLIENTI'!$A$5:$A$204,0)),""))</f>
        <v/>
      </c>
      <c r="C132" s="39">
        <f>IF($A132="","",IFERROR(INDEX('10_CLIENTI'!$C$5:$C$204,MATCH($A132,'10_CLIENTI'!$A$5:$A$204,0)),""))</f>
        <v/>
      </c>
      <c r="D132" s="39">
        <f>IF($A132="","",IFERROR(INDEX('10_CLIENTI'!$G$5:$G$204,MATCH($A132,'10_CLIENTI'!$A$5:$A$204,0)),""))</f>
        <v/>
      </c>
      <c r="E132" s="24">
        <f>IF($A132="","",SUMIFS('13_VANZARI'!$H$5:$H$1004,'13_VANZARI'!$D$5:$D$1004,$A132,'13_VANZARI'!$A$5:$A$1004,"&gt;="&amp;'09_PARAMETRI'!$B$5,'13_VANZARI'!$A$5:$A$1004,"&lt;="&amp;'09_PARAMETRI'!$B$6))</f>
        <v/>
      </c>
      <c r="F132" s="24">
        <f>IF($A132="","",SUMIFS('13_VANZARI'!$H$5:$H$1004,'13_VANZARI'!$D$5:$D$1004,$A132,'13_VANZARI'!$A$5:$A$1004,"&gt;="&amp;'09_PARAMETRI'!$B$7,'13_VANZARI'!$A$5:$A$1004,"&lt;="&amp;'09_PARAMETRI'!$B$8))</f>
        <v/>
      </c>
      <c r="G132" s="25">
        <f>IF($A132="","",IFERROR(IF($F132=0,"",($E132-$F132)/ABS($F132)),""))</f>
        <v/>
      </c>
      <c r="H132" s="24">
        <f>IF($A132="","",SUMIFS('13_VANZARI'!$K$5:$K$1004,'13_VANZARI'!$D$5:$D$1004,$A132,'13_VANZARI'!$A$5:$A$1004,"&gt;="&amp;'09_PARAMETRI'!$B$5,'13_VANZARI'!$A$5:$A$1004,"&lt;="&amp;'09_PARAMETRI'!$B$6))</f>
        <v/>
      </c>
      <c r="I132" s="25">
        <f>IF($A132="","",IFERROR($H132/$E132,""))</f>
        <v/>
      </c>
      <c r="J132" s="25">
        <f>IF($A132="","",IFERROR($E132/SUMIFS('13_VANZARI'!$H$5:$H$1004,'13_VANZARI'!$A$5:$A$1004,"&gt;="&amp;'09_PARAMETRI'!$B$5,'13_VANZARI'!$A$5:$A$1004,"&lt;="&amp;'09_PARAMETRI'!$B$6),""))</f>
        <v/>
      </c>
      <c r="K132" s="36">
        <f>IF($A132="","",IFERROR(IF(SUMPRODUCT(MAX(('13_VANZARI'!$D$5:$D$1004=$A132)*('13_VANZARI'!$H$5:$H$1004&lt;&gt;"")*'13_VANZARI'!$A$5:$A$1004))=0,"",SUMPRODUCT(MAX(('13_VANZARI'!$D$5:$D$1004=$A132)*('13_VANZARI'!$H$5:$H$1004&lt;&gt;"")*'13_VANZARI'!$A$5:$A$1004))),""))</f>
        <v/>
      </c>
      <c r="L132" s="24">
        <f>IF(OR($A132="",$K132=""),"",'09_PARAMETRI'!$B$9-$K132)</f>
        <v/>
      </c>
      <c r="M132" s="24">
        <f>IF($A132="","",SUMPRODUCT(('11_PRODUSE'!$A$5:$A$104&lt;&gt;"")*(SUMIFS('13_VANZARI'!$H$5:$H$1004,'13_VANZARI'!$D$5:$D$1004,$A132,'13_VANZARI'!$E$5:$E$1004,'11_PRODUSE'!$A$5:$A$104,'13_VANZARI'!$A$5:$A$1004,"&gt;="&amp;'09_PARAMETRI'!$B$5,'13_VANZARI'!$A$5:$A$1004,"&lt;="&amp;'09_PARAMETRI'!$B$6)&lt;&gt;0)))</f>
        <v/>
      </c>
      <c r="N132" s="50">
        <f>IF($A132="","",IFERROR(AVERAGEIFS('15_NPS'!$F$5:$F$504,'15_NPS'!$C$5:$C$504,$A132,'15_NPS'!$B$5:$B$504,"&gt;="&amp;'09_PARAMETRI'!$B$5,'15_NPS'!$B$5:$B$504,"&lt;="&amp;'09_PARAMETRI'!$B$6),""))</f>
        <v/>
      </c>
      <c r="O132" s="39">
        <f>IF($A132="","",IF(AND($F132&gt;0,$E132=0),"Client pierdut",IF(AND($L132&lt;&gt;"",$L132&gt;'09_PARAMETRI'!$B$16,$F132&gt;0),"Client dormant",IF(AND($G132&lt;&gt;"",$G132&lt;='09_PARAMETRI'!$B$13),"Scădere de venit",IF(AND($N132&lt;&gt;"",$N132&lt;7),"Detractor activ",IF(AND($E132&gt;0,$J132&gt;'09_PARAMETRI'!$B$19),"Risc concentrare",IF(AND($E132&gt;0,$I132&lt;&gt;"",$I132&lt;'09_PARAMETRI'!$B$15),"Marjă sub referință",IF(AND($G132&lt;&gt;"",$G132&gt;='09_PARAMETRI'!$B$14),"În creștere",IF($E132=0,"Fără activitate","Stabil")))))))))</f>
        <v/>
      </c>
      <c r="P132" s="39">
        <f>IF($A132="","",IF($O132="Risc concentrare","Risc concentrare",IF($O132="Client pierdut","Recuperare client",IF($O132="Client dormant","Reactivare client",IF($O132="Scădere de venit","Recuperare client",IF($O132="Detractor activ","Recuperare NPS",IF($O132="Marjă sub referință","Marjă / preț",IF($O132="În creștere","Up-sell",IF($O132="Fără activitate","Reactivare client","Cross-sell")))))))))</f>
        <v/>
      </c>
      <c r="Q132" s="24">
        <f>IF($A132="","",IFERROR(IF($O132="Scădere de venit",MAX(0,$F132-$E132),IF(OR($O132="Client pierdut",$O132="Client dormant",$O132="Fără activitate"),$F132,IF($O132="Marjă sub referință",MAX(0,$E132*('09_PARAMETRI'!$B$15-$I132)),$E132*0.15))),""))</f>
        <v/>
      </c>
      <c r="R132" s="48">
        <f>IF(OR($A132="",$E132="",N($E132)&lt;=0),"",$E132+ROW()/1000000)</f>
        <v/>
      </c>
    </row>
    <row r="133">
      <c r="A133" s="39">
        <f>IF('10_CLIENTI'!$A133="","",'10_CLIENTI'!$A133)</f>
        <v/>
      </c>
      <c r="B133" s="39">
        <f>IF($A133="","",IFERROR(INDEX('10_CLIENTI'!$B$5:$B$204,MATCH($A133,'10_CLIENTI'!$A$5:$A$204,0)),""))</f>
        <v/>
      </c>
      <c r="C133" s="39">
        <f>IF($A133="","",IFERROR(INDEX('10_CLIENTI'!$C$5:$C$204,MATCH($A133,'10_CLIENTI'!$A$5:$A$204,0)),""))</f>
        <v/>
      </c>
      <c r="D133" s="39">
        <f>IF($A133="","",IFERROR(INDEX('10_CLIENTI'!$G$5:$G$204,MATCH($A133,'10_CLIENTI'!$A$5:$A$204,0)),""))</f>
        <v/>
      </c>
      <c r="E133" s="24">
        <f>IF($A133="","",SUMIFS('13_VANZARI'!$H$5:$H$1004,'13_VANZARI'!$D$5:$D$1004,$A133,'13_VANZARI'!$A$5:$A$1004,"&gt;="&amp;'09_PARAMETRI'!$B$5,'13_VANZARI'!$A$5:$A$1004,"&lt;="&amp;'09_PARAMETRI'!$B$6))</f>
        <v/>
      </c>
      <c r="F133" s="24">
        <f>IF($A133="","",SUMIFS('13_VANZARI'!$H$5:$H$1004,'13_VANZARI'!$D$5:$D$1004,$A133,'13_VANZARI'!$A$5:$A$1004,"&gt;="&amp;'09_PARAMETRI'!$B$7,'13_VANZARI'!$A$5:$A$1004,"&lt;="&amp;'09_PARAMETRI'!$B$8))</f>
        <v/>
      </c>
      <c r="G133" s="25">
        <f>IF($A133="","",IFERROR(IF($F133=0,"",($E133-$F133)/ABS($F133)),""))</f>
        <v/>
      </c>
      <c r="H133" s="24">
        <f>IF($A133="","",SUMIFS('13_VANZARI'!$K$5:$K$1004,'13_VANZARI'!$D$5:$D$1004,$A133,'13_VANZARI'!$A$5:$A$1004,"&gt;="&amp;'09_PARAMETRI'!$B$5,'13_VANZARI'!$A$5:$A$1004,"&lt;="&amp;'09_PARAMETRI'!$B$6))</f>
        <v/>
      </c>
      <c r="I133" s="25">
        <f>IF($A133="","",IFERROR($H133/$E133,""))</f>
        <v/>
      </c>
      <c r="J133" s="25">
        <f>IF($A133="","",IFERROR($E133/SUMIFS('13_VANZARI'!$H$5:$H$1004,'13_VANZARI'!$A$5:$A$1004,"&gt;="&amp;'09_PARAMETRI'!$B$5,'13_VANZARI'!$A$5:$A$1004,"&lt;="&amp;'09_PARAMETRI'!$B$6),""))</f>
        <v/>
      </c>
      <c r="K133" s="36">
        <f>IF($A133="","",IFERROR(IF(SUMPRODUCT(MAX(('13_VANZARI'!$D$5:$D$1004=$A133)*('13_VANZARI'!$H$5:$H$1004&lt;&gt;"")*'13_VANZARI'!$A$5:$A$1004))=0,"",SUMPRODUCT(MAX(('13_VANZARI'!$D$5:$D$1004=$A133)*('13_VANZARI'!$H$5:$H$1004&lt;&gt;"")*'13_VANZARI'!$A$5:$A$1004))),""))</f>
        <v/>
      </c>
      <c r="L133" s="24">
        <f>IF(OR($A133="",$K133=""),"",'09_PARAMETRI'!$B$9-$K133)</f>
        <v/>
      </c>
      <c r="M133" s="24">
        <f>IF($A133="","",SUMPRODUCT(('11_PRODUSE'!$A$5:$A$104&lt;&gt;"")*(SUMIFS('13_VANZARI'!$H$5:$H$1004,'13_VANZARI'!$D$5:$D$1004,$A133,'13_VANZARI'!$E$5:$E$1004,'11_PRODUSE'!$A$5:$A$104,'13_VANZARI'!$A$5:$A$1004,"&gt;="&amp;'09_PARAMETRI'!$B$5,'13_VANZARI'!$A$5:$A$1004,"&lt;="&amp;'09_PARAMETRI'!$B$6)&lt;&gt;0)))</f>
        <v/>
      </c>
      <c r="N133" s="50">
        <f>IF($A133="","",IFERROR(AVERAGEIFS('15_NPS'!$F$5:$F$504,'15_NPS'!$C$5:$C$504,$A133,'15_NPS'!$B$5:$B$504,"&gt;="&amp;'09_PARAMETRI'!$B$5,'15_NPS'!$B$5:$B$504,"&lt;="&amp;'09_PARAMETRI'!$B$6),""))</f>
        <v/>
      </c>
      <c r="O133" s="39">
        <f>IF($A133="","",IF(AND($F133&gt;0,$E133=0),"Client pierdut",IF(AND($L133&lt;&gt;"",$L133&gt;'09_PARAMETRI'!$B$16,$F133&gt;0),"Client dormant",IF(AND($G133&lt;&gt;"",$G133&lt;='09_PARAMETRI'!$B$13),"Scădere de venit",IF(AND($N133&lt;&gt;"",$N133&lt;7),"Detractor activ",IF(AND($E133&gt;0,$J133&gt;'09_PARAMETRI'!$B$19),"Risc concentrare",IF(AND($E133&gt;0,$I133&lt;&gt;"",$I133&lt;'09_PARAMETRI'!$B$15),"Marjă sub referință",IF(AND($G133&lt;&gt;"",$G133&gt;='09_PARAMETRI'!$B$14),"În creștere",IF($E133=0,"Fără activitate","Stabil")))))))))</f>
        <v/>
      </c>
      <c r="P133" s="39">
        <f>IF($A133="","",IF($O133="Risc concentrare","Risc concentrare",IF($O133="Client pierdut","Recuperare client",IF($O133="Client dormant","Reactivare client",IF($O133="Scădere de venit","Recuperare client",IF($O133="Detractor activ","Recuperare NPS",IF($O133="Marjă sub referință","Marjă / preț",IF($O133="În creștere","Up-sell",IF($O133="Fără activitate","Reactivare client","Cross-sell")))))))))</f>
        <v/>
      </c>
      <c r="Q133" s="24">
        <f>IF($A133="","",IFERROR(IF($O133="Scădere de venit",MAX(0,$F133-$E133),IF(OR($O133="Client pierdut",$O133="Client dormant",$O133="Fără activitate"),$F133,IF($O133="Marjă sub referință",MAX(0,$E133*('09_PARAMETRI'!$B$15-$I133)),$E133*0.15))),""))</f>
        <v/>
      </c>
      <c r="R133" s="48">
        <f>IF(OR($A133="",$E133="",N($E133)&lt;=0),"",$E133+ROW()/1000000)</f>
        <v/>
      </c>
    </row>
    <row r="134">
      <c r="A134" s="39">
        <f>IF('10_CLIENTI'!$A134="","",'10_CLIENTI'!$A134)</f>
        <v/>
      </c>
      <c r="B134" s="39">
        <f>IF($A134="","",IFERROR(INDEX('10_CLIENTI'!$B$5:$B$204,MATCH($A134,'10_CLIENTI'!$A$5:$A$204,0)),""))</f>
        <v/>
      </c>
      <c r="C134" s="39">
        <f>IF($A134="","",IFERROR(INDEX('10_CLIENTI'!$C$5:$C$204,MATCH($A134,'10_CLIENTI'!$A$5:$A$204,0)),""))</f>
        <v/>
      </c>
      <c r="D134" s="39">
        <f>IF($A134="","",IFERROR(INDEX('10_CLIENTI'!$G$5:$G$204,MATCH($A134,'10_CLIENTI'!$A$5:$A$204,0)),""))</f>
        <v/>
      </c>
      <c r="E134" s="24">
        <f>IF($A134="","",SUMIFS('13_VANZARI'!$H$5:$H$1004,'13_VANZARI'!$D$5:$D$1004,$A134,'13_VANZARI'!$A$5:$A$1004,"&gt;="&amp;'09_PARAMETRI'!$B$5,'13_VANZARI'!$A$5:$A$1004,"&lt;="&amp;'09_PARAMETRI'!$B$6))</f>
        <v/>
      </c>
      <c r="F134" s="24">
        <f>IF($A134="","",SUMIFS('13_VANZARI'!$H$5:$H$1004,'13_VANZARI'!$D$5:$D$1004,$A134,'13_VANZARI'!$A$5:$A$1004,"&gt;="&amp;'09_PARAMETRI'!$B$7,'13_VANZARI'!$A$5:$A$1004,"&lt;="&amp;'09_PARAMETRI'!$B$8))</f>
        <v/>
      </c>
      <c r="G134" s="25">
        <f>IF($A134="","",IFERROR(IF($F134=0,"",($E134-$F134)/ABS($F134)),""))</f>
        <v/>
      </c>
      <c r="H134" s="24">
        <f>IF($A134="","",SUMIFS('13_VANZARI'!$K$5:$K$1004,'13_VANZARI'!$D$5:$D$1004,$A134,'13_VANZARI'!$A$5:$A$1004,"&gt;="&amp;'09_PARAMETRI'!$B$5,'13_VANZARI'!$A$5:$A$1004,"&lt;="&amp;'09_PARAMETRI'!$B$6))</f>
        <v/>
      </c>
      <c r="I134" s="25">
        <f>IF($A134="","",IFERROR($H134/$E134,""))</f>
        <v/>
      </c>
      <c r="J134" s="25">
        <f>IF($A134="","",IFERROR($E134/SUMIFS('13_VANZARI'!$H$5:$H$1004,'13_VANZARI'!$A$5:$A$1004,"&gt;="&amp;'09_PARAMETRI'!$B$5,'13_VANZARI'!$A$5:$A$1004,"&lt;="&amp;'09_PARAMETRI'!$B$6),""))</f>
        <v/>
      </c>
      <c r="K134" s="36">
        <f>IF($A134="","",IFERROR(IF(SUMPRODUCT(MAX(('13_VANZARI'!$D$5:$D$1004=$A134)*('13_VANZARI'!$H$5:$H$1004&lt;&gt;"")*'13_VANZARI'!$A$5:$A$1004))=0,"",SUMPRODUCT(MAX(('13_VANZARI'!$D$5:$D$1004=$A134)*('13_VANZARI'!$H$5:$H$1004&lt;&gt;"")*'13_VANZARI'!$A$5:$A$1004))),""))</f>
        <v/>
      </c>
      <c r="L134" s="24">
        <f>IF(OR($A134="",$K134=""),"",'09_PARAMETRI'!$B$9-$K134)</f>
        <v/>
      </c>
      <c r="M134" s="24">
        <f>IF($A134="","",SUMPRODUCT(('11_PRODUSE'!$A$5:$A$104&lt;&gt;"")*(SUMIFS('13_VANZARI'!$H$5:$H$1004,'13_VANZARI'!$D$5:$D$1004,$A134,'13_VANZARI'!$E$5:$E$1004,'11_PRODUSE'!$A$5:$A$104,'13_VANZARI'!$A$5:$A$1004,"&gt;="&amp;'09_PARAMETRI'!$B$5,'13_VANZARI'!$A$5:$A$1004,"&lt;="&amp;'09_PARAMETRI'!$B$6)&lt;&gt;0)))</f>
        <v/>
      </c>
      <c r="N134" s="50">
        <f>IF($A134="","",IFERROR(AVERAGEIFS('15_NPS'!$F$5:$F$504,'15_NPS'!$C$5:$C$504,$A134,'15_NPS'!$B$5:$B$504,"&gt;="&amp;'09_PARAMETRI'!$B$5,'15_NPS'!$B$5:$B$504,"&lt;="&amp;'09_PARAMETRI'!$B$6),""))</f>
        <v/>
      </c>
      <c r="O134" s="39">
        <f>IF($A134="","",IF(AND($F134&gt;0,$E134=0),"Client pierdut",IF(AND($L134&lt;&gt;"",$L134&gt;'09_PARAMETRI'!$B$16,$F134&gt;0),"Client dormant",IF(AND($G134&lt;&gt;"",$G134&lt;='09_PARAMETRI'!$B$13),"Scădere de venit",IF(AND($N134&lt;&gt;"",$N134&lt;7),"Detractor activ",IF(AND($E134&gt;0,$J134&gt;'09_PARAMETRI'!$B$19),"Risc concentrare",IF(AND($E134&gt;0,$I134&lt;&gt;"",$I134&lt;'09_PARAMETRI'!$B$15),"Marjă sub referință",IF(AND($G134&lt;&gt;"",$G134&gt;='09_PARAMETRI'!$B$14),"În creștere",IF($E134=0,"Fără activitate","Stabil")))))))))</f>
        <v/>
      </c>
      <c r="P134" s="39">
        <f>IF($A134="","",IF($O134="Risc concentrare","Risc concentrare",IF($O134="Client pierdut","Recuperare client",IF($O134="Client dormant","Reactivare client",IF($O134="Scădere de venit","Recuperare client",IF($O134="Detractor activ","Recuperare NPS",IF($O134="Marjă sub referință","Marjă / preț",IF($O134="În creștere","Up-sell",IF($O134="Fără activitate","Reactivare client","Cross-sell")))))))))</f>
        <v/>
      </c>
      <c r="Q134" s="24">
        <f>IF($A134="","",IFERROR(IF($O134="Scădere de venit",MAX(0,$F134-$E134),IF(OR($O134="Client pierdut",$O134="Client dormant",$O134="Fără activitate"),$F134,IF($O134="Marjă sub referință",MAX(0,$E134*('09_PARAMETRI'!$B$15-$I134)),$E134*0.15))),""))</f>
        <v/>
      </c>
      <c r="R134" s="48">
        <f>IF(OR($A134="",$E134="",N($E134)&lt;=0),"",$E134+ROW()/1000000)</f>
        <v/>
      </c>
    </row>
    <row r="135">
      <c r="A135" s="39">
        <f>IF('10_CLIENTI'!$A135="","",'10_CLIENTI'!$A135)</f>
        <v/>
      </c>
      <c r="B135" s="39">
        <f>IF($A135="","",IFERROR(INDEX('10_CLIENTI'!$B$5:$B$204,MATCH($A135,'10_CLIENTI'!$A$5:$A$204,0)),""))</f>
        <v/>
      </c>
      <c r="C135" s="39">
        <f>IF($A135="","",IFERROR(INDEX('10_CLIENTI'!$C$5:$C$204,MATCH($A135,'10_CLIENTI'!$A$5:$A$204,0)),""))</f>
        <v/>
      </c>
      <c r="D135" s="39">
        <f>IF($A135="","",IFERROR(INDEX('10_CLIENTI'!$G$5:$G$204,MATCH($A135,'10_CLIENTI'!$A$5:$A$204,0)),""))</f>
        <v/>
      </c>
      <c r="E135" s="24">
        <f>IF($A135="","",SUMIFS('13_VANZARI'!$H$5:$H$1004,'13_VANZARI'!$D$5:$D$1004,$A135,'13_VANZARI'!$A$5:$A$1004,"&gt;="&amp;'09_PARAMETRI'!$B$5,'13_VANZARI'!$A$5:$A$1004,"&lt;="&amp;'09_PARAMETRI'!$B$6))</f>
        <v/>
      </c>
      <c r="F135" s="24">
        <f>IF($A135="","",SUMIFS('13_VANZARI'!$H$5:$H$1004,'13_VANZARI'!$D$5:$D$1004,$A135,'13_VANZARI'!$A$5:$A$1004,"&gt;="&amp;'09_PARAMETRI'!$B$7,'13_VANZARI'!$A$5:$A$1004,"&lt;="&amp;'09_PARAMETRI'!$B$8))</f>
        <v/>
      </c>
      <c r="G135" s="25">
        <f>IF($A135="","",IFERROR(IF($F135=0,"",($E135-$F135)/ABS($F135)),""))</f>
        <v/>
      </c>
      <c r="H135" s="24">
        <f>IF($A135="","",SUMIFS('13_VANZARI'!$K$5:$K$1004,'13_VANZARI'!$D$5:$D$1004,$A135,'13_VANZARI'!$A$5:$A$1004,"&gt;="&amp;'09_PARAMETRI'!$B$5,'13_VANZARI'!$A$5:$A$1004,"&lt;="&amp;'09_PARAMETRI'!$B$6))</f>
        <v/>
      </c>
      <c r="I135" s="25">
        <f>IF($A135="","",IFERROR($H135/$E135,""))</f>
        <v/>
      </c>
      <c r="J135" s="25">
        <f>IF($A135="","",IFERROR($E135/SUMIFS('13_VANZARI'!$H$5:$H$1004,'13_VANZARI'!$A$5:$A$1004,"&gt;="&amp;'09_PARAMETRI'!$B$5,'13_VANZARI'!$A$5:$A$1004,"&lt;="&amp;'09_PARAMETRI'!$B$6),""))</f>
        <v/>
      </c>
      <c r="K135" s="36">
        <f>IF($A135="","",IFERROR(IF(SUMPRODUCT(MAX(('13_VANZARI'!$D$5:$D$1004=$A135)*('13_VANZARI'!$H$5:$H$1004&lt;&gt;"")*'13_VANZARI'!$A$5:$A$1004))=0,"",SUMPRODUCT(MAX(('13_VANZARI'!$D$5:$D$1004=$A135)*('13_VANZARI'!$H$5:$H$1004&lt;&gt;"")*'13_VANZARI'!$A$5:$A$1004))),""))</f>
        <v/>
      </c>
      <c r="L135" s="24">
        <f>IF(OR($A135="",$K135=""),"",'09_PARAMETRI'!$B$9-$K135)</f>
        <v/>
      </c>
      <c r="M135" s="24">
        <f>IF($A135="","",SUMPRODUCT(('11_PRODUSE'!$A$5:$A$104&lt;&gt;"")*(SUMIFS('13_VANZARI'!$H$5:$H$1004,'13_VANZARI'!$D$5:$D$1004,$A135,'13_VANZARI'!$E$5:$E$1004,'11_PRODUSE'!$A$5:$A$104,'13_VANZARI'!$A$5:$A$1004,"&gt;="&amp;'09_PARAMETRI'!$B$5,'13_VANZARI'!$A$5:$A$1004,"&lt;="&amp;'09_PARAMETRI'!$B$6)&lt;&gt;0)))</f>
        <v/>
      </c>
      <c r="N135" s="50">
        <f>IF($A135="","",IFERROR(AVERAGEIFS('15_NPS'!$F$5:$F$504,'15_NPS'!$C$5:$C$504,$A135,'15_NPS'!$B$5:$B$504,"&gt;="&amp;'09_PARAMETRI'!$B$5,'15_NPS'!$B$5:$B$504,"&lt;="&amp;'09_PARAMETRI'!$B$6),""))</f>
        <v/>
      </c>
      <c r="O135" s="39">
        <f>IF($A135="","",IF(AND($F135&gt;0,$E135=0),"Client pierdut",IF(AND($L135&lt;&gt;"",$L135&gt;'09_PARAMETRI'!$B$16,$F135&gt;0),"Client dormant",IF(AND($G135&lt;&gt;"",$G135&lt;='09_PARAMETRI'!$B$13),"Scădere de venit",IF(AND($N135&lt;&gt;"",$N135&lt;7),"Detractor activ",IF(AND($E135&gt;0,$J135&gt;'09_PARAMETRI'!$B$19),"Risc concentrare",IF(AND($E135&gt;0,$I135&lt;&gt;"",$I135&lt;'09_PARAMETRI'!$B$15),"Marjă sub referință",IF(AND($G135&lt;&gt;"",$G135&gt;='09_PARAMETRI'!$B$14),"În creștere",IF($E135=0,"Fără activitate","Stabil")))))))))</f>
        <v/>
      </c>
      <c r="P135" s="39">
        <f>IF($A135="","",IF($O135="Risc concentrare","Risc concentrare",IF($O135="Client pierdut","Recuperare client",IF($O135="Client dormant","Reactivare client",IF($O135="Scădere de venit","Recuperare client",IF($O135="Detractor activ","Recuperare NPS",IF($O135="Marjă sub referință","Marjă / preț",IF($O135="În creștere","Up-sell",IF($O135="Fără activitate","Reactivare client","Cross-sell")))))))))</f>
        <v/>
      </c>
      <c r="Q135" s="24">
        <f>IF($A135="","",IFERROR(IF($O135="Scădere de venit",MAX(0,$F135-$E135),IF(OR($O135="Client pierdut",$O135="Client dormant",$O135="Fără activitate"),$F135,IF($O135="Marjă sub referință",MAX(0,$E135*('09_PARAMETRI'!$B$15-$I135)),$E135*0.15))),""))</f>
        <v/>
      </c>
      <c r="R135" s="48">
        <f>IF(OR($A135="",$E135="",N($E135)&lt;=0),"",$E135+ROW()/1000000)</f>
        <v/>
      </c>
    </row>
    <row r="136">
      <c r="A136" s="39">
        <f>IF('10_CLIENTI'!$A136="","",'10_CLIENTI'!$A136)</f>
        <v/>
      </c>
      <c r="B136" s="39">
        <f>IF($A136="","",IFERROR(INDEX('10_CLIENTI'!$B$5:$B$204,MATCH($A136,'10_CLIENTI'!$A$5:$A$204,0)),""))</f>
        <v/>
      </c>
      <c r="C136" s="39">
        <f>IF($A136="","",IFERROR(INDEX('10_CLIENTI'!$C$5:$C$204,MATCH($A136,'10_CLIENTI'!$A$5:$A$204,0)),""))</f>
        <v/>
      </c>
      <c r="D136" s="39">
        <f>IF($A136="","",IFERROR(INDEX('10_CLIENTI'!$G$5:$G$204,MATCH($A136,'10_CLIENTI'!$A$5:$A$204,0)),""))</f>
        <v/>
      </c>
      <c r="E136" s="24">
        <f>IF($A136="","",SUMIFS('13_VANZARI'!$H$5:$H$1004,'13_VANZARI'!$D$5:$D$1004,$A136,'13_VANZARI'!$A$5:$A$1004,"&gt;="&amp;'09_PARAMETRI'!$B$5,'13_VANZARI'!$A$5:$A$1004,"&lt;="&amp;'09_PARAMETRI'!$B$6))</f>
        <v/>
      </c>
      <c r="F136" s="24">
        <f>IF($A136="","",SUMIFS('13_VANZARI'!$H$5:$H$1004,'13_VANZARI'!$D$5:$D$1004,$A136,'13_VANZARI'!$A$5:$A$1004,"&gt;="&amp;'09_PARAMETRI'!$B$7,'13_VANZARI'!$A$5:$A$1004,"&lt;="&amp;'09_PARAMETRI'!$B$8))</f>
        <v/>
      </c>
      <c r="G136" s="25">
        <f>IF($A136="","",IFERROR(IF($F136=0,"",($E136-$F136)/ABS($F136)),""))</f>
        <v/>
      </c>
      <c r="H136" s="24">
        <f>IF($A136="","",SUMIFS('13_VANZARI'!$K$5:$K$1004,'13_VANZARI'!$D$5:$D$1004,$A136,'13_VANZARI'!$A$5:$A$1004,"&gt;="&amp;'09_PARAMETRI'!$B$5,'13_VANZARI'!$A$5:$A$1004,"&lt;="&amp;'09_PARAMETRI'!$B$6))</f>
        <v/>
      </c>
      <c r="I136" s="25">
        <f>IF($A136="","",IFERROR($H136/$E136,""))</f>
        <v/>
      </c>
      <c r="J136" s="25">
        <f>IF($A136="","",IFERROR($E136/SUMIFS('13_VANZARI'!$H$5:$H$1004,'13_VANZARI'!$A$5:$A$1004,"&gt;="&amp;'09_PARAMETRI'!$B$5,'13_VANZARI'!$A$5:$A$1004,"&lt;="&amp;'09_PARAMETRI'!$B$6),""))</f>
        <v/>
      </c>
      <c r="K136" s="36">
        <f>IF($A136="","",IFERROR(IF(SUMPRODUCT(MAX(('13_VANZARI'!$D$5:$D$1004=$A136)*('13_VANZARI'!$H$5:$H$1004&lt;&gt;"")*'13_VANZARI'!$A$5:$A$1004))=0,"",SUMPRODUCT(MAX(('13_VANZARI'!$D$5:$D$1004=$A136)*('13_VANZARI'!$H$5:$H$1004&lt;&gt;"")*'13_VANZARI'!$A$5:$A$1004))),""))</f>
        <v/>
      </c>
      <c r="L136" s="24">
        <f>IF(OR($A136="",$K136=""),"",'09_PARAMETRI'!$B$9-$K136)</f>
        <v/>
      </c>
      <c r="M136" s="24">
        <f>IF($A136="","",SUMPRODUCT(('11_PRODUSE'!$A$5:$A$104&lt;&gt;"")*(SUMIFS('13_VANZARI'!$H$5:$H$1004,'13_VANZARI'!$D$5:$D$1004,$A136,'13_VANZARI'!$E$5:$E$1004,'11_PRODUSE'!$A$5:$A$104,'13_VANZARI'!$A$5:$A$1004,"&gt;="&amp;'09_PARAMETRI'!$B$5,'13_VANZARI'!$A$5:$A$1004,"&lt;="&amp;'09_PARAMETRI'!$B$6)&lt;&gt;0)))</f>
        <v/>
      </c>
      <c r="N136" s="50">
        <f>IF($A136="","",IFERROR(AVERAGEIFS('15_NPS'!$F$5:$F$504,'15_NPS'!$C$5:$C$504,$A136,'15_NPS'!$B$5:$B$504,"&gt;="&amp;'09_PARAMETRI'!$B$5,'15_NPS'!$B$5:$B$504,"&lt;="&amp;'09_PARAMETRI'!$B$6),""))</f>
        <v/>
      </c>
      <c r="O136" s="39">
        <f>IF($A136="","",IF(AND($F136&gt;0,$E136=0),"Client pierdut",IF(AND($L136&lt;&gt;"",$L136&gt;'09_PARAMETRI'!$B$16,$F136&gt;0),"Client dormant",IF(AND($G136&lt;&gt;"",$G136&lt;='09_PARAMETRI'!$B$13),"Scădere de venit",IF(AND($N136&lt;&gt;"",$N136&lt;7),"Detractor activ",IF(AND($E136&gt;0,$J136&gt;'09_PARAMETRI'!$B$19),"Risc concentrare",IF(AND($E136&gt;0,$I136&lt;&gt;"",$I136&lt;'09_PARAMETRI'!$B$15),"Marjă sub referință",IF(AND($G136&lt;&gt;"",$G136&gt;='09_PARAMETRI'!$B$14),"În creștere",IF($E136=0,"Fără activitate","Stabil")))))))))</f>
        <v/>
      </c>
      <c r="P136" s="39">
        <f>IF($A136="","",IF($O136="Risc concentrare","Risc concentrare",IF($O136="Client pierdut","Recuperare client",IF($O136="Client dormant","Reactivare client",IF($O136="Scădere de venit","Recuperare client",IF($O136="Detractor activ","Recuperare NPS",IF($O136="Marjă sub referință","Marjă / preț",IF($O136="În creștere","Up-sell",IF($O136="Fără activitate","Reactivare client","Cross-sell")))))))))</f>
        <v/>
      </c>
      <c r="Q136" s="24">
        <f>IF($A136="","",IFERROR(IF($O136="Scădere de venit",MAX(0,$F136-$E136),IF(OR($O136="Client pierdut",$O136="Client dormant",$O136="Fără activitate"),$F136,IF($O136="Marjă sub referință",MAX(0,$E136*('09_PARAMETRI'!$B$15-$I136)),$E136*0.15))),""))</f>
        <v/>
      </c>
      <c r="R136" s="48">
        <f>IF(OR($A136="",$E136="",N($E136)&lt;=0),"",$E136+ROW()/1000000)</f>
        <v/>
      </c>
    </row>
    <row r="137">
      <c r="A137" s="39">
        <f>IF('10_CLIENTI'!$A137="","",'10_CLIENTI'!$A137)</f>
        <v/>
      </c>
      <c r="B137" s="39">
        <f>IF($A137="","",IFERROR(INDEX('10_CLIENTI'!$B$5:$B$204,MATCH($A137,'10_CLIENTI'!$A$5:$A$204,0)),""))</f>
        <v/>
      </c>
      <c r="C137" s="39">
        <f>IF($A137="","",IFERROR(INDEX('10_CLIENTI'!$C$5:$C$204,MATCH($A137,'10_CLIENTI'!$A$5:$A$204,0)),""))</f>
        <v/>
      </c>
      <c r="D137" s="39">
        <f>IF($A137="","",IFERROR(INDEX('10_CLIENTI'!$G$5:$G$204,MATCH($A137,'10_CLIENTI'!$A$5:$A$204,0)),""))</f>
        <v/>
      </c>
      <c r="E137" s="24">
        <f>IF($A137="","",SUMIFS('13_VANZARI'!$H$5:$H$1004,'13_VANZARI'!$D$5:$D$1004,$A137,'13_VANZARI'!$A$5:$A$1004,"&gt;="&amp;'09_PARAMETRI'!$B$5,'13_VANZARI'!$A$5:$A$1004,"&lt;="&amp;'09_PARAMETRI'!$B$6))</f>
        <v/>
      </c>
      <c r="F137" s="24">
        <f>IF($A137="","",SUMIFS('13_VANZARI'!$H$5:$H$1004,'13_VANZARI'!$D$5:$D$1004,$A137,'13_VANZARI'!$A$5:$A$1004,"&gt;="&amp;'09_PARAMETRI'!$B$7,'13_VANZARI'!$A$5:$A$1004,"&lt;="&amp;'09_PARAMETRI'!$B$8))</f>
        <v/>
      </c>
      <c r="G137" s="25">
        <f>IF($A137="","",IFERROR(IF($F137=0,"",($E137-$F137)/ABS($F137)),""))</f>
        <v/>
      </c>
      <c r="H137" s="24">
        <f>IF($A137="","",SUMIFS('13_VANZARI'!$K$5:$K$1004,'13_VANZARI'!$D$5:$D$1004,$A137,'13_VANZARI'!$A$5:$A$1004,"&gt;="&amp;'09_PARAMETRI'!$B$5,'13_VANZARI'!$A$5:$A$1004,"&lt;="&amp;'09_PARAMETRI'!$B$6))</f>
        <v/>
      </c>
      <c r="I137" s="25">
        <f>IF($A137="","",IFERROR($H137/$E137,""))</f>
        <v/>
      </c>
      <c r="J137" s="25">
        <f>IF($A137="","",IFERROR($E137/SUMIFS('13_VANZARI'!$H$5:$H$1004,'13_VANZARI'!$A$5:$A$1004,"&gt;="&amp;'09_PARAMETRI'!$B$5,'13_VANZARI'!$A$5:$A$1004,"&lt;="&amp;'09_PARAMETRI'!$B$6),""))</f>
        <v/>
      </c>
      <c r="K137" s="36">
        <f>IF($A137="","",IFERROR(IF(SUMPRODUCT(MAX(('13_VANZARI'!$D$5:$D$1004=$A137)*('13_VANZARI'!$H$5:$H$1004&lt;&gt;"")*'13_VANZARI'!$A$5:$A$1004))=0,"",SUMPRODUCT(MAX(('13_VANZARI'!$D$5:$D$1004=$A137)*('13_VANZARI'!$H$5:$H$1004&lt;&gt;"")*'13_VANZARI'!$A$5:$A$1004))),""))</f>
        <v/>
      </c>
      <c r="L137" s="24">
        <f>IF(OR($A137="",$K137=""),"",'09_PARAMETRI'!$B$9-$K137)</f>
        <v/>
      </c>
      <c r="M137" s="24">
        <f>IF($A137="","",SUMPRODUCT(('11_PRODUSE'!$A$5:$A$104&lt;&gt;"")*(SUMIFS('13_VANZARI'!$H$5:$H$1004,'13_VANZARI'!$D$5:$D$1004,$A137,'13_VANZARI'!$E$5:$E$1004,'11_PRODUSE'!$A$5:$A$104,'13_VANZARI'!$A$5:$A$1004,"&gt;="&amp;'09_PARAMETRI'!$B$5,'13_VANZARI'!$A$5:$A$1004,"&lt;="&amp;'09_PARAMETRI'!$B$6)&lt;&gt;0)))</f>
        <v/>
      </c>
      <c r="N137" s="50">
        <f>IF($A137="","",IFERROR(AVERAGEIFS('15_NPS'!$F$5:$F$504,'15_NPS'!$C$5:$C$504,$A137,'15_NPS'!$B$5:$B$504,"&gt;="&amp;'09_PARAMETRI'!$B$5,'15_NPS'!$B$5:$B$504,"&lt;="&amp;'09_PARAMETRI'!$B$6),""))</f>
        <v/>
      </c>
      <c r="O137" s="39">
        <f>IF($A137="","",IF(AND($F137&gt;0,$E137=0),"Client pierdut",IF(AND($L137&lt;&gt;"",$L137&gt;'09_PARAMETRI'!$B$16,$F137&gt;0),"Client dormant",IF(AND($G137&lt;&gt;"",$G137&lt;='09_PARAMETRI'!$B$13),"Scădere de venit",IF(AND($N137&lt;&gt;"",$N137&lt;7),"Detractor activ",IF(AND($E137&gt;0,$J137&gt;'09_PARAMETRI'!$B$19),"Risc concentrare",IF(AND($E137&gt;0,$I137&lt;&gt;"",$I137&lt;'09_PARAMETRI'!$B$15),"Marjă sub referință",IF(AND($G137&lt;&gt;"",$G137&gt;='09_PARAMETRI'!$B$14),"În creștere",IF($E137=0,"Fără activitate","Stabil")))))))))</f>
        <v/>
      </c>
      <c r="P137" s="39">
        <f>IF($A137="","",IF($O137="Risc concentrare","Risc concentrare",IF($O137="Client pierdut","Recuperare client",IF($O137="Client dormant","Reactivare client",IF($O137="Scădere de venit","Recuperare client",IF($O137="Detractor activ","Recuperare NPS",IF($O137="Marjă sub referință","Marjă / preț",IF($O137="În creștere","Up-sell",IF($O137="Fără activitate","Reactivare client","Cross-sell")))))))))</f>
        <v/>
      </c>
      <c r="Q137" s="24">
        <f>IF($A137="","",IFERROR(IF($O137="Scădere de venit",MAX(0,$F137-$E137),IF(OR($O137="Client pierdut",$O137="Client dormant",$O137="Fără activitate"),$F137,IF($O137="Marjă sub referință",MAX(0,$E137*('09_PARAMETRI'!$B$15-$I137)),$E137*0.15))),""))</f>
        <v/>
      </c>
      <c r="R137" s="48">
        <f>IF(OR($A137="",$E137="",N($E137)&lt;=0),"",$E137+ROW()/1000000)</f>
        <v/>
      </c>
    </row>
    <row r="138">
      <c r="A138" s="39">
        <f>IF('10_CLIENTI'!$A138="","",'10_CLIENTI'!$A138)</f>
        <v/>
      </c>
      <c r="B138" s="39">
        <f>IF($A138="","",IFERROR(INDEX('10_CLIENTI'!$B$5:$B$204,MATCH($A138,'10_CLIENTI'!$A$5:$A$204,0)),""))</f>
        <v/>
      </c>
      <c r="C138" s="39">
        <f>IF($A138="","",IFERROR(INDEX('10_CLIENTI'!$C$5:$C$204,MATCH($A138,'10_CLIENTI'!$A$5:$A$204,0)),""))</f>
        <v/>
      </c>
      <c r="D138" s="39">
        <f>IF($A138="","",IFERROR(INDEX('10_CLIENTI'!$G$5:$G$204,MATCH($A138,'10_CLIENTI'!$A$5:$A$204,0)),""))</f>
        <v/>
      </c>
      <c r="E138" s="24">
        <f>IF($A138="","",SUMIFS('13_VANZARI'!$H$5:$H$1004,'13_VANZARI'!$D$5:$D$1004,$A138,'13_VANZARI'!$A$5:$A$1004,"&gt;="&amp;'09_PARAMETRI'!$B$5,'13_VANZARI'!$A$5:$A$1004,"&lt;="&amp;'09_PARAMETRI'!$B$6))</f>
        <v/>
      </c>
      <c r="F138" s="24">
        <f>IF($A138="","",SUMIFS('13_VANZARI'!$H$5:$H$1004,'13_VANZARI'!$D$5:$D$1004,$A138,'13_VANZARI'!$A$5:$A$1004,"&gt;="&amp;'09_PARAMETRI'!$B$7,'13_VANZARI'!$A$5:$A$1004,"&lt;="&amp;'09_PARAMETRI'!$B$8))</f>
        <v/>
      </c>
      <c r="G138" s="25">
        <f>IF($A138="","",IFERROR(IF($F138=0,"",($E138-$F138)/ABS($F138)),""))</f>
        <v/>
      </c>
      <c r="H138" s="24">
        <f>IF($A138="","",SUMIFS('13_VANZARI'!$K$5:$K$1004,'13_VANZARI'!$D$5:$D$1004,$A138,'13_VANZARI'!$A$5:$A$1004,"&gt;="&amp;'09_PARAMETRI'!$B$5,'13_VANZARI'!$A$5:$A$1004,"&lt;="&amp;'09_PARAMETRI'!$B$6))</f>
        <v/>
      </c>
      <c r="I138" s="25">
        <f>IF($A138="","",IFERROR($H138/$E138,""))</f>
        <v/>
      </c>
      <c r="J138" s="25">
        <f>IF($A138="","",IFERROR($E138/SUMIFS('13_VANZARI'!$H$5:$H$1004,'13_VANZARI'!$A$5:$A$1004,"&gt;="&amp;'09_PARAMETRI'!$B$5,'13_VANZARI'!$A$5:$A$1004,"&lt;="&amp;'09_PARAMETRI'!$B$6),""))</f>
        <v/>
      </c>
      <c r="K138" s="36">
        <f>IF($A138="","",IFERROR(IF(SUMPRODUCT(MAX(('13_VANZARI'!$D$5:$D$1004=$A138)*('13_VANZARI'!$H$5:$H$1004&lt;&gt;"")*'13_VANZARI'!$A$5:$A$1004))=0,"",SUMPRODUCT(MAX(('13_VANZARI'!$D$5:$D$1004=$A138)*('13_VANZARI'!$H$5:$H$1004&lt;&gt;"")*'13_VANZARI'!$A$5:$A$1004))),""))</f>
        <v/>
      </c>
      <c r="L138" s="24">
        <f>IF(OR($A138="",$K138=""),"",'09_PARAMETRI'!$B$9-$K138)</f>
        <v/>
      </c>
      <c r="M138" s="24">
        <f>IF($A138="","",SUMPRODUCT(('11_PRODUSE'!$A$5:$A$104&lt;&gt;"")*(SUMIFS('13_VANZARI'!$H$5:$H$1004,'13_VANZARI'!$D$5:$D$1004,$A138,'13_VANZARI'!$E$5:$E$1004,'11_PRODUSE'!$A$5:$A$104,'13_VANZARI'!$A$5:$A$1004,"&gt;="&amp;'09_PARAMETRI'!$B$5,'13_VANZARI'!$A$5:$A$1004,"&lt;="&amp;'09_PARAMETRI'!$B$6)&lt;&gt;0)))</f>
        <v/>
      </c>
      <c r="N138" s="50">
        <f>IF($A138="","",IFERROR(AVERAGEIFS('15_NPS'!$F$5:$F$504,'15_NPS'!$C$5:$C$504,$A138,'15_NPS'!$B$5:$B$504,"&gt;="&amp;'09_PARAMETRI'!$B$5,'15_NPS'!$B$5:$B$504,"&lt;="&amp;'09_PARAMETRI'!$B$6),""))</f>
        <v/>
      </c>
      <c r="O138" s="39">
        <f>IF($A138="","",IF(AND($F138&gt;0,$E138=0),"Client pierdut",IF(AND($L138&lt;&gt;"",$L138&gt;'09_PARAMETRI'!$B$16,$F138&gt;0),"Client dormant",IF(AND($G138&lt;&gt;"",$G138&lt;='09_PARAMETRI'!$B$13),"Scădere de venit",IF(AND($N138&lt;&gt;"",$N138&lt;7),"Detractor activ",IF(AND($E138&gt;0,$J138&gt;'09_PARAMETRI'!$B$19),"Risc concentrare",IF(AND($E138&gt;0,$I138&lt;&gt;"",$I138&lt;'09_PARAMETRI'!$B$15),"Marjă sub referință",IF(AND($G138&lt;&gt;"",$G138&gt;='09_PARAMETRI'!$B$14),"În creștere",IF($E138=0,"Fără activitate","Stabil")))))))))</f>
        <v/>
      </c>
      <c r="P138" s="39">
        <f>IF($A138="","",IF($O138="Risc concentrare","Risc concentrare",IF($O138="Client pierdut","Recuperare client",IF($O138="Client dormant","Reactivare client",IF($O138="Scădere de venit","Recuperare client",IF($O138="Detractor activ","Recuperare NPS",IF($O138="Marjă sub referință","Marjă / preț",IF($O138="În creștere","Up-sell",IF($O138="Fără activitate","Reactivare client","Cross-sell")))))))))</f>
        <v/>
      </c>
      <c r="Q138" s="24">
        <f>IF($A138="","",IFERROR(IF($O138="Scădere de venit",MAX(0,$F138-$E138),IF(OR($O138="Client pierdut",$O138="Client dormant",$O138="Fără activitate"),$F138,IF($O138="Marjă sub referință",MAX(0,$E138*('09_PARAMETRI'!$B$15-$I138)),$E138*0.15))),""))</f>
        <v/>
      </c>
      <c r="R138" s="48">
        <f>IF(OR($A138="",$E138="",N($E138)&lt;=0),"",$E138+ROW()/1000000)</f>
        <v/>
      </c>
    </row>
    <row r="139">
      <c r="A139" s="39">
        <f>IF('10_CLIENTI'!$A139="","",'10_CLIENTI'!$A139)</f>
        <v/>
      </c>
      <c r="B139" s="39">
        <f>IF($A139="","",IFERROR(INDEX('10_CLIENTI'!$B$5:$B$204,MATCH($A139,'10_CLIENTI'!$A$5:$A$204,0)),""))</f>
        <v/>
      </c>
      <c r="C139" s="39">
        <f>IF($A139="","",IFERROR(INDEX('10_CLIENTI'!$C$5:$C$204,MATCH($A139,'10_CLIENTI'!$A$5:$A$204,0)),""))</f>
        <v/>
      </c>
      <c r="D139" s="39">
        <f>IF($A139="","",IFERROR(INDEX('10_CLIENTI'!$G$5:$G$204,MATCH($A139,'10_CLIENTI'!$A$5:$A$204,0)),""))</f>
        <v/>
      </c>
      <c r="E139" s="24">
        <f>IF($A139="","",SUMIFS('13_VANZARI'!$H$5:$H$1004,'13_VANZARI'!$D$5:$D$1004,$A139,'13_VANZARI'!$A$5:$A$1004,"&gt;="&amp;'09_PARAMETRI'!$B$5,'13_VANZARI'!$A$5:$A$1004,"&lt;="&amp;'09_PARAMETRI'!$B$6))</f>
        <v/>
      </c>
      <c r="F139" s="24">
        <f>IF($A139="","",SUMIFS('13_VANZARI'!$H$5:$H$1004,'13_VANZARI'!$D$5:$D$1004,$A139,'13_VANZARI'!$A$5:$A$1004,"&gt;="&amp;'09_PARAMETRI'!$B$7,'13_VANZARI'!$A$5:$A$1004,"&lt;="&amp;'09_PARAMETRI'!$B$8))</f>
        <v/>
      </c>
      <c r="G139" s="25">
        <f>IF($A139="","",IFERROR(IF($F139=0,"",($E139-$F139)/ABS($F139)),""))</f>
        <v/>
      </c>
      <c r="H139" s="24">
        <f>IF($A139="","",SUMIFS('13_VANZARI'!$K$5:$K$1004,'13_VANZARI'!$D$5:$D$1004,$A139,'13_VANZARI'!$A$5:$A$1004,"&gt;="&amp;'09_PARAMETRI'!$B$5,'13_VANZARI'!$A$5:$A$1004,"&lt;="&amp;'09_PARAMETRI'!$B$6))</f>
        <v/>
      </c>
      <c r="I139" s="25">
        <f>IF($A139="","",IFERROR($H139/$E139,""))</f>
        <v/>
      </c>
      <c r="J139" s="25">
        <f>IF($A139="","",IFERROR($E139/SUMIFS('13_VANZARI'!$H$5:$H$1004,'13_VANZARI'!$A$5:$A$1004,"&gt;="&amp;'09_PARAMETRI'!$B$5,'13_VANZARI'!$A$5:$A$1004,"&lt;="&amp;'09_PARAMETRI'!$B$6),""))</f>
        <v/>
      </c>
      <c r="K139" s="36">
        <f>IF($A139="","",IFERROR(IF(SUMPRODUCT(MAX(('13_VANZARI'!$D$5:$D$1004=$A139)*('13_VANZARI'!$H$5:$H$1004&lt;&gt;"")*'13_VANZARI'!$A$5:$A$1004))=0,"",SUMPRODUCT(MAX(('13_VANZARI'!$D$5:$D$1004=$A139)*('13_VANZARI'!$H$5:$H$1004&lt;&gt;"")*'13_VANZARI'!$A$5:$A$1004))),""))</f>
        <v/>
      </c>
      <c r="L139" s="24">
        <f>IF(OR($A139="",$K139=""),"",'09_PARAMETRI'!$B$9-$K139)</f>
        <v/>
      </c>
      <c r="M139" s="24">
        <f>IF($A139="","",SUMPRODUCT(('11_PRODUSE'!$A$5:$A$104&lt;&gt;"")*(SUMIFS('13_VANZARI'!$H$5:$H$1004,'13_VANZARI'!$D$5:$D$1004,$A139,'13_VANZARI'!$E$5:$E$1004,'11_PRODUSE'!$A$5:$A$104,'13_VANZARI'!$A$5:$A$1004,"&gt;="&amp;'09_PARAMETRI'!$B$5,'13_VANZARI'!$A$5:$A$1004,"&lt;="&amp;'09_PARAMETRI'!$B$6)&lt;&gt;0)))</f>
        <v/>
      </c>
      <c r="N139" s="50">
        <f>IF($A139="","",IFERROR(AVERAGEIFS('15_NPS'!$F$5:$F$504,'15_NPS'!$C$5:$C$504,$A139,'15_NPS'!$B$5:$B$504,"&gt;="&amp;'09_PARAMETRI'!$B$5,'15_NPS'!$B$5:$B$504,"&lt;="&amp;'09_PARAMETRI'!$B$6),""))</f>
        <v/>
      </c>
      <c r="O139" s="39">
        <f>IF($A139="","",IF(AND($F139&gt;0,$E139=0),"Client pierdut",IF(AND($L139&lt;&gt;"",$L139&gt;'09_PARAMETRI'!$B$16,$F139&gt;0),"Client dormant",IF(AND($G139&lt;&gt;"",$G139&lt;='09_PARAMETRI'!$B$13),"Scădere de venit",IF(AND($N139&lt;&gt;"",$N139&lt;7),"Detractor activ",IF(AND($E139&gt;0,$J139&gt;'09_PARAMETRI'!$B$19),"Risc concentrare",IF(AND($E139&gt;0,$I139&lt;&gt;"",$I139&lt;'09_PARAMETRI'!$B$15),"Marjă sub referință",IF(AND($G139&lt;&gt;"",$G139&gt;='09_PARAMETRI'!$B$14),"În creștere",IF($E139=0,"Fără activitate","Stabil")))))))))</f>
        <v/>
      </c>
      <c r="P139" s="39">
        <f>IF($A139="","",IF($O139="Risc concentrare","Risc concentrare",IF($O139="Client pierdut","Recuperare client",IF($O139="Client dormant","Reactivare client",IF($O139="Scădere de venit","Recuperare client",IF($O139="Detractor activ","Recuperare NPS",IF($O139="Marjă sub referință","Marjă / preț",IF($O139="În creștere","Up-sell",IF($O139="Fără activitate","Reactivare client","Cross-sell")))))))))</f>
        <v/>
      </c>
      <c r="Q139" s="24">
        <f>IF($A139="","",IFERROR(IF($O139="Scădere de venit",MAX(0,$F139-$E139),IF(OR($O139="Client pierdut",$O139="Client dormant",$O139="Fără activitate"),$F139,IF($O139="Marjă sub referință",MAX(0,$E139*('09_PARAMETRI'!$B$15-$I139)),$E139*0.15))),""))</f>
        <v/>
      </c>
      <c r="R139" s="48">
        <f>IF(OR($A139="",$E139="",N($E139)&lt;=0),"",$E139+ROW()/1000000)</f>
        <v/>
      </c>
    </row>
    <row r="140">
      <c r="A140" s="39">
        <f>IF('10_CLIENTI'!$A140="","",'10_CLIENTI'!$A140)</f>
        <v/>
      </c>
      <c r="B140" s="39">
        <f>IF($A140="","",IFERROR(INDEX('10_CLIENTI'!$B$5:$B$204,MATCH($A140,'10_CLIENTI'!$A$5:$A$204,0)),""))</f>
        <v/>
      </c>
      <c r="C140" s="39">
        <f>IF($A140="","",IFERROR(INDEX('10_CLIENTI'!$C$5:$C$204,MATCH($A140,'10_CLIENTI'!$A$5:$A$204,0)),""))</f>
        <v/>
      </c>
      <c r="D140" s="39">
        <f>IF($A140="","",IFERROR(INDEX('10_CLIENTI'!$G$5:$G$204,MATCH($A140,'10_CLIENTI'!$A$5:$A$204,0)),""))</f>
        <v/>
      </c>
      <c r="E140" s="24">
        <f>IF($A140="","",SUMIFS('13_VANZARI'!$H$5:$H$1004,'13_VANZARI'!$D$5:$D$1004,$A140,'13_VANZARI'!$A$5:$A$1004,"&gt;="&amp;'09_PARAMETRI'!$B$5,'13_VANZARI'!$A$5:$A$1004,"&lt;="&amp;'09_PARAMETRI'!$B$6))</f>
        <v/>
      </c>
      <c r="F140" s="24">
        <f>IF($A140="","",SUMIFS('13_VANZARI'!$H$5:$H$1004,'13_VANZARI'!$D$5:$D$1004,$A140,'13_VANZARI'!$A$5:$A$1004,"&gt;="&amp;'09_PARAMETRI'!$B$7,'13_VANZARI'!$A$5:$A$1004,"&lt;="&amp;'09_PARAMETRI'!$B$8))</f>
        <v/>
      </c>
      <c r="G140" s="25">
        <f>IF($A140="","",IFERROR(IF($F140=0,"",($E140-$F140)/ABS($F140)),""))</f>
        <v/>
      </c>
      <c r="H140" s="24">
        <f>IF($A140="","",SUMIFS('13_VANZARI'!$K$5:$K$1004,'13_VANZARI'!$D$5:$D$1004,$A140,'13_VANZARI'!$A$5:$A$1004,"&gt;="&amp;'09_PARAMETRI'!$B$5,'13_VANZARI'!$A$5:$A$1004,"&lt;="&amp;'09_PARAMETRI'!$B$6))</f>
        <v/>
      </c>
      <c r="I140" s="25">
        <f>IF($A140="","",IFERROR($H140/$E140,""))</f>
        <v/>
      </c>
      <c r="J140" s="25">
        <f>IF($A140="","",IFERROR($E140/SUMIFS('13_VANZARI'!$H$5:$H$1004,'13_VANZARI'!$A$5:$A$1004,"&gt;="&amp;'09_PARAMETRI'!$B$5,'13_VANZARI'!$A$5:$A$1004,"&lt;="&amp;'09_PARAMETRI'!$B$6),""))</f>
        <v/>
      </c>
      <c r="K140" s="36">
        <f>IF($A140="","",IFERROR(IF(SUMPRODUCT(MAX(('13_VANZARI'!$D$5:$D$1004=$A140)*('13_VANZARI'!$H$5:$H$1004&lt;&gt;"")*'13_VANZARI'!$A$5:$A$1004))=0,"",SUMPRODUCT(MAX(('13_VANZARI'!$D$5:$D$1004=$A140)*('13_VANZARI'!$H$5:$H$1004&lt;&gt;"")*'13_VANZARI'!$A$5:$A$1004))),""))</f>
        <v/>
      </c>
      <c r="L140" s="24">
        <f>IF(OR($A140="",$K140=""),"",'09_PARAMETRI'!$B$9-$K140)</f>
        <v/>
      </c>
      <c r="M140" s="24">
        <f>IF($A140="","",SUMPRODUCT(('11_PRODUSE'!$A$5:$A$104&lt;&gt;"")*(SUMIFS('13_VANZARI'!$H$5:$H$1004,'13_VANZARI'!$D$5:$D$1004,$A140,'13_VANZARI'!$E$5:$E$1004,'11_PRODUSE'!$A$5:$A$104,'13_VANZARI'!$A$5:$A$1004,"&gt;="&amp;'09_PARAMETRI'!$B$5,'13_VANZARI'!$A$5:$A$1004,"&lt;="&amp;'09_PARAMETRI'!$B$6)&lt;&gt;0)))</f>
        <v/>
      </c>
      <c r="N140" s="50">
        <f>IF($A140="","",IFERROR(AVERAGEIFS('15_NPS'!$F$5:$F$504,'15_NPS'!$C$5:$C$504,$A140,'15_NPS'!$B$5:$B$504,"&gt;="&amp;'09_PARAMETRI'!$B$5,'15_NPS'!$B$5:$B$504,"&lt;="&amp;'09_PARAMETRI'!$B$6),""))</f>
        <v/>
      </c>
      <c r="O140" s="39">
        <f>IF($A140="","",IF(AND($F140&gt;0,$E140=0),"Client pierdut",IF(AND($L140&lt;&gt;"",$L140&gt;'09_PARAMETRI'!$B$16,$F140&gt;0),"Client dormant",IF(AND($G140&lt;&gt;"",$G140&lt;='09_PARAMETRI'!$B$13),"Scădere de venit",IF(AND($N140&lt;&gt;"",$N140&lt;7),"Detractor activ",IF(AND($E140&gt;0,$J140&gt;'09_PARAMETRI'!$B$19),"Risc concentrare",IF(AND($E140&gt;0,$I140&lt;&gt;"",$I140&lt;'09_PARAMETRI'!$B$15),"Marjă sub referință",IF(AND($G140&lt;&gt;"",$G140&gt;='09_PARAMETRI'!$B$14),"În creștere",IF($E140=0,"Fără activitate","Stabil")))))))))</f>
        <v/>
      </c>
      <c r="P140" s="39">
        <f>IF($A140="","",IF($O140="Risc concentrare","Risc concentrare",IF($O140="Client pierdut","Recuperare client",IF($O140="Client dormant","Reactivare client",IF($O140="Scădere de venit","Recuperare client",IF($O140="Detractor activ","Recuperare NPS",IF($O140="Marjă sub referință","Marjă / preț",IF($O140="În creștere","Up-sell",IF($O140="Fără activitate","Reactivare client","Cross-sell")))))))))</f>
        <v/>
      </c>
      <c r="Q140" s="24">
        <f>IF($A140="","",IFERROR(IF($O140="Scădere de venit",MAX(0,$F140-$E140),IF(OR($O140="Client pierdut",$O140="Client dormant",$O140="Fără activitate"),$F140,IF($O140="Marjă sub referință",MAX(0,$E140*('09_PARAMETRI'!$B$15-$I140)),$E140*0.15))),""))</f>
        <v/>
      </c>
      <c r="R140" s="48">
        <f>IF(OR($A140="",$E140="",N($E140)&lt;=0),"",$E140+ROW()/1000000)</f>
        <v/>
      </c>
    </row>
    <row r="141">
      <c r="A141" s="39">
        <f>IF('10_CLIENTI'!$A141="","",'10_CLIENTI'!$A141)</f>
        <v/>
      </c>
      <c r="B141" s="39">
        <f>IF($A141="","",IFERROR(INDEX('10_CLIENTI'!$B$5:$B$204,MATCH($A141,'10_CLIENTI'!$A$5:$A$204,0)),""))</f>
        <v/>
      </c>
      <c r="C141" s="39">
        <f>IF($A141="","",IFERROR(INDEX('10_CLIENTI'!$C$5:$C$204,MATCH($A141,'10_CLIENTI'!$A$5:$A$204,0)),""))</f>
        <v/>
      </c>
      <c r="D141" s="39">
        <f>IF($A141="","",IFERROR(INDEX('10_CLIENTI'!$G$5:$G$204,MATCH($A141,'10_CLIENTI'!$A$5:$A$204,0)),""))</f>
        <v/>
      </c>
      <c r="E141" s="24">
        <f>IF($A141="","",SUMIFS('13_VANZARI'!$H$5:$H$1004,'13_VANZARI'!$D$5:$D$1004,$A141,'13_VANZARI'!$A$5:$A$1004,"&gt;="&amp;'09_PARAMETRI'!$B$5,'13_VANZARI'!$A$5:$A$1004,"&lt;="&amp;'09_PARAMETRI'!$B$6))</f>
        <v/>
      </c>
      <c r="F141" s="24">
        <f>IF($A141="","",SUMIFS('13_VANZARI'!$H$5:$H$1004,'13_VANZARI'!$D$5:$D$1004,$A141,'13_VANZARI'!$A$5:$A$1004,"&gt;="&amp;'09_PARAMETRI'!$B$7,'13_VANZARI'!$A$5:$A$1004,"&lt;="&amp;'09_PARAMETRI'!$B$8))</f>
        <v/>
      </c>
      <c r="G141" s="25">
        <f>IF($A141="","",IFERROR(IF($F141=0,"",($E141-$F141)/ABS($F141)),""))</f>
        <v/>
      </c>
      <c r="H141" s="24">
        <f>IF($A141="","",SUMIFS('13_VANZARI'!$K$5:$K$1004,'13_VANZARI'!$D$5:$D$1004,$A141,'13_VANZARI'!$A$5:$A$1004,"&gt;="&amp;'09_PARAMETRI'!$B$5,'13_VANZARI'!$A$5:$A$1004,"&lt;="&amp;'09_PARAMETRI'!$B$6))</f>
        <v/>
      </c>
      <c r="I141" s="25">
        <f>IF($A141="","",IFERROR($H141/$E141,""))</f>
        <v/>
      </c>
      <c r="J141" s="25">
        <f>IF($A141="","",IFERROR($E141/SUMIFS('13_VANZARI'!$H$5:$H$1004,'13_VANZARI'!$A$5:$A$1004,"&gt;="&amp;'09_PARAMETRI'!$B$5,'13_VANZARI'!$A$5:$A$1004,"&lt;="&amp;'09_PARAMETRI'!$B$6),""))</f>
        <v/>
      </c>
      <c r="K141" s="36">
        <f>IF($A141="","",IFERROR(IF(SUMPRODUCT(MAX(('13_VANZARI'!$D$5:$D$1004=$A141)*('13_VANZARI'!$H$5:$H$1004&lt;&gt;"")*'13_VANZARI'!$A$5:$A$1004))=0,"",SUMPRODUCT(MAX(('13_VANZARI'!$D$5:$D$1004=$A141)*('13_VANZARI'!$H$5:$H$1004&lt;&gt;"")*'13_VANZARI'!$A$5:$A$1004))),""))</f>
        <v/>
      </c>
      <c r="L141" s="24">
        <f>IF(OR($A141="",$K141=""),"",'09_PARAMETRI'!$B$9-$K141)</f>
        <v/>
      </c>
      <c r="M141" s="24">
        <f>IF($A141="","",SUMPRODUCT(('11_PRODUSE'!$A$5:$A$104&lt;&gt;"")*(SUMIFS('13_VANZARI'!$H$5:$H$1004,'13_VANZARI'!$D$5:$D$1004,$A141,'13_VANZARI'!$E$5:$E$1004,'11_PRODUSE'!$A$5:$A$104,'13_VANZARI'!$A$5:$A$1004,"&gt;="&amp;'09_PARAMETRI'!$B$5,'13_VANZARI'!$A$5:$A$1004,"&lt;="&amp;'09_PARAMETRI'!$B$6)&lt;&gt;0)))</f>
        <v/>
      </c>
      <c r="N141" s="50">
        <f>IF($A141="","",IFERROR(AVERAGEIFS('15_NPS'!$F$5:$F$504,'15_NPS'!$C$5:$C$504,$A141,'15_NPS'!$B$5:$B$504,"&gt;="&amp;'09_PARAMETRI'!$B$5,'15_NPS'!$B$5:$B$504,"&lt;="&amp;'09_PARAMETRI'!$B$6),""))</f>
        <v/>
      </c>
      <c r="O141" s="39">
        <f>IF($A141="","",IF(AND($F141&gt;0,$E141=0),"Client pierdut",IF(AND($L141&lt;&gt;"",$L141&gt;'09_PARAMETRI'!$B$16,$F141&gt;0),"Client dormant",IF(AND($G141&lt;&gt;"",$G141&lt;='09_PARAMETRI'!$B$13),"Scădere de venit",IF(AND($N141&lt;&gt;"",$N141&lt;7),"Detractor activ",IF(AND($E141&gt;0,$J141&gt;'09_PARAMETRI'!$B$19),"Risc concentrare",IF(AND($E141&gt;0,$I141&lt;&gt;"",$I141&lt;'09_PARAMETRI'!$B$15),"Marjă sub referință",IF(AND($G141&lt;&gt;"",$G141&gt;='09_PARAMETRI'!$B$14),"În creștere",IF($E141=0,"Fără activitate","Stabil")))))))))</f>
        <v/>
      </c>
      <c r="P141" s="39">
        <f>IF($A141="","",IF($O141="Risc concentrare","Risc concentrare",IF($O141="Client pierdut","Recuperare client",IF($O141="Client dormant","Reactivare client",IF($O141="Scădere de venit","Recuperare client",IF($O141="Detractor activ","Recuperare NPS",IF($O141="Marjă sub referință","Marjă / preț",IF($O141="În creștere","Up-sell",IF($O141="Fără activitate","Reactivare client","Cross-sell")))))))))</f>
        <v/>
      </c>
      <c r="Q141" s="24">
        <f>IF($A141="","",IFERROR(IF($O141="Scădere de venit",MAX(0,$F141-$E141),IF(OR($O141="Client pierdut",$O141="Client dormant",$O141="Fără activitate"),$F141,IF($O141="Marjă sub referință",MAX(0,$E141*('09_PARAMETRI'!$B$15-$I141)),$E141*0.15))),""))</f>
        <v/>
      </c>
      <c r="R141" s="48">
        <f>IF(OR($A141="",$E141="",N($E141)&lt;=0),"",$E141+ROW()/1000000)</f>
        <v/>
      </c>
    </row>
    <row r="142">
      <c r="A142" s="39">
        <f>IF('10_CLIENTI'!$A142="","",'10_CLIENTI'!$A142)</f>
        <v/>
      </c>
      <c r="B142" s="39">
        <f>IF($A142="","",IFERROR(INDEX('10_CLIENTI'!$B$5:$B$204,MATCH($A142,'10_CLIENTI'!$A$5:$A$204,0)),""))</f>
        <v/>
      </c>
      <c r="C142" s="39">
        <f>IF($A142="","",IFERROR(INDEX('10_CLIENTI'!$C$5:$C$204,MATCH($A142,'10_CLIENTI'!$A$5:$A$204,0)),""))</f>
        <v/>
      </c>
      <c r="D142" s="39">
        <f>IF($A142="","",IFERROR(INDEX('10_CLIENTI'!$G$5:$G$204,MATCH($A142,'10_CLIENTI'!$A$5:$A$204,0)),""))</f>
        <v/>
      </c>
      <c r="E142" s="24">
        <f>IF($A142="","",SUMIFS('13_VANZARI'!$H$5:$H$1004,'13_VANZARI'!$D$5:$D$1004,$A142,'13_VANZARI'!$A$5:$A$1004,"&gt;="&amp;'09_PARAMETRI'!$B$5,'13_VANZARI'!$A$5:$A$1004,"&lt;="&amp;'09_PARAMETRI'!$B$6))</f>
        <v/>
      </c>
      <c r="F142" s="24">
        <f>IF($A142="","",SUMIFS('13_VANZARI'!$H$5:$H$1004,'13_VANZARI'!$D$5:$D$1004,$A142,'13_VANZARI'!$A$5:$A$1004,"&gt;="&amp;'09_PARAMETRI'!$B$7,'13_VANZARI'!$A$5:$A$1004,"&lt;="&amp;'09_PARAMETRI'!$B$8))</f>
        <v/>
      </c>
      <c r="G142" s="25">
        <f>IF($A142="","",IFERROR(IF($F142=0,"",($E142-$F142)/ABS($F142)),""))</f>
        <v/>
      </c>
      <c r="H142" s="24">
        <f>IF($A142="","",SUMIFS('13_VANZARI'!$K$5:$K$1004,'13_VANZARI'!$D$5:$D$1004,$A142,'13_VANZARI'!$A$5:$A$1004,"&gt;="&amp;'09_PARAMETRI'!$B$5,'13_VANZARI'!$A$5:$A$1004,"&lt;="&amp;'09_PARAMETRI'!$B$6))</f>
        <v/>
      </c>
      <c r="I142" s="25">
        <f>IF($A142="","",IFERROR($H142/$E142,""))</f>
        <v/>
      </c>
      <c r="J142" s="25">
        <f>IF($A142="","",IFERROR($E142/SUMIFS('13_VANZARI'!$H$5:$H$1004,'13_VANZARI'!$A$5:$A$1004,"&gt;="&amp;'09_PARAMETRI'!$B$5,'13_VANZARI'!$A$5:$A$1004,"&lt;="&amp;'09_PARAMETRI'!$B$6),""))</f>
        <v/>
      </c>
      <c r="K142" s="36">
        <f>IF($A142="","",IFERROR(IF(SUMPRODUCT(MAX(('13_VANZARI'!$D$5:$D$1004=$A142)*('13_VANZARI'!$H$5:$H$1004&lt;&gt;"")*'13_VANZARI'!$A$5:$A$1004))=0,"",SUMPRODUCT(MAX(('13_VANZARI'!$D$5:$D$1004=$A142)*('13_VANZARI'!$H$5:$H$1004&lt;&gt;"")*'13_VANZARI'!$A$5:$A$1004))),""))</f>
        <v/>
      </c>
      <c r="L142" s="24">
        <f>IF(OR($A142="",$K142=""),"",'09_PARAMETRI'!$B$9-$K142)</f>
        <v/>
      </c>
      <c r="M142" s="24">
        <f>IF($A142="","",SUMPRODUCT(('11_PRODUSE'!$A$5:$A$104&lt;&gt;"")*(SUMIFS('13_VANZARI'!$H$5:$H$1004,'13_VANZARI'!$D$5:$D$1004,$A142,'13_VANZARI'!$E$5:$E$1004,'11_PRODUSE'!$A$5:$A$104,'13_VANZARI'!$A$5:$A$1004,"&gt;="&amp;'09_PARAMETRI'!$B$5,'13_VANZARI'!$A$5:$A$1004,"&lt;="&amp;'09_PARAMETRI'!$B$6)&lt;&gt;0)))</f>
        <v/>
      </c>
      <c r="N142" s="50">
        <f>IF($A142="","",IFERROR(AVERAGEIFS('15_NPS'!$F$5:$F$504,'15_NPS'!$C$5:$C$504,$A142,'15_NPS'!$B$5:$B$504,"&gt;="&amp;'09_PARAMETRI'!$B$5,'15_NPS'!$B$5:$B$504,"&lt;="&amp;'09_PARAMETRI'!$B$6),""))</f>
        <v/>
      </c>
      <c r="O142" s="39">
        <f>IF($A142="","",IF(AND($F142&gt;0,$E142=0),"Client pierdut",IF(AND($L142&lt;&gt;"",$L142&gt;'09_PARAMETRI'!$B$16,$F142&gt;0),"Client dormant",IF(AND($G142&lt;&gt;"",$G142&lt;='09_PARAMETRI'!$B$13),"Scădere de venit",IF(AND($N142&lt;&gt;"",$N142&lt;7),"Detractor activ",IF(AND($E142&gt;0,$J142&gt;'09_PARAMETRI'!$B$19),"Risc concentrare",IF(AND($E142&gt;0,$I142&lt;&gt;"",$I142&lt;'09_PARAMETRI'!$B$15),"Marjă sub referință",IF(AND($G142&lt;&gt;"",$G142&gt;='09_PARAMETRI'!$B$14),"În creștere",IF($E142=0,"Fără activitate","Stabil")))))))))</f>
        <v/>
      </c>
      <c r="P142" s="39">
        <f>IF($A142="","",IF($O142="Risc concentrare","Risc concentrare",IF($O142="Client pierdut","Recuperare client",IF($O142="Client dormant","Reactivare client",IF($O142="Scădere de venit","Recuperare client",IF($O142="Detractor activ","Recuperare NPS",IF($O142="Marjă sub referință","Marjă / preț",IF($O142="În creștere","Up-sell",IF($O142="Fără activitate","Reactivare client","Cross-sell")))))))))</f>
        <v/>
      </c>
      <c r="Q142" s="24">
        <f>IF($A142="","",IFERROR(IF($O142="Scădere de venit",MAX(0,$F142-$E142),IF(OR($O142="Client pierdut",$O142="Client dormant",$O142="Fără activitate"),$F142,IF($O142="Marjă sub referință",MAX(0,$E142*('09_PARAMETRI'!$B$15-$I142)),$E142*0.15))),""))</f>
        <v/>
      </c>
      <c r="R142" s="48">
        <f>IF(OR($A142="",$E142="",N($E142)&lt;=0),"",$E142+ROW()/1000000)</f>
        <v/>
      </c>
    </row>
    <row r="143">
      <c r="A143" s="39">
        <f>IF('10_CLIENTI'!$A143="","",'10_CLIENTI'!$A143)</f>
        <v/>
      </c>
      <c r="B143" s="39">
        <f>IF($A143="","",IFERROR(INDEX('10_CLIENTI'!$B$5:$B$204,MATCH($A143,'10_CLIENTI'!$A$5:$A$204,0)),""))</f>
        <v/>
      </c>
      <c r="C143" s="39">
        <f>IF($A143="","",IFERROR(INDEX('10_CLIENTI'!$C$5:$C$204,MATCH($A143,'10_CLIENTI'!$A$5:$A$204,0)),""))</f>
        <v/>
      </c>
      <c r="D143" s="39">
        <f>IF($A143="","",IFERROR(INDEX('10_CLIENTI'!$G$5:$G$204,MATCH($A143,'10_CLIENTI'!$A$5:$A$204,0)),""))</f>
        <v/>
      </c>
      <c r="E143" s="24">
        <f>IF($A143="","",SUMIFS('13_VANZARI'!$H$5:$H$1004,'13_VANZARI'!$D$5:$D$1004,$A143,'13_VANZARI'!$A$5:$A$1004,"&gt;="&amp;'09_PARAMETRI'!$B$5,'13_VANZARI'!$A$5:$A$1004,"&lt;="&amp;'09_PARAMETRI'!$B$6))</f>
        <v/>
      </c>
      <c r="F143" s="24">
        <f>IF($A143="","",SUMIFS('13_VANZARI'!$H$5:$H$1004,'13_VANZARI'!$D$5:$D$1004,$A143,'13_VANZARI'!$A$5:$A$1004,"&gt;="&amp;'09_PARAMETRI'!$B$7,'13_VANZARI'!$A$5:$A$1004,"&lt;="&amp;'09_PARAMETRI'!$B$8))</f>
        <v/>
      </c>
      <c r="G143" s="25">
        <f>IF($A143="","",IFERROR(IF($F143=0,"",($E143-$F143)/ABS($F143)),""))</f>
        <v/>
      </c>
      <c r="H143" s="24">
        <f>IF($A143="","",SUMIFS('13_VANZARI'!$K$5:$K$1004,'13_VANZARI'!$D$5:$D$1004,$A143,'13_VANZARI'!$A$5:$A$1004,"&gt;="&amp;'09_PARAMETRI'!$B$5,'13_VANZARI'!$A$5:$A$1004,"&lt;="&amp;'09_PARAMETRI'!$B$6))</f>
        <v/>
      </c>
      <c r="I143" s="25">
        <f>IF($A143="","",IFERROR($H143/$E143,""))</f>
        <v/>
      </c>
      <c r="J143" s="25">
        <f>IF($A143="","",IFERROR($E143/SUMIFS('13_VANZARI'!$H$5:$H$1004,'13_VANZARI'!$A$5:$A$1004,"&gt;="&amp;'09_PARAMETRI'!$B$5,'13_VANZARI'!$A$5:$A$1004,"&lt;="&amp;'09_PARAMETRI'!$B$6),""))</f>
        <v/>
      </c>
      <c r="K143" s="36">
        <f>IF($A143="","",IFERROR(IF(SUMPRODUCT(MAX(('13_VANZARI'!$D$5:$D$1004=$A143)*('13_VANZARI'!$H$5:$H$1004&lt;&gt;"")*'13_VANZARI'!$A$5:$A$1004))=0,"",SUMPRODUCT(MAX(('13_VANZARI'!$D$5:$D$1004=$A143)*('13_VANZARI'!$H$5:$H$1004&lt;&gt;"")*'13_VANZARI'!$A$5:$A$1004))),""))</f>
        <v/>
      </c>
      <c r="L143" s="24">
        <f>IF(OR($A143="",$K143=""),"",'09_PARAMETRI'!$B$9-$K143)</f>
        <v/>
      </c>
      <c r="M143" s="24">
        <f>IF($A143="","",SUMPRODUCT(('11_PRODUSE'!$A$5:$A$104&lt;&gt;"")*(SUMIFS('13_VANZARI'!$H$5:$H$1004,'13_VANZARI'!$D$5:$D$1004,$A143,'13_VANZARI'!$E$5:$E$1004,'11_PRODUSE'!$A$5:$A$104,'13_VANZARI'!$A$5:$A$1004,"&gt;="&amp;'09_PARAMETRI'!$B$5,'13_VANZARI'!$A$5:$A$1004,"&lt;="&amp;'09_PARAMETRI'!$B$6)&lt;&gt;0)))</f>
        <v/>
      </c>
      <c r="N143" s="50">
        <f>IF($A143="","",IFERROR(AVERAGEIFS('15_NPS'!$F$5:$F$504,'15_NPS'!$C$5:$C$504,$A143,'15_NPS'!$B$5:$B$504,"&gt;="&amp;'09_PARAMETRI'!$B$5,'15_NPS'!$B$5:$B$504,"&lt;="&amp;'09_PARAMETRI'!$B$6),""))</f>
        <v/>
      </c>
      <c r="O143" s="39">
        <f>IF($A143="","",IF(AND($F143&gt;0,$E143=0),"Client pierdut",IF(AND($L143&lt;&gt;"",$L143&gt;'09_PARAMETRI'!$B$16,$F143&gt;0),"Client dormant",IF(AND($G143&lt;&gt;"",$G143&lt;='09_PARAMETRI'!$B$13),"Scădere de venit",IF(AND($N143&lt;&gt;"",$N143&lt;7),"Detractor activ",IF(AND($E143&gt;0,$J143&gt;'09_PARAMETRI'!$B$19),"Risc concentrare",IF(AND($E143&gt;0,$I143&lt;&gt;"",$I143&lt;'09_PARAMETRI'!$B$15),"Marjă sub referință",IF(AND($G143&lt;&gt;"",$G143&gt;='09_PARAMETRI'!$B$14),"În creștere",IF($E143=0,"Fără activitate","Stabil")))))))))</f>
        <v/>
      </c>
      <c r="P143" s="39">
        <f>IF($A143="","",IF($O143="Risc concentrare","Risc concentrare",IF($O143="Client pierdut","Recuperare client",IF($O143="Client dormant","Reactivare client",IF($O143="Scădere de venit","Recuperare client",IF($O143="Detractor activ","Recuperare NPS",IF($O143="Marjă sub referință","Marjă / preț",IF($O143="În creștere","Up-sell",IF($O143="Fără activitate","Reactivare client","Cross-sell")))))))))</f>
        <v/>
      </c>
      <c r="Q143" s="24">
        <f>IF($A143="","",IFERROR(IF($O143="Scădere de venit",MAX(0,$F143-$E143),IF(OR($O143="Client pierdut",$O143="Client dormant",$O143="Fără activitate"),$F143,IF($O143="Marjă sub referință",MAX(0,$E143*('09_PARAMETRI'!$B$15-$I143)),$E143*0.15))),""))</f>
        <v/>
      </c>
      <c r="R143" s="48">
        <f>IF(OR($A143="",$E143="",N($E143)&lt;=0),"",$E143+ROW()/1000000)</f>
        <v/>
      </c>
    </row>
    <row r="144">
      <c r="A144" s="39">
        <f>IF('10_CLIENTI'!$A144="","",'10_CLIENTI'!$A144)</f>
        <v/>
      </c>
      <c r="B144" s="39">
        <f>IF($A144="","",IFERROR(INDEX('10_CLIENTI'!$B$5:$B$204,MATCH($A144,'10_CLIENTI'!$A$5:$A$204,0)),""))</f>
        <v/>
      </c>
      <c r="C144" s="39">
        <f>IF($A144="","",IFERROR(INDEX('10_CLIENTI'!$C$5:$C$204,MATCH($A144,'10_CLIENTI'!$A$5:$A$204,0)),""))</f>
        <v/>
      </c>
      <c r="D144" s="39">
        <f>IF($A144="","",IFERROR(INDEX('10_CLIENTI'!$G$5:$G$204,MATCH($A144,'10_CLIENTI'!$A$5:$A$204,0)),""))</f>
        <v/>
      </c>
      <c r="E144" s="24">
        <f>IF($A144="","",SUMIFS('13_VANZARI'!$H$5:$H$1004,'13_VANZARI'!$D$5:$D$1004,$A144,'13_VANZARI'!$A$5:$A$1004,"&gt;="&amp;'09_PARAMETRI'!$B$5,'13_VANZARI'!$A$5:$A$1004,"&lt;="&amp;'09_PARAMETRI'!$B$6))</f>
        <v/>
      </c>
      <c r="F144" s="24">
        <f>IF($A144="","",SUMIFS('13_VANZARI'!$H$5:$H$1004,'13_VANZARI'!$D$5:$D$1004,$A144,'13_VANZARI'!$A$5:$A$1004,"&gt;="&amp;'09_PARAMETRI'!$B$7,'13_VANZARI'!$A$5:$A$1004,"&lt;="&amp;'09_PARAMETRI'!$B$8))</f>
        <v/>
      </c>
      <c r="G144" s="25">
        <f>IF($A144="","",IFERROR(IF($F144=0,"",($E144-$F144)/ABS($F144)),""))</f>
        <v/>
      </c>
      <c r="H144" s="24">
        <f>IF($A144="","",SUMIFS('13_VANZARI'!$K$5:$K$1004,'13_VANZARI'!$D$5:$D$1004,$A144,'13_VANZARI'!$A$5:$A$1004,"&gt;="&amp;'09_PARAMETRI'!$B$5,'13_VANZARI'!$A$5:$A$1004,"&lt;="&amp;'09_PARAMETRI'!$B$6))</f>
        <v/>
      </c>
      <c r="I144" s="25">
        <f>IF($A144="","",IFERROR($H144/$E144,""))</f>
        <v/>
      </c>
      <c r="J144" s="25">
        <f>IF($A144="","",IFERROR($E144/SUMIFS('13_VANZARI'!$H$5:$H$1004,'13_VANZARI'!$A$5:$A$1004,"&gt;="&amp;'09_PARAMETRI'!$B$5,'13_VANZARI'!$A$5:$A$1004,"&lt;="&amp;'09_PARAMETRI'!$B$6),""))</f>
        <v/>
      </c>
      <c r="K144" s="36">
        <f>IF($A144="","",IFERROR(IF(SUMPRODUCT(MAX(('13_VANZARI'!$D$5:$D$1004=$A144)*('13_VANZARI'!$H$5:$H$1004&lt;&gt;"")*'13_VANZARI'!$A$5:$A$1004))=0,"",SUMPRODUCT(MAX(('13_VANZARI'!$D$5:$D$1004=$A144)*('13_VANZARI'!$H$5:$H$1004&lt;&gt;"")*'13_VANZARI'!$A$5:$A$1004))),""))</f>
        <v/>
      </c>
      <c r="L144" s="24">
        <f>IF(OR($A144="",$K144=""),"",'09_PARAMETRI'!$B$9-$K144)</f>
        <v/>
      </c>
      <c r="M144" s="24">
        <f>IF($A144="","",SUMPRODUCT(('11_PRODUSE'!$A$5:$A$104&lt;&gt;"")*(SUMIFS('13_VANZARI'!$H$5:$H$1004,'13_VANZARI'!$D$5:$D$1004,$A144,'13_VANZARI'!$E$5:$E$1004,'11_PRODUSE'!$A$5:$A$104,'13_VANZARI'!$A$5:$A$1004,"&gt;="&amp;'09_PARAMETRI'!$B$5,'13_VANZARI'!$A$5:$A$1004,"&lt;="&amp;'09_PARAMETRI'!$B$6)&lt;&gt;0)))</f>
        <v/>
      </c>
      <c r="N144" s="50">
        <f>IF($A144="","",IFERROR(AVERAGEIFS('15_NPS'!$F$5:$F$504,'15_NPS'!$C$5:$C$504,$A144,'15_NPS'!$B$5:$B$504,"&gt;="&amp;'09_PARAMETRI'!$B$5,'15_NPS'!$B$5:$B$504,"&lt;="&amp;'09_PARAMETRI'!$B$6),""))</f>
        <v/>
      </c>
      <c r="O144" s="39">
        <f>IF($A144="","",IF(AND($F144&gt;0,$E144=0),"Client pierdut",IF(AND($L144&lt;&gt;"",$L144&gt;'09_PARAMETRI'!$B$16,$F144&gt;0),"Client dormant",IF(AND($G144&lt;&gt;"",$G144&lt;='09_PARAMETRI'!$B$13),"Scădere de venit",IF(AND($N144&lt;&gt;"",$N144&lt;7),"Detractor activ",IF(AND($E144&gt;0,$J144&gt;'09_PARAMETRI'!$B$19),"Risc concentrare",IF(AND($E144&gt;0,$I144&lt;&gt;"",$I144&lt;'09_PARAMETRI'!$B$15),"Marjă sub referință",IF(AND($G144&lt;&gt;"",$G144&gt;='09_PARAMETRI'!$B$14),"În creștere",IF($E144=0,"Fără activitate","Stabil")))))))))</f>
        <v/>
      </c>
      <c r="P144" s="39">
        <f>IF($A144="","",IF($O144="Risc concentrare","Risc concentrare",IF($O144="Client pierdut","Recuperare client",IF($O144="Client dormant","Reactivare client",IF($O144="Scădere de venit","Recuperare client",IF($O144="Detractor activ","Recuperare NPS",IF($O144="Marjă sub referință","Marjă / preț",IF($O144="În creștere","Up-sell",IF($O144="Fără activitate","Reactivare client","Cross-sell")))))))))</f>
        <v/>
      </c>
      <c r="Q144" s="24">
        <f>IF($A144="","",IFERROR(IF($O144="Scădere de venit",MAX(0,$F144-$E144),IF(OR($O144="Client pierdut",$O144="Client dormant",$O144="Fără activitate"),$F144,IF($O144="Marjă sub referință",MAX(0,$E144*('09_PARAMETRI'!$B$15-$I144)),$E144*0.15))),""))</f>
        <v/>
      </c>
      <c r="R144" s="48">
        <f>IF(OR($A144="",$E144="",N($E144)&lt;=0),"",$E144+ROW()/1000000)</f>
        <v/>
      </c>
    </row>
    <row r="145">
      <c r="A145" s="39">
        <f>IF('10_CLIENTI'!$A145="","",'10_CLIENTI'!$A145)</f>
        <v/>
      </c>
      <c r="B145" s="39">
        <f>IF($A145="","",IFERROR(INDEX('10_CLIENTI'!$B$5:$B$204,MATCH($A145,'10_CLIENTI'!$A$5:$A$204,0)),""))</f>
        <v/>
      </c>
      <c r="C145" s="39">
        <f>IF($A145="","",IFERROR(INDEX('10_CLIENTI'!$C$5:$C$204,MATCH($A145,'10_CLIENTI'!$A$5:$A$204,0)),""))</f>
        <v/>
      </c>
      <c r="D145" s="39">
        <f>IF($A145="","",IFERROR(INDEX('10_CLIENTI'!$G$5:$G$204,MATCH($A145,'10_CLIENTI'!$A$5:$A$204,0)),""))</f>
        <v/>
      </c>
      <c r="E145" s="24">
        <f>IF($A145="","",SUMIFS('13_VANZARI'!$H$5:$H$1004,'13_VANZARI'!$D$5:$D$1004,$A145,'13_VANZARI'!$A$5:$A$1004,"&gt;="&amp;'09_PARAMETRI'!$B$5,'13_VANZARI'!$A$5:$A$1004,"&lt;="&amp;'09_PARAMETRI'!$B$6))</f>
        <v/>
      </c>
      <c r="F145" s="24">
        <f>IF($A145="","",SUMIFS('13_VANZARI'!$H$5:$H$1004,'13_VANZARI'!$D$5:$D$1004,$A145,'13_VANZARI'!$A$5:$A$1004,"&gt;="&amp;'09_PARAMETRI'!$B$7,'13_VANZARI'!$A$5:$A$1004,"&lt;="&amp;'09_PARAMETRI'!$B$8))</f>
        <v/>
      </c>
      <c r="G145" s="25">
        <f>IF($A145="","",IFERROR(IF($F145=0,"",($E145-$F145)/ABS($F145)),""))</f>
        <v/>
      </c>
      <c r="H145" s="24">
        <f>IF($A145="","",SUMIFS('13_VANZARI'!$K$5:$K$1004,'13_VANZARI'!$D$5:$D$1004,$A145,'13_VANZARI'!$A$5:$A$1004,"&gt;="&amp;'09_PARAMETRI'!$B$5,'13_VANZARI'!$A$5:$A$1004,"&lt;="&amp;'09_PARAMETRI'!$B$6))</f>
        <v/>
      </c>
      <c r="I145" s="25">
        <f>IF($A145="","",IFERROR($H145/$E145,""))</f>
        <v/>
      </c>
      <c r="J145" s="25">
        <f>IF($A145="","",IFERROR($E145/SUMIFS('13_VANZARI'!$H$5:$H$1004,'13_VANZARI'!$A$5:$A$1004,"&gt;="&amp;'09_PARAMETRI'!$B$5,'13_VANZARI'!$A$5:$A$1004,"&lt;="&amp;'09_PARAMETRI'!$B$6),""))</f>
        <v/>
      </c>
      <c r="K145" s="36">
        <f>IF($A145="","",IFERROR(IF(SUMPRODUCT(MAX(('13_VANZARI'!$D$5:$D$1004=$A145)*('13_VANZARI'!$H$5:$H$1004&lt;&gt;"")*'13_VANZARI'!$A$5:$A$1004))=0,"",SUMPRODUCT(MAX(('13_VANZARI'!$D$5:$D$1004=$A145)*('13_VANZARI'!$H$5:$H$1004&lt;&gt;"")*'13_VANZARI'!$A$5:$A$1004))),""))</f>
        <v/>
      </c>
      <c r="L145" s="24">
        <f>IF(OR($A145="",$K145=""),"",'09_PARAMETRI'!$B$9-$K145)</f>
        <v/>
      </c>
      <c r="M145" s="24">
        <f>IF($A145="","",SUMPRODUCT(('11_PRODUSE'!$A$5:$A$104&lt;&gt;"")*(SUMIFS('13_VANZARI'!$H$5:$H$1004,'13_VANZARI'!$D$5:$D$1004,$A145,'13_VANZARI'!$E$5:$E$1004,'11_PRODUSE'!$A$5:$A$104,'13_VANZARI'!$A$5:$A$1004,"&gt;="&amp;'09_PARAMETRI'!$B$5,'13_VANZARI'!$A$5:$A$1004,"&lt;="&amp;'09_PARAMETRI'!$B$6)&lt;&gt;0)))</f>
        <v/>
      </c>
      <c r="N145" s="50">
        <f>IF($A145="","",IFERROR(AVERAGEIFS('15_NPS'!$F$5:$F$504,'15_NPS'!$C$5:$C$504,$A145,'15_NPS'!$B$5:$B$504,"&gt;="&amp;'09_PARAMETRI'!$B$5,'15_NPS'!$B$5:$B$504,"&lt;="&amp;'09_PARAMETRI'!$B$6),""))</f>
        <v/>
      </c>
      <c r="O145" s="39">
        <f>IF($A145="","",IF(AND($F145&gt;0,$E145=0),"Client pierdut",IF(AND($L145&lt;&gt;"",$L145&gt;'09_PARAMETRI'!$B$16,$F145&gt;0),"Client dormant",IF(AND($G145&lt;&gt;"",$G145&lt;='09_PARAMETRI'!$B$13),"Scădere de venit",IF(AND($N145&lt;&gt;"",$N145&lt;7),"Detractor activ",IF(AND($E145&gt;0,$J145&gt;'09_PARAMETRI'!$B$19),"Risc concentrare",IF(AND($E145&gt;0,$I145&lt;&gt;"",$I145&lt;'09_PARAMETRI'!$B$15),"Marjă sub referință",IF(AND($G145&lt;&gt;"",$G145&gt;='09_PARAMETRI'!$B$14),"În creștere",IF($E145=0,"Fără activitate","Stabil")))))))))</f>
        <v/>
      </c>
      <c r="P145" s="39">
        <f>IF($A145="","",IF($O145="Risc concentrare","Risc concentrare",IF($O145="Client pierdut","Recuperare client",IF($O145="Client dormant","Reactivare client",IF($O145="Scădere de venit","Recuperare client",IF($O145="Detractor activ","Recuperare NPS",IF($O145="Marjă sub referință","Marjă / preț",IF($O145="În creștere","Up-sell",IF($O145="Fără activitate","Reactivare client","Cross-sell")))))))))</f>
        <v/>
      </c>
      <c r="Q145" s="24">
        <f>IF($A145="","",IFERROR(IF($O145="Scădere de venit",MAX(0,$F145-$E145),IF(OR($O145="Client pierdut",$O145="Client dormant",$O145="Fără activitate"),$F145,IF($O145="Marjă sub referință",MAX(0,$E145*('09_PARAMETRI'!$B$15-$I145)),$E145*0.15))),""))</f>
        <v/>
      </c>
      <c r="R145" s="48">
        <f>IF(OR($A145="",$E145="",N($E145)&lt;=0),"",$E145+ROW()/1000000)</f>
        <v/>
      </c>
    </row>
    <row r="146">
      <c r="A146" s="39">
        <f>IF('10_CLIENTI'!$A146="","",'10_CLIENTI'!$A146)</f>
        <v/>
      </c>
      <c r="B146" s="39">
        <f>IF($A146="","",IFERROR(INDEX('10_CLIENTI'!$B$5:$B$204,MATCH($A146,'10_CLIENTI'!$A$5:$A$204,0)),""))</f>
        <v/>
      </c>
      <c r="C146" s="39">
        <f>IF($A146="","",IFERROR(INDEX('10_CLIENTI'!$C$5:$C$204,MATCH($A146,'10_CLIENTI'!$A$5:$A$204,0)),""))</f>
        <v/>
      </c>
      <c r="D146" s="39">
        <f>IF($A146="","",IFERROR(INDEX('10_CLIENTI'!$G$5:$G$204,MATCH($A146,'10_CLIENTI'!$A$5:$A$204,0)),""))</f>
        <v/>
      </c>
      <c r="E146" s="24">
        <f>IF($A146="","",SUMIFS('13_VANZARI'!$H$5:$H$1004,'13_VANZARI'!$D$5:$D$1004,$A146,'13_VANZARI'!$A$5:$A$1004,"&gt;="&amp;'09_PARAMETRI'!$B$5,'13_VANZARI'!$A$5:$A$1004,"&lt;="&amp;'09_PARAMETRI'!$B$6))</f>
        <v/>
      </c>
      <c r="F146" s="24">
        <f>IF($A146="","",SUMIFS('13_VANZARI'!$H$5:$H$1004,'13_VANZARI'!$D$5:$D$1004,$A146,'13_VANZARI'!$A$5:$A$1004,"&gt;="&amp;'09_PARAMETRI'!$B$7,'13_VANZARI'!$A$5:$A$1004,"&lt;="&amp;'09_PARAMETRI'!$B$8))</f>
        <v/>
      </c>
      <c r="G146" s="25">
        <f>IF($A146="","",IFERROR(IF($F146=0,"",($E146-$F146)/ABS($F146)),""))</f>
        <v/>
      </c>
      <c r="H146" s="24">
        <f>IF($A146="","",SUMIFS('13_VANZARI'!$K$5:$K$1004,'13_VANZARI'!$D$5:$D$1004,$A146,'13_VANZARI'!$A$5:$A$1004,"&gt;="&amp;'09_PARAMETRI'!$B$5,'13_VANZARI'!$A$5:$A$1004,"&lt;="&amp;'09_PARAMETRI'!$B$6))</f>
        <v/>
      </c>
      <c r="I146" s="25">
        <f>IF($A146="","",IFERROR($H146/$E146,""))</f>
        <v/>
      </c>
      <c r="J146" s="25">
        <f>IF($A146="","",IFERROR($E146/SUMIFS('13_VANZARI'!$H$5:$H$1004,'13_VANZARI'!$A$5:$A$1004,"&gt;="&amp;'09_PARAMETRI'!$B$5,'13_VANZARI'!$A$5:$A$1004,"&lt;="&amp;'09_PARAMETRI'!$B$6),""))</f>
        <v/>
      </c>
      <c r="K146" s="36">
        <f>IF($A146="","",IFERROR(IF(SUMPRODUCT(MAX(('13_VANZARI'!$D$5:$D$1004=$A146)*('13_VANZARI'!$H$5:$H$1004&lt;&gt;"")*'13_VANZARI'!$A$5:$A$1004))=0,"",SUMPRODUCT(MAX(('13_VANZARI'!$D$5:$D$1004=$A146)*('13_VANZARI'!$H$5:$H$1004&lt;&gt;"")*'13_VANZARI'!$A$5:$A$1004))),""))</f>
        <v/>
      </c>
      <c r="L146" s="24">
        <f>IF(OR($A146="",$K146=""),"",'09_PARAMETRI'!$B$9-$K146)</f>
        <v/>
      </c>
      <c r="M146" s="24">
        <f>IF($A146="","",SUMPRODUCT(('11_PRODUSE'!$A$5:$A$104&lt;&gt;"")*(SUMIFS('13_VANZARI'!$H$5:$H$1004,'13_VANZARI'!$D$5:$D$1004,$A146,'13_VANZARI'!$E$5:$E$1004,'11_PRODUSE'!$A$5:$A$104,'13_VANZARI'!$A$5:$A$1004,"&gt;="&amp;'09_PARAMETRI'!$B$5,'13_VANZARI'!$A$5:$A$1004,"&lt;="&amp;'09_PARAMETRI'!$B$6)&lt;&gt;0)))</f>
        <v/>
      </c>
      <c r="N146" s="50">
        <f>IF($A146="","",IFERROR(AVERAGEIFS('15_NPS'!$F$5:$F$504,'15_NPS'!$C$5:$C$504,$A146,'15_NPS'!$B$5:$B$504,"&gt;="&amp;'09_PARAMETRI'!$B$5,'15_NPS'!$B$5:$B$504,"&lt;="&amp;'09_PARAMETRI'!$B$6),""))</f>
        <v/>
      </c>
      <c r="O146" s="39">
        <f>IF($A146="","",IF(AND($F146&gt;0,$E146=0),"Client pierdut",IF(AND($L146&lt;&gt;"",$L146&gt;'09_PARAMETRI'!$B$16,$F146&gt;0),"Client dormant",IF(AND($G146&lt;&gt;"",$G146&lt;='09_PARAMETRI'!$B$13),"Scădere de venit",IF(AND($N146&lt;&gt;"",$N146&lt;7),"Detractor activ",IF(AND($E146&gt;0,$J146&gt;'09_PARAMETRI'!$B$19),"Risc concentrare",IF(AND($E146&gt;0,$I146&lt;&gt;"",$I146&lt;'09_PARAMETRI'!$B$15),"Marjă sub referință",IF(AND($G146&lt;&gt;"",$G146&gt;='09_PARAMETRI'!$B$14),"În creștere",IF($E146=0,"Fără activitate","Stabil")))))))))</f>
        <v/>
      </c>
      <c r="P146" s="39">
        <f>IF($A146="","",IF($O146="Risc concentrare","Risc concentrare",IF($O146="Client pierdut","Recuperare client",IF($O146="Client dormant","Reactivare client",IF($O146="Scădere de venit","Recuperare client",IF($O146="Detractor activ","Recuperare NPS",IF($O146="Marjă sub referință","Marjă / preț",IF($O146="În creștere","Up-sell",IF($O146="Fără activitate","Reactivare client","Cross-sell")))))))))</f>
        <v/>
      </c>
      <c r="Q146" s="24">
        <f>IF($A146="","",IFERROR(IF($O146="Scădere de venit",MAX(0,$F146-$E146),IF(OR($O146="Client pierdut",$O146="Client dormant",$O146="Fără activitate"),$F146,IF($O146="Marjă sub referință",MAX(0,$E146*('09_PARAMETRI'!$B$15-$I146)),$E146*0.15))),""))</f>
        <v/>
      </c>
      <c r="R146" s="48">
        <f>IF(OR($A146="",$E146="",N($E146)&lt;=0),"",$E146+ROW()/1000000)</f>
        <v/>
      </c>
    </row>
    <row r="147">
      <c r="A147" s="39">
        <f>IF('10_CLIENTI'!$A147="","",'10_CLIENTI'!$A147)</f>
        <v/>
      </c>
      <c r="B147" s="39">
        <f>IF($A147="","",IFERROR(INDEX('10_CLIENTI'!$B$5:$B$204,MATCH($A147,'10_CLIENTI'!$A$5:$A$204,0)),""))</f>
        <v/>
      </c>
      <c r="C147" s="39">
        <f>IF($A147="","",IFERROR(INDEX('10_CLIENTI'!$C$5:$C$204,MATCH($A147,'10_CLIENTI'!$A$5:$A$204,0)),""))</f>
        <v/>
      </c>
      <c r="D147" s="39">
        <f>IF($A147="","",IFERROR(INDEX('10_CLIENTI'!$G$5:$G$204,MATCH($A147,'10_CLIENTI'!$A$5:$A$204,0)),""))</f>
        <v/>
      </c>
      <c r="E147" s="24">
        <f>IF($A147="","",SUMIFS('13_VANZARI'!$H$5:$H$1004,'13_VANZARI'!$D$5:$D$1004,$A147,'13_VANZARI'!$A$5:$A$1004,"&gt;="&amp;'09_PARAMETRI'!$B$5,'13_VANZARI'!$A$5:$A$1004,"&lt;="&amp;'09_PARAMETRI'!$B$6))</f>
        <v/>
      </c>
      <c r="F147" s="24">
        <f>IF($A147="","",SUMIFS('13_VANZARI'!$H$5:$H$1004,'13_VANZARI'!$D$5:$D$1004,$A147,'13_VANZARI'!$A$5:$A$1004,"&gt;="&amp;'09_PARAMETRI'!$B$7,'13_VANZARI'!$A$5:$A$1004,"&lt;="&amp;'09_PARAMETRI'!$B$8))</f>
        <v/>
      </c>
      <c r="G147" s="25">
        <f>IF($A147="","",IFERROR(IF($F147=0,"",($E147-$F147)/ABS($F147)),""))</f>
        <v/>
      </c>
      <c r="H147" s="24">
        <f>IF($A147="","",SUMIFS('13_VANZARI'!$K$5:$K$1004,'13_VANZARI'!$D$5:$D$1004,$A147,'13_VANZARI'!$A$5:$A$1004,"&gt;="&amp;'09_PARAMETRI'!$B$5,'13_VANZARI'!$A$5:$A$1004,"&lt;="&amp;'09_PARAMETRI'!$B$6))</f>
        <v/>
      </c>
      <c r="I147" s="25">
        <f>IF($A147="","",IFERROR($H147/$E147,""))</f>
        <v/>
      </c>
      <c r="J147" s="25">
        <f>IF($A147="","",IFERROR($E147/SUMIFS('13_VANZARI'!$H$5:$H$1004,'13_VANZARI'!$A$5:$A$1004,"&gt;="&amp;'09_PARAMETRI'!$B$5,'13_VANZARI'!$A$5:$A$1004,"&lt;="&amp;'09_PARAMETRI'!$B$6),""))</f>
        <v/>
      </c>
      <c r="K147" s="36">
        <f>IF($A147="","",IFERROR(IF(SUMPRODUCT(MAX(('13_VANZARI'!$D$5:$D$1004=$A147)*('13_VANZARI'!$H$5:$H$1004&lt;&gt;"")*'13_VANZARI'!$A$5:$A$1004))=0,"",SUMPRODUCT(MAX(('13_VANZARI'!$D$5:$D$1004=$A147)*('13_VANZARI'!$H$5:$H$1004&lt;&gt;"")*'13_VANZARI'!$A$5:$A$1004))),""))</f>
        <v/>
      </c>
      <c r="L147" s="24">
        <f>IF(OR($A147="",$K147=""),"",'09_PARAMETRI'!$B$9-$K147)</f>
        <v/>
      </c>
      <c r="M147" s="24">
        <f>IF($A147="","",SUMPRODUCT(('11_PRODUSE'!$A$5:$A$104&lt;&gt;"")*(SUMIFS('13_VANZARI'!$H$5:$H$1004,'13_VANZARI'!$D$5:$D$1004,$A147,'13_VANZARI'!$E$5:$E$1004,'11_PRODUSE'!$A$5:$A$104,'13_VANZARI'!$A$5:$A$1004,"&gt;="&amp;'09_PARAMETRI'!$B$5,'13_VANZARI'!$A$5:$A$1004,"&lt;="&amp;'09_PARAMETRI'!$B$6)&lt;&gt;0)))</f>
        <v/>
      </c>
      <c r="N147" s="50">
        <f>IF($A147="","",IFERROR(AVERAGEIFS('15_NPS'!$F$5:$F$504,'15_NPS'!$C$5:$C$504,$A147,'15_NPS'!$B$5:$B$504,"&gt;="&amp;'09_PARAMETRI'!$B$5,'15_NPS'!$B$5:$B$504,"&lt;="&amp;'09_PARAMETRI'!$B$6),""))</f>
        <v/>
      </c>
      <c r="O147" s="39">
        <f>IF($A147="","",IF(AND($F147&gt;0,$E147=0),"Client pierdut",IF(AND($L147&lt;&gt;"",$L147&gt;'09_PARAMETRI'!$B$16,$F147&gt;0),"Client dormant",IF(AND($G147&lt;&gt;"",$G147&lt;='09_PARAMETRI'!$B$13),"Scădere de venit",IF(AND($N147&lt;&gt;"",$N147&lt;7),"Detractor activ",IF(AND($E147&gt;0,$J147&gt;'09_PARAMETRI'!$B$19),"Risc concentrare",IF(AND($E147&gt;0,$I147&lt;&gt;"",$I147&lt;'09_PARAMETRI'!$B$15),"Marjă sub referință",IF(AND($G147&lt;&gt;"",$G147&gt;='09_PARAMETRI'!$B$14),"În creștere",IF($E147=0,"Fără activitate","Stabil")))))))))</f>
        <v/>
      </c>
      <c r="P147" s="39">
        <f>IF($A147="","",IF($O147="Risc concentrare","Risc concentrare",IF($O147="Client pierdut","Recuperare client",IF($O147="Client dormant","Reactivare client",IF($O147="Scădere de venit","Recuperare client",IF($O147="Detractor activ","Recuperare NPS",IF($O147="Marjă sub referință","Marjă / preț",IF($O147="În creștere","Up-sell",IF($O147="Fără activitate","Reactivare client","Cross-sell")))))))))</f>
        <v/>
      </c>
      <c r="Q147" s="24">
        <f>IF($A147="","",IFERROR(IF($O147="Scădere de venit",MAX(0,$F147-$E147),IF(OR($O147="Client pierdut",$O147="Client dormant",$O147="Fără activitate"),$F147,IF($O147="Marjă sub referință",MAX(0,$E147*('09_PARAMETRI'!$B$15-$I147)),$E147*0.15))),""))</f>
        <v/>
      </c>
      <c r="R147" s="48">
        <f>IF(OR($A147="",$E147="",N($E147)&lt;=0),"",$E147+ROW()/1000000)</f>
        <v/>
      </c>
    </row>
    <row r="148">
      <c r="A148" s="39">
        <f>IF('10_CLIENTI'!$A148="","",'10_CLIENTI'!$A148)</f>
        <v/>
      </c>
      <c r="B148" s="39">
        <f>IF($A148="","",IFERROR(INDEX('10_CLIENTI'!$B$5:$B$204,MATCH($A148,'10_CLIENTI'!$A$5:$A$204,0)),""))</f>
        <v/>
      </c>
      <c r="C148" s="39">
        <f>IF($A148="","",IFERROR(INDEX('10_CLIENTI'!$C$5:$C$204,MATCH($A148,'10_CLIENTI'!$A$5:$A$204,0)),""))</f>
        <v/>
      </c>
      <c r="D148" s="39">
        <f>IF($A148="","",IFERROR(INDEX('10_CLIENTI'!$G$5:$G$204,MATCH($A148,'10_CLIENTI'!$A$5:$A$204,0)),""))</f>
        <v/>
      </c>
      <c r="E148" s="24">
        <f>IF($A148="","",SUMIFS('13_VANZARI'!$H$5:$H$1004,'13_VANZARI'!$D$5:$D$1004,$A148,'13_VANZARI'!$A$5:$A$1004,"&gt;="&amp;'09_PARAMETRI'!$B$5,'13_VANZARI'!$A$5:$A$1004,"&lt;="&amp;'09_PARAMETRI'!$B$6))</f>
        <v/>
      </c>
      <c r="F148" s="24">
        <f>IF($A148="","",SUMIFS('13_VANZARI'!$H$5:$H$1004,'13_VANZARI'!$D$5:$D$1004,$A148,'13_VANZARI'!$A$5:$A$1004,"&gt;="&amp;'09_PARAMETRI'!$B$7,'13_VANZARI'!$A$5:$A$1004,"&lt;="&amp;'09_PARAMETRI'!$B$8))</f>
        <v/>
      </c>
      <c r="G148" s="25">
        <f>IF($A148="","",IFERROR(IF($F148=0,"",($E148-$F148)/ABS($F148)),""))</f>
        <v/>
      </c>
      <c r="H148" s="24">
        <f>IF($A148="","",SUMIFS('13_VANZARI'!$K$5:$K$1004,'13_VANZARI'!$D$5:$D$1004,$A148,'13_VANZARI'!$A$5:$A$1004,"&gt;="&amp;'09_PARAMETRI'!$B$5,'13_VANZARI'!$A$5:$A$1004,"&lt;="&amp;'09_PARAMETRI'!$B$6))</f>
        <v/>
      </c>
      <c r="I148" s="25">
        <f>IF($A148="","",IFERROR($H148/$E148,""))</f>
        <v/>
      </c>
      <c r="J148" s="25">
        <f>IF($A148="","",IFERROR($E148/SUMIFS('13_VANZARI'!$H$5:$H$1004,'13_VANZARI'!$A$5:$A$1004,"&gt;="&amp;'09_PARAMETRI'!$B$5,'13_VANZARI'!$A$5:$A$1004,"&lt;="&amp;'09_PARAMETRI'!$B$6),""))</f>
        <v/>
      </c>
      <c r="K148" s="36">
        <f>IF($A148="","",IFERROR(IF(SUMPRODUCT(MAX(('13_VANZARI'!$D$5:$D$1004=$A148)*('13_VANZARI'!$H$5:$H$1004&lt;&gt;"")*'13_VANZARI'!$A$5:$A$1004))=0,"",SUMPRODUCT(MAX(('13_VANZARI'!$D$5:$D$1004=$A148)*('13_VANZARI'!$H$5:$H$1004&lt;&gt;"")*'13_VANZARI'!$A$5:$A$1004))),""))</f>
        <v/>
      </c>
      <c r="L148" s="24">
        <f>IF(OR($A148="",$K148=""),"",'09_PARAMETRI'!$B$9-$K148)</f>
        <v/>
      </c>
      <c r="M148" s="24">
        <f>IF($A148="","",SUMPRODUCT(('11_PRODUSE'!$A$5:$A$104&lt;&gt;"")*(SUMIFS('13_VANZARI'!$H$5:$H$1004,'13_VANZARI'!$D$5:$D$1004,$A148,'13_VANZARI'!$E$5:$E$1004,'11_PRODUSE'!$A$5:$A$104,'13_VANZARI'!$A$5:$A$1004,"&gt;="&amp;'09_PARAMETRI'!$B$5,'13_VANZARI'!$A$5:$A$1004,"&lt;="&amp;'09_PARAMETRI'!$B$6)&lt;&gt;0)))</f>
        <v/>
      </c>
      <c r="N148" s="50">
        <f>IF($A148="","",IFERROR(AVERAGEIFS('15_NPS'!$F$5:$F$504,'15_NPS'!$C$5:$C$504,$A148,'15_NPS'!$B$5:$B$504,"&gt;="&amp;'09_PARAMETRI'!$B$5,'15_NPS'!$B$5:$B$504,"&lt;="&amp;'09_PARAMETRI'!$B$6),""))</f>
        <v/>
      </c>
      <c r="O148" s="39">
        <f>IF($A148="","",IF(AND($F148&gt;0,$E148=0),"Client pierdut",IF(AND($L148&lt;&gt;"",$L148&gt;'09_PARAMETRI'!$B$16,$F148&gt;0),"Client dormant",IF(AND($G148&lt;&gt;"",$G148&lt;='09_PARAMETRI'!$B$13),"Scădere de venit",IF(AND($N148&lt;&gt;"",$N148&lt;7),"Detractor activ",IF(AND($E148&gt;0,$J148&gt;'09_PARAMETRI'!$B$19),"Risc concentrare",IF(AND($E148&gt;0,$I148&lt;&gt;"",$I148&lt;'09_PARAMETRI'!$B$15),"Marjă sub referință",IF(AND($G148&lt;&gt;"",$G148&gt;='09_PARAMETRI'!$B$14),"În creștere",IF($E148=0,"Fără activitate","Stabil")))))))))</f>
        <v/>
      </c>
      <c r="P148" s="39">
        <f>IF($A148="","",IF($O148="Risc concentrare","Risc concentrare",IF($O148="Client pierdut","Recuperare client",IF($O148="Client dormant","Reactivare client",IF($O148="Scădere de venit","Recuperare client",IF($O148="Detractor activ","Recuperare NPS",IF($O148="Marjă sub referință","Marjă / preț",IF($O148="În creștere","Up-sell",IF($O148="Fără activitate","Reactivare client","Cross-sell")))))))))</f>
        <v/>
      </c>
      <c r="Q148" s="24">
        <f>IF($A148="","",IFERROR(IF($O148="Scădere de venit",MAX(0,$F148-$E148),IF(OR($O148="Client pierdut",$O148="Client dormant",$O148="Fără activitate"),$F148,IF($O148="Marjă sub referință",MAX(0,$E148*('09_PARAMETRI'!$B$15-$I148)),$E148*0.15))),""))</f>
        <v/>
      </c>
      <c r="R148" s="48">
        <f>IF(OR($A148="",$E148="",N($E148)&lt;=0),"",$E148+ROW()/1000000)</f>
        <v/>
      </c>
    </row>
    <row r="149">
      <c r="A149" s="39">
        <f>IF('10_CLIENTI'!$A149="","",'10_CLIENTI'!$A149)</f>
        <v/>
      </c>
      <c r="B149" s="39">
        <f>IF($A149="","",IFERROR(INDEX('10_CLIENTI'!$B$5:$B$204,MATCH($A149,'10_CLIENTI'!$A$5:$A$204,0)),""))</f>
        <v/>
      </c>
      <c r="C149" s="39">
        <f>IF($A149="","",IFERROR(INDEX('10_CLIENTI'!$C$5:$C$204,MATCH($A149,'10_CLIENTI'!$A$5:$A$204,0)),""))</f>
        <v/>
      </c>
      <c r="D149" s="39">
        <f>IF($A149="","",IFERROR(INDEX('10_CLIENTI'!$G$5:$G$204,MATCH($A149,'10_CLIENTI'!$A$5:$A$204,0)),""))</f>
        <v/>
      </c>
      <c r="E149" s="24">
        <f>IF($A149="","",SUMIFS('13_VANZARI'!$H$5:$H$1004,'13_VANZARI'!$D$5:$D$1004,$A149,'13_VANZARI'!$A$5:$A$1004,"&gt;="&amp;'09_PARAMETRI'!$B$5,'13_VANZARI'!$A$5:$A$1004,"&lt;="&amp;'09_PARAMETRI'!$B$6))</f>
        <v/>
      </c>
      <c r="F149" s="24">
        <f>IF($A149="","",SUMIFS('13_VANZARI'!$H$5:$H$1004,'13_VANZARI'!$D$5:$D$1004,$A149,'13_VANZARI'!$A$5:$A$1004,"&gt;="&amp;'09_PARAMETRI'!$B$7,'13_VANZARI'!$A$5:$A$1004,"&lt;="&amp;'09_PARAMETRI'!$B$8))</f>
        <v/>
      </c>
      <c r="G149" s="25">
        <f>IF($A149="","",IFERROR(IF($F149=0,"",($E149-$F149)/ABS($F149)),""))</f>
        <v/>
      </c>
      <c r="H149" s="24">
        <f>IF($A149="","",SUMIFS('13_VANZARI'!$K$5:$K$1004,'13_VANZARI'!$D$5:$D$1004,$A149,'13_VANZARI'!$A$5:$A$1004,"&gt;="&amp;'09_PARAMETRI'!$B$5,'13_VANZARI'!$A$5:$A$1004,"&lt;="&amp;'09_PARAMETRI'!$B$6))</f>
        <v/>
      </c>
      <c r="I149" s="25">
        <f>IF($A149="","",IFERROR($H149/$E149,""))</f>
        <v/>
      </c>
      <c r="J149" s="25">
        <f>IF($A149="","",IFERROR($E149/SUMIFS('13_VANZARI'!$H$5:$H$1004,'13_VANZARI'!$A$5:$A$1004,"&gt;="&amp;'09_PARAMETRI'!$B$5,'13_VANZARI'!$A$5:$A$1004,"&lt;="&amp;'09_PARAMETRI'!$B$6),""))</f>
        <v/>
      </c>
      <c r="K149" s="36">
        <f>IF($A149="","",IFERROR(IF(SUMPRODUCT(MAX(('13_VANZARI'!$D$5:$D$1004=$A149)*('13_VANZARI'!$H$5:$H$1004&lt;&gt;"")*'13_VANZARI'!$A$5:$A$1004))=0,"",SUMPRODUCT(MAX(('13_VANZARI'!$D$5:$D$1004=$A149)*('13_VANZARI'!$H$5:$H$1004&lt;&gt;"")*'13_VANZARI'!$A$5:$A$1004))),""))</f>
        <v/>
      </c>
      <c r="L149" s="24">
        <f>IF(OR($A149="",$K149=""),"",'09_PARAMETRI'!$B$9-$K149)</f>
        <v/>
      </c>
      <c r="M149" s="24">
        <f>IF($A149="","",SUMPRODUCT(('11_PRODUSE'!$A$5:$A$104&lt;&gt;"")*(SUMIFS('13_VANZARI'!$H$5:$H$1004,'13_VANZARI'!$D$5:$D$1004,$A149,'13_VANZARI'!$E$5:$E$1004,'11_PRODUSE'!$A$5:$A$104,'13_VANZARI'!$A$5:$A$1004,"&gt;="&amp;'09_PARAMETRI'!$B$5,'13_VANZARI'!$A$5:$A$1004,"&lt;="&amp;'09_PARAMETRI'!$B$6)&lt;&gt;0)))</f>
        <v/>
      </c>
      <c r="N149" s="50">
        <f>IF($A149="","",IFERROR(AVERAGEIFS('15_NPS'!$F$5:$F$504,'15_NPS'!$C$5:$C$504,$A149,'15_NPS'!$B$5:$B$504,"&gt;="&amp;'09_PARAMETRI'!$B$5,'15_NPS'!$B$5:$B$504,"&lt;="&amp;'09_PARAMETRI'!$B$6),""))</f>
        <v/>
      </c>
      <c r="O149" s="39">
        <f>IF($A149="","",IF(AND($F149&gt;0,$E149=0),"Client pierdut",IF(AND($L149&lt;&gt;"",$L149&gt;'09_PARAMETRI'!$B$16,$F149&gt;0),"Client dormant",IF(AND($G149&lt;&gt;"",$G149&lt;='09_PARAMETRI'!$B$13),"Scădere de venit",IF(AND($N149&lt;&gt;"",$N149&lt;7),"Detractor activ",IF(AND($E149&gt;0,$J149&gt;'09_PARAMETRI'!$B$19),"Risc concentrare",IF(AND($E149&gt;0,$I149&lt;&gt;"",$I149&lt;'09_PARAMETRI'!$B$15),"Marjă sub referință",IF(AND($G149&lt;&gt;"",$G149&gt;='09_PARAMETRI'!$B$14),"În creștere",IF($E149=0,"Fără activitate","Stabil")))))))))</f>
        <v/>
      </c>
      <c r="P149" s="39">
        <f>IF($A149="","",IF($O149="Risc concentrare","Risc concentrare",IF($O149="Client pierdut","Recuperare client",IF($O149="Client dormant","Reactivare client",IF($O149="Scădere de venit","Recuperare client",IF($O149="Detractor activ","Recuperare NPS",IF($O149="Marjă sub referință","Marjă / preț",IF($O149="În creștere","Up-sell",IF($O149="Fără activitate","Reactivare client","Cross-sell")))))))))</f>
        <v/>
      </c>
      <c r="Q149" s="24">
        <f>IF($A149="","",IFERROR(IF($O149="Scădere de venit",MAX(0,$F149-$E149),IF(OR($O149="Client pierdut",$O149="Client dormant",$O149="Fără activitate"),$F149,IF($O149="Marjă sub referință",MAX(0,$E149*('09_PARAMETRI'!$B$15-$I149)),$E149*0.15))),""))</f>
        <v/>
      </c>
      <c r="R149" s="48">
        <f>IF(OR($A149="",$E149="",N($E149)&lt;=0),"",$E149+ROW()/1000000)</f>
        <v/>
      </c>
    </row>
    <row r="150">
      <c r="A150" s="39">
        <f>IF('10_CLIENTI'!$A150="","",'10_CLIENTI'!$A150)</f>
        <v/>
      </c>
      <c r="B150" s="39">
        <f>IF($A150="","",IFERROR(INDEX('10_CLIENTI'!$B$5:$B$204,MATCH($A150,'10_CLIENTI'!$A$5:$A$204,0)),""))</f>
        <v/>
      </c>
      <c r="C150" s="39">
        <f>IF($A150="","",IFERROR(INDEX('10_CLIENTI'!$C$5:$C$204,MATCH($A150,'10_CLIENTI'!$A$5:$A$204,0)),""))</f>
        <v/>
      </c>
      <c r="D150" s="39">
        <f>IF($A150="","",IFERROR(INDEX('10_CLIENTI'!$G$5:$G$204,MATCH($A150,'10_CLIENTI'!$A$5:$A$204,0)),""))</f>
        <v/>
      </c>
      <c r="E150" s="24">
        <f>IF($A150="","",SUMIFS('13_VANZARI'!$H$5:$H$1004,'13_VANZARI'!$D$5:$D$1004,$A150,'13_VANZARI'!$A$5:$A$1004,"&gt;="&amp;'09_PARAMETRI'!$B$5,'13_VANZARI'!$A$5:$A$1004,"&lt;="&amp;'09_PARAMETRI'!$B$6))</f>
        <v/>
      </c>
      <c r="F150" s="24">
        <f>IF($A150="","",SUMIFS('13_VANZARI'!$H$5:$H$1004,'13_VANZARI'!$D$5:$D$1004,$A150,'13_VANZARI'!$A$5:$A$1004,"&gt;="&amp;'09_PARAMETRI'!$B$7,'13_VANZARI'!$A$5:$A$1004,"&lt;="&amp;'09_PARAMETRI'!$B$8))</f>
        <v/>
      </c>
      <c r="G150" s="25">
        <f>IF($A150="","",IFERROR(IF($F150=0,"",($E150-$F150)/ABS($F150)),""))</f>
        <v/>
      </c>
      <c r="H150" s="24">
        <f>IF($A150="","",SUMIFS('13_VANZARI'!$K$5:$K$1004,'13_VANZARI'!$D$5:$D$1004,$A150,'13_VANZARI'!$A$5:$A$1004,"&gt;="&amp;'09_PARAMETRI'!$B$5,'13_VANZARI'!$A$5:$A$1004,"&lt;="&amp;'09_PARAMETRI'!$B$6))</f>
        <v/>
      </c>
      <c r="I150" s="25">
        <f>IF($A150="","",IFERROR($H150/$E150,""))</f>
        <v/>
      </c>
      <c r="J150" s="25">
        <f>IF($A150="","",IFERROR($E150/SUMIFS('13_VANZARI'!$H$5:$H$1004,'13_VANZARI'!$A$5:$A$1004,"&gt;="&amp;'09_PARAMETRI'!$B$5,'13_VANZARI'!$A$5:$A$1004,"&lt;="&amp;'09_PARAMETRI'!$B$6),""))</f>
        <v/>
      </c>
      <c r="K150" s="36">
        <f>IF($A150="","",IFERROR(IF(SUMPRODUCT(MAX(('13_VANZARI'!$D$5:$D$1004=$A150)*('13_VANZARI'!$H$5:$H$1004&lt;&gt;"")*'13_VANZARI'!$A$5:$A$1004))=0,"",SUMPRODUCT(MAX(('13_VANZARI'!$D$5:$D$1004=$A150)*('13_VANZARI'!$H$5:$H$1004&lt;&gt;"")*'13_VANZARI'!$A$5:$A$1004))),""))</f>
        <v/>
      </c>
      <c r="L150" s="24">
        <f>IF(OR($A150="",$K150=""),"",'09_PARAMETRI'!$B$9-$K150)</f>
        <v/>
      </c>
      <c r="M150" s="24">
        <f>IF($A150="","",SUMPRODUCT(('11_PRODUSE'!$A$5:$A$104&lt;&gt;"")*(SUMIFS('13_VANZARI'!$H$5:$H$1004,'13_VANZARI'!$D$5:$D$1004,$A150,'13_VANZARI'!$E$5:$E$1004,'11_PRODUSE'!$A$5:$A$104,'13_VANZARI'!$A$5:$A$1004,"&gt;="&amp;'09_PARAMETRI'!$B$5,'13_VANZARI'!$A$5:$A$1004,"&lt;="&amp;'09_PARAMETRI'!$B$6)&lt;&gt;0)))</f>
        <v/>
      </c>
      <c r="N150" s="50">
        <f>IF($A150="","",IFERROR(AVERAGEIFS('15_NPS'!$F$5:$F$504,'15_NPS'!$C$5:$C$504,$A150,'15_NPS'!$B$5:$B$504,"&gt;="&amp;'09_PARAMETRI'!$B$5,'15_NPS'!$B$5:$B$504,"&lt;="&amp;'09_PARAMETRI'!$B$6),""))</f>
        <v/>
      </c>
      <c r="O150" s="39">
        <f>IF($A150="","",IF(AND($F150&gt;0,$E150=0),"Client pierdut",IF(AND($L150&lt;&gt;"",$L150&gt;'09_PARAMETRI'!$B$16,$F150&gt;0),"Client dormant",IF(AND($G150&lt;&gt;"",$G150&lt;='09_PARAMETRI'!$B$13),"Scădere de venit",IF(AND($N150&lt;&gt;"",$N150&lt;7),"Detractor activ",IF(AND($E150&gt;0,$J150&gt;'09_PARAMETRI'!$B$19),"Risc concentrare",IF(AND($E150&gt;0,$I150&lt;&gt;"",$I150&lt;'09_PARAMETRI'!$B$15),"Marjă sub referință",IF(AND($G150&lt;&gt;"",$G150&gt;='09_PARAMETRI'!$B$14),"În creștere",IF($E150=0,"Fără activitate","Stabil")))))))))</f>
        <v/>
      </c>
      <c r="P150" s="39">
        <f>IF($A150="","",IF($O150="Risc concentrare","Risc concentrare",IF($O150="Client pierdut","Recuperare client",IF($O150="Client dormant","Reactivare client",IF($O150="Scădere de venit","Recuperare client",IF($O150="Detractor activ","Recuperare NPS",IF($O150="Marjă sub referință","Marjă / preț",IF($O150="În creștere","Up-sell",IF($O150="Fără activitate","Reactivare client","Cross-sell")))))))))</f>
        <v/>
      </c>
      <c r="Q150" s="24">
        <f>IF($A150="","",IFERROR(IF($O150="Scădere de venit",MAX(0,$F150-$E150),IF(OR($O150="Client pierdut",$O150="Client dormant",$O150="Fără activitate"),$F150,IF($O150="Marjă sub referință",MAX(0,$E150*('09_PARAMETRI'!$B$15-$I150)),$E150*0.15))),""))</f>
        <v/>
      </c>
      <c r="R150" s="48">
        <f>IF(OR($A150="",$E150="",N($E150)&lt;=0),"",$E150+ROW()/1000000)</f>
        <v/>
      </c>
    </row>
    <row r="151">
      <c r="A151" s="39">
        <f>IF('10_CLIENTI'!$A151="","",'10_CLIENTI'!$A151)</f>
        <v/>
      </c>
      <c r="B151" s="39">
        <f>IF($A151="","",IFERROR(INDEX('10_CLIENTI'!$B$5:$B$204,MATCH($A151,'10_CLIENTI'!$A$5:$A$204,0)),""))</f>
        <v/>
      </c>
      <c r="C151" s="39">
        <f>IF($A151="","",IFERROR(INDEX('10_CLIENTI'!$C$5:$C$204,MATCH($A151,'10_CLIENTI'!$A$5:$A$204,0)),""))</f>
        <v/>
      </c>
      <c r="D151" s="39">
        <f>IF($A151="","",IFERROR(INDEX('10_CLIENTI'!$G$5:$G$204,MATCH($A151,'10_CLIENTI'!$A$5:$A$204,0)),""))</f>
        <v/>
      </c>
      <c r="E151" s="24">
        <f>IF($A151="","",SUMIFS('13_VANZARI'!$H$5:$H$1004,'13_VANZARI'!$D$5:$D$1004,$A151,'13_VANZARI'!$A$5:$A$1004,"&gt;="&amp;'09_PARAMETRI'!$B$5,'13_VANZARI'!$A$5:$A$1004,"&lt;="&amp;'09_PARAMETRI'!$B$6))</f>
        <v/>
      </c>
      <c r="F151" s="24">
        <f>IF($A151="","",SUMIFS('13_VANZARI'!$H$5:$H$1004,'13_VANZARI'!$D$5:$D$1004,$A151,'13_VANZARI'!$A$5:$A$1004,"&gt;="&amp;'09_PARAMETRI'!$B$7,'13_VANZARI'!$A$5:$A$1004,"&lt;="&amp;'09_PARAMETRI'!$B$8))</f>
        <v/>
      </c>
      <c r="G151" s="25">
        <f>IF($A151="","",IFERROR(IF($F151=0,"",($E151-$F151)/ABS($F151)),""))</f>
        <v/>
      </c>
      <c r="H151" s="24">
        <f>IF($A151="","",SUMIFS('13_VANZARI'!$K$5:$K$1004,'13_VANZARI'!$D$5:$D$1004,$A151,'13_VANZARI'!$A$5:$A$1004,"&gt;="&amp;'09_PARAMETRI'!$B$5,'13_VANZARI'!$A$5:$A$1004,"&lt;="&amp;'09_PARAMETRI'!$B$6))</f>
        <v/>
      </c>
      <c r="I151" s="25">
        <f>IF($A151="","",IFERROR($H151/$E151,""))</f>
        <v/>
      </c>
      <c r="J151" s="25">
        <f>IF($A151="","",IFERROR($E151/SUMIFS('13_VANZARI'!$H$5:$H$1004,'13_VANZARI'!$A$5:$A$1004,"&gt;="&amp;'09_PARAMETRI'!$B$5,'13_VANZARI'!$A$5:$A$1004,"&lt;="&amp;'09_PARAMETRI'!$B$6),""))</f>
        <v/>
      </c>
      <c r="K151" s="36">
        <f>IF($A151="","",IFERROR(IF(SUMPRODUCT(MAX(('13_VANZARI'!$D$5:$D$1004=$A151)*('13_VANZARI'!$H$5:$H$1004&lt;&gt;"")*'13_VANZARI'!$A$5:$A$1004))=0,"",SUMPRODUCT(MAX(('13_VANZARI'!$D$5:$D$1004=$A151)*('13_VANZARI'!$H$5:$H$1004&lt;&gt;"")*'13_VANZARI'!$A$5:$A$1004))),""))</f>
        <v/>
      </c>
      <c r="L151" s="24">
        <f>IF(OR($A151="",$K151=""),"",'09_PARAMETRI'!$B$9-$K151)</f>
        <v/>
      </c>
      <c r="M151" s="24">
        <f>IF($A151="","",SUMPRODUCT(('11_PRODUSE'!$A$5:$A$104&lt;&gt;"")*(SUMIFS('13_VANZARI'!$H$5:$H$1004,'13_VANZARI'!$D$5:$D$1004,$A151,'13_VANZARI'!$E$5:$E$1004,'11_PRODUSE'!$A$5:$A$104,'13_VANZARI'!$A$5:$A$1004,"&gt;="&amp;'09_PARAMETRI'!$B$5,'13_VANZARI'!$A$5:$A$1004,"&lt;="&amp;'09_PARAMETRI'!$B$6)&lt;&gt;0)))</f>
        <v/>
      </c>
      <c r="N151" s="50">
        <f>IF($A151="","",IFERROR(AVERAGEIFS('15_NPS'!$F$5:$F$504,'15_NPS'!$C$5:$C$504,$A151,'15_NPS'!$B$5:$B$504,"&gt;="&amp;'09_PARAMETRI'!$B$5,'15_NPS'!$B$5:$B$504,"&lt;="&amp;'09_PARAMETRI'!$B$6),""))</f>
        <v/>
      </c>
      <c r="O151" s="39">
        <f>IF($A151="","",IF(AND($F151&gt;0,$E151=0),"Client pierdut",IF(AND($L151&lt;&gt;"",$L151&gt;'09_PARAMETRI'!$B$16,$F151&gt;0),"Client dormant",IF(AND($G151&lt;&gt;"",$G151&lt;='09_PARAMETRI'!$B$13),"Scădere de venit",IF(AND($N151&lt;&gt;"",$N151&lt;7),"Detractor activ",IF(AND($E151&gt;0,$J151&gt;'09_PARAMETRI'!$B$19),"Risc concentrare",IF(AND($E151&gt;0,$I151&lt;&gt;"",$I151&lt;'09_PARAMETRI'!$B$15),"Marjă sub referință",IF(AND($G151&lt;&gt;"",$G151&gt;='09_PARAMETRI'!$B$14),"În creștere",IF($E151=0,"Fără activitate","Stabil")))))))))</f>
        <v/>
      </c>
      <c r="P151" s="39">
        <f>IF($A151="","",IF($O151="Risc concentrare","Risc concentrare",IF($O151="Client pierdut","Recuperare client",IF($O151="Client dormant","Reactivare client",IF($O151="Scădere de venit","Recuperare client",IF($O151="Detractor activ","Recuperare NPS",IF($O151="Marjă sub referință","Marjă / preț",IF($O151="În creștere","Up-sell",IF($O151="Fără activitate","Reactivare client","Cross-sell")))))))))</f>
        <v/>
      </c>
      <c r="Q151" s="24">
        <f>IF($A151="","",IFERROR(IF($O151="Scădere de venit",MAX(0,$F151-$E151),IF(OR($O151="Client pierdut",$O151="Client dormant",$O151="Fără activitate"),$F151,IF($O151="Marjă sub referință",MAX(0,$E151*('09_PARAMETRI'!$B$15-$I151)),$E151*0.15))),""))</f>
        <v/>
      </c>
      <c r="R151" s="48">
        <f>IF(OR($A151="",$E151="",N($E151)&lt;=0),"",$E151+ROW()/1000000)</f>
        <v/>
      </c>
    </row>
    <row r="152">
      <c r="A152" s="39">
        <f>IF('10_CLIENTI'!$A152="","",'10_CLIENTI'!$A152)</f>
        <v/>
      </c>
      <c r="B152" s="39">
        <f>IF($A152="","",IFERROR(INDEX('10_CLIENTI'!$B$5:$B$204,MATCH($A152,'10_CLIENTI'!$A$5:$A$204,0)),""))</f>
        <v/>
      </c>
      <c r="C152" s="39">
        <f>IF($A152="","",IFERROR(INDEX('10_CLIENTI'!$C$5:$C$204,MATCH($A152,'10_CLIENTI'!$A$5:$A$204,0)),""))</f>
        <v/>
      </c>
      <c r="D152" s="39">
        <f>IF($A152="","",IFERROR(INDEX('10_CLIENTI'!$G$5:$G$204,MATCH($A152,'10_CLIENTI'!$A$5:$A$204,0)),""))</f>
        <v/>
      </c>
      <c r="E152" s="24">
        <f>IF($A152="","",SUMIFS('13_VANZARI'!$H$5:$H$1004,'13_VANZARI'!$D$5:$D$1004,$A152,'13_VANZARI'!$A$5:$A$1004,"&gt;="&amp;'09_PARAMETRI'!$B$5,'13_VANZARI'!$A$5:$A$1004,"&lt;="&amp;'09_PARAMETRI'!$B$6))</f>
        <v/>
      </c>
      <c r="F152" s="24">
        <f>IF($A152="","",SUMIFS('13_VANZARI'!$H$5:$H$1004,'13_VANZARI'!$D$5:$D$1004,$A152,'13_VANZARI'!$A$5:$A$1004,"&gt;="&amp;'09_PARAMETRI'!$B$7,'13_VANZARI'!$A$5:$A$1004,"&lt;="&amp;'09_PARAMETRI'!$B$8))</f>
        <v/>
      </c>
      <c r="G152" s="25">
        <f>IF($A152="","",IFERROR(IF($F152=0,"",($E152-$F152)/ABS($F152)),""))</f>
        <v/>
      </c>
      <c r="H152" s="24">
        <f>IF($A152="","",SUMIFS('13_VANZARI'!$K$5:$K$1004,'13_VANZARI'!$D$5:$D$1004,$A152,'13_VANZARI'!$A$5:$A$1004,"&gt;="&amp;'09_PARAMETRI'!$B$5,'13_VANZARI'!$A$5:$A$1004,"&lt;="&amp;'09_PARAMETRI'!$B$6))</f>
        <v/>
      </c>
      <c r="I152" s="25">
        <f>IF($A152="","",IFERROR($H152/$E152,""))</f>
        <v/>
      </c>
      <c r="J152" s="25">
        <f>IF($A152="","",IFERROR($E152/SUMIFS('13_VANZARI'!$H$5:$H$1004,'13_VANZARI'!$A$5:$A$1004,"&gt;="&amp;'09_PARAMETRI'!$B$5,'13_VANZARI'!$A$5:$A$1004,"&lt;="&amp;'09_PARAMETRI'!$B$6),""))</f>
        <v/>
      </c>
      <c r="K152" s="36">
        <f>IF($A152="","",IFERROR(IF(SUMPRODUCT(MAX(('13_VANZARI'!$D$5:$D$1004=$A152)*('13_VANZARI'!$H$5:$H$1004&lt;&gt;"")*'13_VANZARI'!$A$5:$A$1004))=0,"",SUMPRODUCT(MAX(('13_VANZARI'!$D$5:$D$1004=$A152)*('13_VANZARI'!$H$5:$H$1004&lt;&gt;"")*'13_VANZARI'!$A$5:$A$1004))),""))</f>
        <v/>
      </c>
      <c r="L152" s="24">
        <f>IF(OR($A152="",$K152=""),"",'09_PARAMETRI'!$B$9-$K152)</f>
        <v/>
      </c>
      <c r="M152" s="24">
        <f>IF($A152="","",SUMPRODUCT(('11_PRODUSE'!$A$5:$A$104&lt;&gt;"")*(SUMIFS('13_VANZARI'!$H$5:$H$1004,'13_VANZARI'!$D$5:$D$1004,$A152,'13_VANZARI'!$E$5:$E$1004,'11_PRODUSE'!$A$5:$A$104,'13_VANZARI'!$A$5:$A$1004,"&gt;="&amp;'09_PARAMETRI'!$B$5,'13_VANZARI'!$A$5:$A$1004,"&lt;="&amp;'09_PARAMETRI'!$B$6)&lt;&gt;0)))</f>
        <v/>
      </c>
      <c r="N152" s="50">
        <f>IF($A152="","",IFERROR(AVERAGEIFS('15_NPS'!$F$5:$F$504,'15_NPS'!$C$5:$C$504,$A152,'15_NPS'!$B$5:$B$504,"&gt;="&amp;'09_PARAMETRI'!$B$5,'15_NPS'!$B$5:$B$504,"&lt;="&amp;'09_PARAMETRI'!$B$6),""))</f>
        <v/>
      </c>
      <c r="O152" s="39">
        <f>IF($A152="","",IF(AND($F152&gt;0,$E152=0),"Client pierdut",IF(AND($L152&lt;&gt;"",$L152&gt;'09_PARAMETRI'!$B$16,$F152&gt;0),"Client dormant",IF(AND($G152&lt;&gt;"",$G152&lt;='09_PARAMETRI'!$B$13),"Scădere de venit",IF(AND($N152&lt;&gt;"",$N152&lt;7),"Detractor activ",IF(AND($E152&gt;0,$J152&gt;'09_PARAMETRI'!$B$19),"Risc concentrare",IF(AND($E152&gt;0,$I152&lt;&gt;"",$I152&lt;'09_PARAMETRI'!$B$15),"Marjă sub referință",IF(AND($G152&lt;&gt;"",$G152&gt;='09_PARAMETRI'!$B$14),"În creștere",IF($E152=0,"Fără activitate","Stabil")))))))))</f>
        <v/>
      </c>
      <c r="P152" s="39">
        <f>IF($A152="","",IF($O152="Risc concentrare","Risc concentrare",IF($O152="Client pierdut","Recuperare client",IF($O152="Client dormant","Reactivare client",IF($O152="Scădere de venit","Recuperare client",IF($O152="Detractor activ","Recuperare NPS",IF($O152="Marjă sub referință","Marjă / preț",IF($O152="În creștere","Up-sell",IF($O152="Fără activitate","Reactivare client","Cross-sell")))))))))</f>
        <v/>
      </c>
      <c r="Q152" s="24">
        <f>IF($A152="","",IFERROR(IF($O152="Scădere de venit",MAX(0,$F152-$E152),IF(OR($O152="Client pierdut",$O152="Client dormant",$O152="Fără activitate"),$F152,IF($O152="Marjă sub referință",MAX(0,$E152*('09_PARAMETRI'!$B$15-$I152)),$E152*0.15))),""))</f>
        <v/>
      </c>
      <c r="R152" s="48">
        <f>IF(OR($A152="",$E152="",N($E152)&lt;=0),"",$E152+ROW()/1000000)</f>
        <v/>
      </c>
    </row>
    <row r="153">
      <c r="A153" s="39">
        <f>IF('10_CLIENTI'!$A153="","",'10_CLIENTI'!$A153)</f>
        <v/>
      </c>
      <c r="B153" s="39">
        <f>IF($A153="","",IFERROR(INDEX('10_CLIENTI'!$B$5:$B$204,MATCH($A153,'10_CLIENTI'!$A$5:$A$204,0)),""))</f>
        <v/>
      </c>
      <c r="C153" s="39">
        <f>IF($A153="","",IFERROR(INDEX('10_CLIENTI'!$C$5:$C$204,MATCH($A153,'10_CLIENTI'!$A$5:$A$204,0)),""))</f>
        <v/>
      </c>
      <c r="D153" s="39">
        <f>IF($A153="","",IFERROR(INDEX('10_CLIENTI'!$G$5:$G$204,MATCH($A153,'10_CLIENTI'!$A$5:$A$204,0)),""))</f>
        <v/>
      </c>
      <c r="E153" s="24">
        <f>IF($A153="","",SUMIFS('13_VANZARI'!$H$5:$H$1004,'13_VANZARI'!$D$5:$D$1004,$A153,'13_VANZARI'!$A$5:$A$1004,"&gt;="&amp;'09_PARAMETRI'!$B$5,'13_VANZARI'!$A$5:$A$1004,"&lt;="&amp;'09_PARAMETRI'!$B$6))</f>
        <v/>
      </c>
      <c r="F153" s="24">
        <f>IF($A153="","",SUMIFS('13_VANZARI'!$H$5:$H$1004,'13_VANZARI'!$D$5:$D$1004,$A153,'13_VANZARI'!$A$5:$A$1004,"&gt;="&amp;'09_PARAMETRI'!$B$7,'13_VANZARI'!$A$5:$A$1004,"&lt;="&amp;'09_PARAMETRI'!$B$8))</f>
        <v/>
      </c>
      <c r="G153" s="25">
        <f>IF($A153="","",IFERROR(IF($F153=0,"",($E153-$F153)/ABS($F153)),""))</f>
        <v/>
      </c>
      <c r="H153" s="24">
        <f>IF($A153="","",SUMIFS('13_VANZARI'!$K$5:$K$1004,'13_VANZARI'!$D$5:$D$1004,$A153,'13_VANZARI'!$A$5:$A$1004,"&gt;="&amp;'09_PARAMETRI'!$B$5,'13_VANZARI'!$A$5:$A$1004,"&lt;="&amp;'09_PARAMETRI'!$B$6))</f>
        <v/>
      </c>
      <c r="I153" s="25">
        <f>IF($A153="","",IFERROR($H153/$E153,""))</f>
        <v/>
      </c>
      <c r="J153" s="25">
        <f>IF($A153="","",IFERROR($E153/SUMIFS('13_VANZARI'!$H$5:$H$1004,'13_VANZARI'!$A$5:$A$1004,"&gt;="&amp;'09_PARAMETRI'!$B$5,'13_VANZARI'!$A$5:$A$1004,"&lt;="&amp;'09_PARAMETRI'!$B$6),""))</f>
        <v/>
      </c>
      <c r="K153" s="36">
        <f>IF($A153="","",IFERROR(IF(SUMPRODUCT(MAX(('13_VANZARI'!$D$5:$D$1004=$A153)*('13_VANZARI'!$H$5:$H$1004&lt;&gt;"")*'13_VANZARI'!$A$5:$A$1004))=0,"",SUMPRODUCT(MAX(('13_VANZARI'!$D$5:$D$1004=$A153)*('13_VANZARI'!$H$5:$H$1004&lt;&gt;"")*'13_VANZARI'!$A$5:$A$1004))),""))</f>
        <v/>
      </c>
      <c r="L153" s="24">
        <f>IF(OR($A153="",$K153=""),"",'09_PARAMETRI'!$B$9-$K153)</f>
        <v/>
      </c>
      <c r="M153" s="24">
        <f>IF($A153="","",SUMPRODUCT(('11_PRODUSE'!$A$5:$A$104&lt;&gt;"")*(SUMIFS('13_VANZARI'!$H$5:$H$1004,'13_VANZARI'!$D$5:$D$1004,$A153,'13_VANZARI'!$E$5:$E$1004,'11_PRODUSE'!$A$5:$A$104,'13_VANZARI'!$A$5:$A$1004,"&gt;="&amp;'09_PARAMETRI'!$B$5,'13_VANZARI'!$A$5:$A$1004,"&lt;="&amp;'09_PARAMETRI'!$B$6)&lt;&gt;0)))</f>
        <v/>
      </c>
      <c r="N153" s="50">
        <f>IF($A153="","",IFERROR(AVERAGEIFS('15_NPS'!$F$5:$F$504,'15_NPS'!$C$5:$C$504,$A153,'15_NPS'!$B$5:$B$504,"&gt;="&amp;'09_PARAMETRI'!$B$5,'15_NPS'!$B$5:$B$504,"&lt;="&amp;'09_PARAMETRI'!$B$6),""))</f>
        <v/>
      </c>
      <c r="O153" s="39">
        <f>IF($A153="","",IF(AND($F153&gt;0,$E153=0),"Client pierdut",IF(AND($L153&lt;&gt;"",$L153&gt;'09_PARAMETRI'!$B$16,$F153&gt;0),"Client dormant",IF(AND($G153&lt;&gt;"",$G153&lt;='09_PARAMETRI'!$B$13),"Scădere de venit",IF(AND($N153&lt;&gt;"",$N153&lt;7),"Detractor activ",IF(AND($E153&gt;0,$J153&gt;'09_PARAMETRI'!$B$19),"Risc concentrare",IF(AND($E153&gt;0,$I153&lt;&gt;"",$I153&lt;'09_PARAMETRI'!$B$15),"Marjă sub referință",IF(AND($G153&lt;&gt;"",$G153&gt;='09_PARAMETRI'!$B$14),"În creștere",IF($E153=0,"Fără activitate","Stabil")))))))))</f>
        <v/>
      </c>
      <c r="P153" s="39">
        <f>IF($A153="","",IF($O153="Risc concentrare","Risc concentrare",IF($O153="Client pierdut","Recuperare client",IF($O153="Client dormant","Reactivare client",IF($O153="Scădere de venit","Recuperare client",IF($O153="Detractor activ","Recuperare NPS",IF($O153="Marjă sub referință","Marjă / preț",IF($O153="În creștere","Up-sell",IF($O153="Fără activitate","Reactivare client","Cross-sell")))))))))</f>
        <v/>
      </c>
      <c r="Q153" s="24">
        <f>IF($A153="","",IFERROR(IF($O153="Scădere de venit",MAX(0,$F153-$E153),IF(OR($O153="Client pierdut",$O153="Client dormant",$O153="Fără activitate"),$F153,IF($O153="Marjă sub referință",MAX(0,$E153*('09_PARAMETRI'!$B$15-$I153)),$E153*0.15))),""))</f>
        <v/>
      </c>
      <c r="R153" s="48">
        <f>IF(OR($A153="",$E153="",N($E153)&lt;=0),"",$E153+ROW()/1000000)</f>
        <v/>
      </c>
    </row>
    <row r="154">
      <c r="A154" s="39">
        <f>IF('10_CLIENTI'!$A154="","",'10_CLIENTI'!$A154)</f>
        <v/>
      </c>
      <c r="B154" s="39">
        <f>IF($A154="","",IFERROR(INDEX('10_CLIENTI'!$B$5:$B$204,MATCH($A154,'10_CLIENTI'!$A$5:$A$204,0)),""))</f>
        <v/>
      </c>
      <c r="C154" s="39">
        <f>IF($A154="","",IFERROR(INDEX('10_CLIENTI'!$C$5:$C$204,MATCH($A154,'10_CLIENTI'!$A$5:$A$204,0)),""))</f>
        <v/>
      </c>
      <c r="D154" s="39">
        <f>IF($A154="","",IFERROR(INDEX('10_CLIENTI'!$G$5:$G$204,MATCH($A154,'10_CLIENTI'!$A$5:$A$204,0)),""))</f>
        <v/>
      </c>
      <c r="E154" s="24">
        <f>IF($A154="","",SUMIFS('13_VANZARI'!$H$5:$H$1004,'13_VANZARI'!$D$5:$D$1004,$A154,'13_VANZARI'!$A$5:$A$1004,"&gt;="&amp;'09_PARAMETRI'!$B$5,'13_VANZARI'!$A$5:$A$1004,"&lt;="&amp;'09_PARAMETRI'!$B$6))</f>
        <v/>
      </c>
      <c r="F154" s="24">
        <f>IF($A154="","",SUMIFS('13_VANZARI'!$H$5:$H$1004,'13_VANZARI'!$D$5:$D$1004,$A154,'13_VANZARI'!$A$5:$A$1004,"&gt;="&amp;'09_PARAMETRI'!$B$7,'13_VANZARI'!$A$5:$A$1004,"&lt;="&amp;'09_PARAMETRI'!$B$8))</f>
        <v/>
      </c>
      <c r="G154" s="25">
        <f>IF($A154="","",IFERROR(IF($F154=0,"",($E154-$F154)/ABS($F154)),""))</f>
        <v/>
      </c>
      <c r="H154" s="24">
        <f>IF($A154="","",SUMIFS('13_VANZARI'!$K$5:$K$1004,'13_VANZARI'!$D$5:$D$1004,$A154,'13_VANZARI'!$A$5:$A$1004,"&gt;="&amp;'09_PARAMETRI'!$B$5,'13_VANZARI'!$A$5:$A$1004,"&lt;="&amp;'09_PARAMETRI'!$B$6))</f>
        <v/>
      </c>
      <c r="I154" s="25">
        <f>IF($A154="","",IFERROR($H154/$E154,""))</f>
        <v/>
      </c>
      <c r="J154" s="25">
        <f>IF($A154="","",IFERROR($E154/SUMIFS('13_VANZARI'!$H$5:$H$1004,'13_VANZARI'!$A$5:$A$1004,"&gt;="&amp;'09_PARAMETRI'!$B$5,'13_VANZARI'!$A$5:$A$1004,"&lt;="&amp;'09_PARAMETRI'!$B$6),""))</f>
        <v/>
      </c>
      <c r="K154" s="36">
        <f>IF($A154="","",IFERROR(IF(SUMPRODUCT(MAX(('13_VANZARI'!$D$5:$D$1004=$A154)*('13_VANZARI'!$H$5:$H$1004&lt;&gt;"")*'13_VANZARI'!$A$5:$A$1004))=0,"",SUMPRODUCT(MAX(('13_VANZARI'!$D$5:$D$1004=$A154)*('13_VANZARI'!$H$5:$H$1004&lt;&gt;"")*'13_VANZARI'!$A$5:$A$1004))),""))</f>
        <v/>
      </c>
      <c r="L154" s="24">
        <f>IF(OR($A154="",$K154=""),"",'09_PARAMETRI'!$B$9-$K154)</f>
        <v/>
      </c>
      <c r="M154" s="24">
        <f>IF($A154="","",SUMPRODUCT(('11_PRODUSE'!$A$5:$A$104&lt;&gt;"")*(SUMIFS('13_VANZARI'!$H$5:$H$1004,'13_VANZARI'!$D$5:$D$1004,$A154,'13_VANZARI'!$E$5:$E$1004,'11_PRODUSE'!$A$5:$A$104,'13_VANZARI'!$A$5:$A$1004,"&gt;="&amp;'09_PARAMETRI'!$B$5,'13_VANZARI'!$A$5:$A$1004,"&lt;="&amp;'09_PARAMETRI'!$B$6)&lt;&gt;0)))</f>
        <v/>
      </c>
      <c r="N154" s="50">
        <f>IF($A154="","",IFERROR(AVERAGEIFS('15_NPS'!$F$5:$F$504,'15_NPS'!$C$5:$C$504,$A154,'15_NPS'!$B$5:$B$504,"&gt;="&amp;'09_PARAMETRI'!$B$5,'15_NPS'!$B$5:$B$504,"&lt;="&amp;'09_PARAMETRI'!$B$6),""))</f>
        <v/>
      </c>
      <c r="O154" s="39">
        <f>IF($A154="","",IF(AND($F154&gt;0,$E154=0),"Client pierdut",IF(AND($L154&lt;&gt;"",$L154&gt;'09_PARAMETRI'!$B$16,$F154&gt;0),"Client dormant",IF(AND($G154&lt;&gt;"",$G154&lt;='09_PARAMETRI'!$B$13),"Scădere de venit",IF(AND($N154&lt;&gt;"",$N154&lt;7),"Detractor activ",IF(AND($E154&gt;0,$J154&gt;'09_PARAMETRI'!$B$19),"Risc concentrare",IF(AND($E154&gt;0,$I154&lt;&gt;"",$I154&lt;'09_PARAMETRI'!$B$15),"Marjă sub referință",IF(AND($G154&lt;&gt;"",$G154&gt;='09_PARAMETRI'!$B$14),"În creștere",IF($E154=0,"Fără activitate","Stabil")))))))))</f>
        <v/>
      </c>
      <c r="P154" s="39">
        <f>IF($A154="","",IF($O154="Risc concentrare","Risc concentrare",IF($O154="Client pierdut","Recuperare client",IF($O154="Client dormant","Reactivare client",IF($O154="Scădere de venit","Recuperare client",IF($O154="Detractor activ","Recuperare NPS",IF($O154="Marjă sub referință","Marjă / preț",IF($O154="În creștere","Up-sell",IF($O154="Fără activitate","Reactivare client","Cross-sell")))))))))</f>
        <v/>
      </c>
      <c r="Q154" s="24">
        <f>IF($A154="","",IFERROR(IF($O154="Scădere de venit",MAX(0,$F154-$E154),IF(OR($O154="Client pierdut",$O154="Client dormant",$O154="Fără activitate"),$F154,IF($O154="Marjă sub referință",MAX(0,$E154*('09_PARAMETRI'!$B$15-$I154)),$E154*0.15))),""))</f>
        <v/>
      </c>
      <c r="R154" s="48">
        <f>IF(OR($A154="",$E154="",N($E154)&lt;=0),"",$E154+ROW()/1000000)</f>
        <v/>
      </c>
    </row>
    <row r="155">
      <c r="A155" s="39">
        <f>IF('10_CLIENTI'!$A155="","",'10_CLIENTI'!$A155)</f>
        <v/>
      </c>
      <c r="B155" s="39">
        <f>IF($A155="","",IFERROR(INDEX('10_CLIENTI'!$B$5:$B$204,MATCH($A155,'10_CLIENTI'!$A$5:$A$204,0)),""))</f>
        <v/>
      </c>
      <c r="C155" s="39">
        <f>IF($A155="","",IFERROR(INDEX('10_CLIENTI'!$C$5:$C$204,MATCH($A155,'10_CLIENTI'!$A$5:$A$204,0)),""))</f>
        <v/>
      </c>
      <c r="D155" s="39">
        <f>IF($A155="","",IFERROR(INDEX('10_CLIENTI'!$G$5:$G$204,MATCH($A155,'10_CLIENTI'!$A$5:$A$204,0)),""))</f>
        <v/>
      </c>
      <c r="E155" s="24">
        <f>IF($A155="","",SUMIFS('13_VANZARI'!$H$5:$H$1004,'13_VANZARI'!$D$5:$D$1004,$A155,'13_VANZARI'!$A$5:$A$1004,"&gt;="&amp;'09_PARAMETRI'!$B$5,'13_VANZARI'!$A$5:$A$1004,"&lt;="&amp;'09_PARAMETRI'!$B$6))</f>
        <v/>
      </c>
      <c r="F155" s="24">
        <f>IF($A155="","",SUMIFS('13_VANZARI'!$H$5:$H$1004,'13_VANZARI'!$D$5:$D$1004,$A155,'13_VANZARI'!$A$5:$A$1004,"&gt;="&amp;'09_PARAMETRI'!$B$7,'13_VANZARI'!$A$5:$A$1004,"&lt;="&amp;'09_PARAMETRI'!$B$8))</f>
        <v/>
      </c>
      <c r="G155" s="25">
        <f>IF($A155="","",IFERROR(IF($F155=0,"",($E155-$F155)/ABS($F155)),""))</f>
        <v/>
      </c>
      <c r="H155" s="24">
        <f>IF($A155="","",SUMIFS('13_VANZARI'!$K$5:$K$1004,'13_VANZARI'!$D$5:$D$1004,$A155,'13_VANZARI'!$A$5:$A$1004,"&gt;="&amp;'09_PARAMETRI'!$B$5,'13_VANZARI'!$A$5:$A$1004,"&lt;="&amp;'09_PARAMETRI'!$B$6))</f>
        <v/>
      </c>
      <c r="I155" s="25">
        <f>IF($A155="","",IFERROR($H155/$E155,""))</f>
        <v/>
      </c>
      <c r="J155" s="25">
        <f>IF($A155="","",IFERROR($E155/SUMIFS('13_VANZARI'!$H$5:$H$1004,'13_VANZARI'!$A$5:$A$1004,"&gt;="&amp;'09_PARAMETRI'!$B$5,'13_VANZARI'!$A$5:$A$1004,"&lt;="&amp;'09_PARAMETRI'!$B$6),""))</f>
        <v/>
      </c>
      <c r="K155" s="36">
        <f>IF($A155="","",IFERROR(IF(SUMPRODUCT(MAX(('13_VANZARI'!$D$5:$D$1004=$A155)*('13_VANZARI'!$H$5:$H$1004&lt;&gt;"")*'13_VANZARI'!$A$5:$A$1004))=0,"",SUMPRODUCT(MAX(('13_VANZARI'!$D$5:$D$1004=$A155)*('13_VANZARI'!$H$5:$H$1004&lt;&gt;"")*'13_VANZARI'!$A$5:$A$1004))),""))</f>
        <v/>
      </c>
      <c r="L155" s="24">
        <f>IF(OR($A155="",$K155=""),"",'09_PARAMETRI'!$B$9-$K155)</f>
        <v/>
      </c>
      <c r="M155" s="24">
        <f>IF($A155="","",SUMPRODUCT(('11_PRODUSE'!$A$5:$A$104&lt;&gt;"")*(SUMIFS('13_VANZARI'!$H$5:$H$1004,'13_VANZARI'!$D$5:$D$1004,$A155,'13_VANZARI'!$E$5:$E$1004,'11_PRODUSE'!$A$5:$A$104,'13_VANZARI'!$A$5:$A$1004,"&gt;="&amp;'09_PARAMETRI'!$B$5,'13_VANZARI'!$A$5:$A$1004,"&lt;="&amp;'09_PARAMETRI'!$B$6)&lt;&gt;0)))</f>
        <v/>
      </c>
      <c r="N155" s="50">
        <f>IF($A155="","",IFERROR(AVERAGEIFS('15_NPS'!$F$5:$F$504,'15_NPS'!$C$5:$C$504,$A155,'15_NPS'!$B$5:$B$504,"&gt;="&amp;'09_PARAMETRI'!$B$5,'15_NPS'!$B$5:$B$504,"&lt;="&amp;'09_PARAMETRI'!$B$6),""))</f>
        <v/>
      </c>
      <c r="O155" s="39">
        <f>IF($A155="","",IF(AND($F155&gt;0,$E155=0),"Client pierdut",IF(AND($L155&lt;&gt;"",$L155&gt;'09_PARAMETRI'!$B$16,$F155&gt;0),"Client dormant",IF(AND($G155&lt;&gt;"",$G155&lt;='09_PARAMETRI'!$B$13),"Scădere de venit",IF(AND($N155&lt;&gt;"",$N155&lt;7),"Detractor activ",IF(AND($E155&gt;0,$J155&gt;'09_PARAMETRI'!$B$19),"Risc concentrare",IF(AND($E155&gt;0,$I155&lt;&gt;"",$I155&lt;'09_PARAMETRI'!$B$15),"Marjă sub referință",IF(AND($G155&lt;&gt;"",$G155&gt;='09_PARAMETRI'!$B$14),"În creștere",IF($E155=0,"Fără activitate","Stabil")))))))))</f>
        <v/>
      </c>
      <c r="P155" s="39">
        <f>IF($A155="","",IF($O155="Risc concentrare","Risc concentrare",IF($O155="Client pierdut","Recuperare client",IF($O155="Client dormant","Reactivare client",IF($O155="Scădere de venit","Recuperare client",IF($O155="Detractor activ","Recuperare NPS",IF($O155="Marjă sub referință","Marjă / preț",IF($O155="În creștere","Up-sell",IF($O155="Fără activitate","Reactivare client","Cross-sell")))))))))</f>
        <v/>
      </c>
      <c r="Q155" s="24">
        <f>IF($A155="","",IFERROR(IF($O155="Scădere de venit",MAX(0,$F155-$E155),IF(OR($O155="Client pierdut",$O155="Client dormant",$O155="Fără activitate"),$F155,IF($O155="Marjă sub referință",MAX(0,$E155*('09_PARAMETRI'!$B$15-$I155)),$E155*0.15))),""))</f>
        <v/>
      </c>
      <c r="R155" s="48">
        <f>IF(OR($A155="",$E155="",N($E155)&lt;=0),"",$E155+ROW()/1000000)</f>
        <v/>
      </c>
    </row>
    <row r="156">
      <c r="A156" s="39">
        <f>IF('10_CLIENTI'!$A156="","",'10_CLIENTI'!$A156)</f>
        <v/>
      </c>
      <c r="B156" s="39">
        <f>IF($A156="","",IFERROR(INDEX('10_CLIENTI'!$B$5:$B$204,MATCH($A156,'10_CLIENTI'!$A$5:$A$204,0)),""))</f>
        <v/>
      </c>
      <c r="C156" s="39">
        <f>IF($A156="","",IFERROR(INDEX('10_CLIENTI'!$C$5:$C$204,MATCH($A156,'10_CLIENTI'!$A$5:$A$204,0)),""))</f>
        <v/>
      </c>
      <c r="D156" s="39">
        <f>IF($A156="","",IFERROR(INDEX('10_CLIENTI'!$G$5:$G$204,MATCH($A156,'10_CLIENTI'!$A$5:$A$204,0)),""))</f>
        <v/>
      </c>
      <c r="E156" s="24">
        <f>IF($A156="","",SUMIFS('13_VANZARI'!$H$5:$H$1004,'13_VANZARI'!$D$5:$D$1004,$A156,'13_VANZARI'!$A$5:$A$1004,"&gt;="&amp;'09_PARAMETRI'!$B$5,'13_VANZARI'!$A$5:$A$1004,"&lt;="&amp;'09_PARAMETRI'!$B$6))</f>
        <v/>
      </c>
      <c r="F156" s="24">
        <f>IF($A156="","",SUMIFS('13_VANZARI'!$H$5:$H$1004,'13_VANZARI'!$D$5:$D$1004,$A156,'13_VANZARI'!$A$5:$A$1004,"&gt;="&amp;'09_PARAMETRI'!$B$7,'13_VANZARI'!$A$5:$A$1004,"&lt;="&amp;'09_PARAMETRI'!$B$8))</f>
        <v/>
      </c>
      <c r="G156" s="25">
        <f>IF($A156="","",IFERROR(IF($F156=0,"",($E156-$F156)/ABS($F156)),""))</f>
        <v/>
      </c>
      <c r="H156" s="24">
        <f>IF($A156="","",SUMIFS('13_VANZARI'!$K$5:$K$1004,'13_VANZARI'!$D$5:$D$1004,$A156,'13_VANZARI'!$A$5:$A$1004,"&gt;="&amp;'09_PARAMETRI'!$B$5,'13_VANZARI'!$A$5:$A$1004,"&lt;="&amp;'09_PARAMETRI'!$B$6))</f>
        <v/>
      </c>
      <c r="I156" s="25">
        <f>IF($A156="","",IFERROR($H156/$E156,""))</f>
        <v/>
      </c>
      <c r="J156" s="25">
        <f>IF($A156="","",IFERROR($E156/SUMIFS('13_VANZARI'!$H$5:$H$1004,'13_VANZARI'!$A$5:$A$1004,"&gt;="&amp;'09_PARAMETRI'!$B$5,'13_VANZARI'!$A$5:$A$1004,"&lt;="&amp;'09_PARAMETRI'!$B$6),""))</f>
        <v/>
      </c>
      <c r="K156" s="36">
        <f>IF($A156="","",IFERROR(IF(SUMPRODUCT(MAX(('13_VANZARI'!$D$5:$D$1004=$A156)*('13_VANZARI'!$H$5:$H$1004&lt;&gt;"")*'13_VANZARI'!$A$5:$A$1004))=0,"",SUMPRODUCT(MAX(('13_VANZARI'!$D$5:$D$1004=$A156)*('13_VANZARI'!$H$5:$H$1004&lt;&gt;"")*'13_VANZARI'!$A$5:$A$1004))),""))</f>
        <v/>
      </c>
      <c r="L156" s="24">
        <f>IF(OR($A156="",$K156=""),"",'09_PARAMETRI'!$B$9-$K156)</f>
        <v/>
      </c>
      <c r="M156" s="24">
        <f>IF($A156="","",SUMPRODUCT(('11_PRODUSE'!$A$5:$A$104&lt;&gt;"")*(SUMIFS('13_VANZARI'!$H$5:$H$1004,'13_VANZARI'!$D$5:$D$1004,$A156,'13_VANZARI'!$E$5:$E$1004,'11_PRODUSE'!$A$5:$A$104,'13_VANZARI'!$A$5:$A$1004,"&gt;="&amp;'09_PARAMETRI'!$B$5,'13_VANZARI'!$A$5:$A$1004,"&lt;="&amp;'09_PARAMETRI'!$B$6)&lt;&gt;0)))</f>
        <v/>
      </c>
      <c r="N156" s="50">
        <f>IF($A156="","",IFERROR(AVERAGEIFS('15_NPS'!$F$5:$F$504,'15_NPS'!$C$5:$C$504,$A156,'15_NPS'!$B$5:$B$504,"&gt;="&amp;'09_PARAMETRI'!$B$5,'15_NPS'!$B$5:$B$504,"&lt;="&amp;'09_PARAMETRI'!$B$6),""))</f>
        <v/>
      </c>
      <c r="O156" s="39">
        <f>IF($A156="","",IF(AND($F156&gt;0,$E156=0),"Client pierdut",IF(AND($L156&lt;&gt;"",$L156&gt;'09_PARAMETRI'!$B$16,$F156&gt;0),"Client dormant",IF(AND($G156&lt;&gt;"",$G156&lt;='09_PARAMETRI'!$B$13),"Scădere de venit",IF(AND($N156&lt;&gt;"",$N156&lt;7),"Detractor activ",IF(AND($E156&gt;0,$J156&gt;'09_PARAMETRI'!$B$19),"Risc concentrare",IF(AND($E156&gt;0,$I156&lt;&gt;"",$I156&lt;'09_PARAMETRI'!$B$15),"Marjă sub referință",IF(AND($G156&lt;&gt;"",$G156&gt;='09_PARAMETRI'!$B$14),"În creștere",IF($E156=0,"Fără activitate","Stabil")))))))))</f>
        <v/>
      </c>
      <c r="P156" s="39">
        <f>IF($A156="","",IF($O156="Risc concentrare","Risc concentrare",IF($O156="Client pierdut","Recuperare client",IF($O156="Client dormant","Reactivare client",IF($O156="Scădere de venit","Recuperare client",IF($O156="Detractor activ","Recuperare NPS",IF($O156="Marjă sub referință","Marjă / preț",IF($O156="În creștere","Up-sell",IF($O156="Fără activitate","Reactivare client","Cross-sell")))))))))</f>
        <v/>
      </c>
      <c r="Q156" s="24">
        <f>IF($A156="","",IFERROR(IF($O156="Scădere de venit",MAX(0,$F156-$E156),IF(OR($O156="Client pierdut",$O156="Client dormant",$O156="Fără activitate"),$F156,IF($O156="Marjă sub referință",MAX(0,$E156*('09_PARAMETRI'!$B$15-$I156)),$E156*0.15))),""))</f>
        <v/>
      </c>
      <c r="R156" s="48">
        <f>IF(OR($A156="",$E156="",N($E156)&lt;=0),"",$E156+ROW()/1000000)</f>
        <v/>
      </c>
    </row>
    <row r="157">
      <c r="A157" s="39">
        <f>IF('10_CLIENTI'!$A157="","",'10_CLIENTI'!$A157)</f>
        <v/>
      </c>
      <c r="B157" s="39">
        <f>IF($A157="","",IFERROR(INDEX('10_CLIENTI'!$B$5:$B$204,MATCH($A157,'10_CLIENTI'!$A$5:$A$204,0)),""))</f>
        <v/>
      </c>
      <c r="C157" s="39">
        <f>IF($A157="","",IFERROR(INDEX('10_CLIENTI'!$C$5:$C$204,MATCH($A157,'10_CLIENTI'!$A$5:$A$204,0)),""))</f>
        <v/>
      </c>
      <c r="D157" s="39">
        <f>IF($A157="","",IFERROR(INDEX('10_CLIENTI'!$G$5:$G$204,MATCH($A157,'10_CLIENTI'!$A$5:$A$204,0)),""))</f>
        <v/>
      </c>
      <c r="E157" s="24">
        <f>IF($A157="","",SUMIFS('13_VANZARI'!$H$5:$H$1004,'13_VANZARI'!$D$5:$D$1004,$A157,'13_VANZARI'!$A$5:$A$1004,"&gt;="&amp;'09_PARAMETRI'!$B$5,'13_VANZARI'!$A$5:$A$1004,"&lt;="&amp;'09_PARAMETRI'!$B$6))</f>
        <v/>
      </c>
      <c r="F157" s="24">
        <f>IF($A157="","",SUMIFS('13_VANZARI'!$H$5:$H$1004,'13_VANZARI'!$D$5:$D$1004,$A157,'13_VANZARI'!$A$5:$A$1004,"&gt;="&amp;'09_PARAMETRI'!$B$7,'13_VANZARI'!$A$5:$A$1004,"&lt;="&amp;'09_PARAMETRI'!$B$8))</f>
        <v/>
      </c>
      <c r="G157" s="25">
        <f>IF($A157="","",IFERROR(IF($F157=0,"",($E157-$F157)/ABS($F157)),""))</f>
        <v/>
      </c>
      <c r="H157" s="24">
        <f>IF($A157="","",SUMIFS('13_VANZARI'!$K$5:$K$1004,'13_VANZARI'!$D$5:$D$1004,$A157,'13_VANZARI'!$A$5:$A$1004,"&gt;="&amp;'09_PARAMETRI'!$B$5,'13_VANZARI'!$A$5:$A$1004,"&lt;="&amp;'09_PARAMETRI'!$B$6))</f>
        <v/>
      </c>
      <c r="I157" s="25">
        <f>IF($A157="","",IFERROR($H157/$E157,""))</f>
        <v/>
      </c>
      <c r="J157" s="25">
        <f>IF($A157="","",IFERROR($E157/SUMIFS('13_VANZARI'!$H$5:$H$1004,'13_VANZARI'!$A$5:$A$1004,"&gt;="&amp;'09_PARAMETRI'!$B$5,'13_VANZARI'!$A$5:$A$1004,"&lt;="&amp;'09_PARAMETRI'!$B$6),""))</f>
        <v/>
      </c>
      <c r="K157" s="36">
        <f>IF($A157="","",IFERROR(IF(SUMPRODUCT(MAX(('13_VANZARI'!$D$5:$D$1004=$A157)*('13_VANZARI'!$H$5:$H$1004&lt;&gt;"")*'13_VANZARI'!$A$5:$A$1004))=0,"",SUMPRODUCT(MAX(('13_VANZARI'!$D$5:$D$1004=$A157)*('13_VANZARI'!$H$5:$H$1004&lt;&gt;"")*'13_VANZARI'!$A$5:$A$1004))),""))</f>
        <v/>
      </c>
      <c r="L157" s="24">
        <f>IF(OR($A157="",$K157=""),"",'09_PARAMETRI'!$B$9-$K157)</f>
        <v/>
      </c>
      <c r="M157" s="24">
        <f>IF($A157="","",SUMPRODUCT(('11_PRODUSE'!$A$5:$A$104&lt;&gt;"")*(SUMIFS('13_VANZARI'!$H$5:$H$1004,'13_VANZARI'!$D$5:$D$1004,$A157,'13_VANZARI'!$E$5:$E$1004,'11_PRODUSE'!$A$5:$A$104,'13_VANZARI'!$A$5:$A$1004,"&gt;="&amp;'09_PARAMETRI'!$B$5,'13_VANZARI'!$A$5:$A$1004,"&lt;="&amp;'09_PARAMETRI'!$B$6)&lt;&gt;0)))</f>
        <v/>
      </c>
      <c r="N157" s="50">
        <f>IF($A157="","",IFERROR(AVERAGEIFS('15_NPS'!$F$5:$F$504,'15_NPS'!$C$5:$C$504,$A157,'15_NPS'!$B$5:$B$504,"&gt;="&amp;'09_PARAMETRI'!$B$5,'15_NPS'!$B$5:$B$504,"&lt;="&amp;'09_PARAMETRI'!$B$6),""))</f>
        <v/>
      </c>
      <c r="O157" s="39">
        <f>IF($A157="","",IF(AND($F157&gt;0,$E157=0),"Client pierdut",IF(AND($L157&lt;&gt;"",$L157&gt;'09_PARAMETRI'!$B$16,$F157&gt;0),"Client dormant",IF(AND($G157&lt;&gt;"",$G157&lt;='09_PARAMETRI'!$B$13),"Scădere de venit",IF(AND($N157&lt;&gt;"",$N157&lt;7),"Detractor activ",IF(AND($E157&gt;0,$J157&gt;'09_PARAMETRI'!$B$19),"Risc concentrare",IF(AND($E157&gt;0,$I157&lt;&gt;"",$I157&lt;'09_PARAMETRI'!$B$15),"Marjă sub referință",IF(AND($G157&lt;&gt;"",$G157&gt;='09_PARAMETRI'!$B$14),"În creștere",IF($E157=0,"Fără activitate","Stabil")))))))))</f>
        <v/>
      </c>
      <c r="P157" s="39">
        <f>IF($A157="","",IF($O157="Risc concentrare","Risc concentrare",IF($O157="Client pierdut","Recuperare client",IF($O157="Client dormant","Reactivare client",IF($O157="Scădere de venit","Recuperare client",IF($O157="Detractor activ","Recuperare NPS",IF($O157="Marjă sub referință","Marjă / preț",IF($O157="În creștere","Up-sell",IF($O157="Fără activitate","Reactivare client","Cross-sell")))))))))</f>
        <v/>
      </c>
      <c r="Q157" s="24">
        <f>IF($A157="","",IFERROR(IF($O157="Scădere de venit",MAX(0,$F157-$E157),IF(OR($O157="Client pierdut",$O157="Client dormant",$O157="Fără activitate"),$F157,IF($O157="Marjă sub referință",MAX(0,$E157*('09_PARAMETRI'!$B$15-$I157)),$E157*0.15))),""))</f>
        <v/>
      </c>
      <c r="R157" s="48">
        <f>IF(OR($A157="",$E157="",N($E157)&lt;=0),"",$E157+ROW()/1000000)</f>
        <v/>
      </c>
    </row>
    <row r="158">
      <c r="A158" s="39">
        <f>IF('10_CLIENTI'!$A158="","",'10_CLIENTI'!$A158)</f>
        <v/>
      </c>
      <c r="B158" s="39">
        <f>IF($A158="","",IFERROR(INDEX('10_CLIENTI'!$B$5:$B$204,MATCH($A158,'10_CLIENTI'!$A$5:$A$204,0)),""))</f>
        <v/>
      </c>
      <c r="C158" s="39">
        <f>IF($A158="","",IFERROR(INDEX('10_CLIENTI'!$C$5:$C$204,MATCH($A158,'10_CLIENTI'!$A$5:$A$204,0)),""))</f>
        <v/>
      </c>
      <c r="D158" s="39">
        <f>IF($A158="","",IFERROR(INDEX('10_CLIENTI'!$G$5:$G$204,MATCH($A158,'10_CLIENTI'!$A$5:$A$204,0)),""))</f>
        <v/>
      </c>
      <c r="E158" s="24">
        <f>IF($A158="","",SUMIFS('13_VANZARI'!$H$5:$H$1004,'13_VANZARI'!$D$5:$D$1004,$A158,'13_VANZARI'!$A$5:$A$1004,"&gt;="&amp;'09_PARAMETRI'!$B$5,'13_VANZARI'!$A$5:$A$1004,"&lt;="&amp;'09_PARAMETRI'!$B$6))</f>
        <v/>
      </c>
      <c r="F158" s="24">
        <f>IF($A158="","",SUMIFS('13_VANZARI'!$H$5:$H$1004,'13_VANZARI'!$D$5:$D$1004,$A158,'13_VANZARI'!$A$5:$A$1004,"&gt;="&amp;'09_PARAMETRI'!$B$7,'13_VANZARI'!$A$5:$A$1004,"&lt;="&amp;'09_PARAMETRI'!$B$8))</f>
        <v/>
      </c>
      <c r="G158" s="25">
        <f>IF($A158="","",IFERROR(IF($F158=0,"",($E158-$F158)/ABS($F158)),""))</f>
        <v/>
      </c>
      <c r="H158" s="24">
        <f>IF($A158="","",SUMIFS('13_VANZARI'!$K$5:$K$1004,'13_VANZARI'!$D$5:$D$1004,$A158,'13_VANZARI'!$A$5:$A$1004,"&gt;="&amp;'09_PARAMETRI'!$B$5,'13_VANZARI'!$A$5:$A$1004,"&lt;="&amp;'09_PARAMETRI'!$B$6))</f>
        <v/>
      </c>
      <c r="I158" s="25">
        <f>IF($A158="","",IFERROR($H158/$E158,""))</f>
        <v/>
      </c>
      <c r="J158" s="25">
        <f>IF($A158="","",IFERROR($E158/SUMIFS('13_VANZARI'!$H$5:$H$1004,'13_VANZARI'!$A$5:$A$1004,"&gt;="&amp;'09_PARAMETRI'!$B$5,'13_VANZARI'!$A$5:$A$1004,"&lt;="&amp;'09_PARAMETRI'!$B$6),""))</f>
        <v/>
      </c>
      <c r="K158" s="36">
        <f>IF($A158="","",IFERROR(IF(SUMPRODUCT(MAX(('13_VANZARI'!$D$5:$D$1004=$A158)*('13_VANZARI'!$H$5:$H$1004&lt;&gt;"")*'13_VANZARI'!$A$5:$A$1004))=0,"",SUMPRODUCT(MAX(('13_VANZARI'!$D$5:$D$1004=$A158)*('13_VANZARI'!$H$5:$H$1004&lt;&gt;"")*'13_VANZARI'!$A$5:$A$1004))),""))</f>
        <v/>
      </c>
      <c r="L158" s="24">
        <f>IF(OR($A158="",$K158=""),"",'09_PARAMETRI'!$B$9-$K158)</f>
        <v/>
      </c>
      <c r="M158" s="24">
        <f>IF($A158="","",SUMPRODUCT(('11_PRODUSE'!$A$5:$A$104&lt;&gt;"")*(SUMIFS('13_VANZARI'!$H$5:$H$1004,'13_VANZARI'!$D$5:$D$1004,$A158,'13_VANZARI'!$E$5:$E$1004,'11_PRODUSE'!$A$5:$A$104,'13_VANZARI'!$A$5:$A$1004,"&gt;="&amp;'09_PARAMETRI'!$B$5,'13_VANZARI'!$A$5:$A$1004,"&lt;="&amp;'09_PARAMETRI'!$B$6)&lt;&gt;0)))</f>
        <v/>
      </c>
      <c r="N158" s="50">
        <f>IF($A158="","",IFERROR(AVERAGEIFS('15_NPS'!$F$5:$F$504,'15_NPS'!$C$5:$C$504,$A158,'15_NPS'!$B$5:$B$504,"&gt;="&amp;'09_PARAMETRI'!$B$5,'15_NPS'!$B$5:$B$504,"&lt;="&amp;'09_PARAMETRI'!$B$6),""))</f>
        <v/>
      </c>
      <c r="O158" s="39">
        <f>IF($A158="","",IF(AND($F158&gt;0,$E158=0),"Client pierdut",IF(AND($L158&lt;&gt;"",$L158&gt;'09_PARAMETRI'!$B$16,$F158&gt;0),"Client dormant",IF(AND($G158&lt;&gt;"",$G158&lt;='09_PARAMETRI'!$B$13),"Scădere de venit",IF(AND($N158&lt;&gt;"",$N158&lt;7),"Detractor activ",IF(AND($E158&gt;0,$J158&gt;'09_PARAMETRI'!$B$19),"Risc concentrare",IF(AND($E158&gt;0,$I158&lt;&gt;"",$I158&lt;'09_PARAMETRI'!$B$15),"Marjă sub referință",IF(AND($G158&lt;&gt;"",$G158&gt;='09_PARAMETRI'!$B$14),"În creștere",IF($E158=0,"Fără activitate","Stabil")))))))))</f>
        <v/>
      </c>
      <c r="P158" s="39">
        <f>IF($A158="","",IF($O158="Risc concentrare","Risc concentrare",IF($O158="Client pierdut","Recuperare client",IF($O158="Client dormant","Reactivare client",IF($O158="Scădere de venit","Recuperare client",IF($O158="Detractor activ","Recuperare NPS",IF($O158="Marjă sub referință","Marjă / preț",IF($O158="În creștere","Up-sell",IF($O158="Fără activitate","Reactivare client","Cross-sell")))))))))</f>
        <v/>
      </c>
      <c r="Q158" s="24">
        <f>IF($A158="","",IFERROR(IF($O158="Scădere de venit",MAX(0,$F158-$E158),IF(OR($O158="Client pierdut",$O158="Client dormant",$O158="Fără activitate"),$F158,IF($O158="Marjă sub referință",MAX(0,$E158*('09_PARAMETRI'!$B$15-$I158)),$E158*0.15))),""))</f>
        <v/>
      </c>
      <c r="R158" s="48">
        <f>IF(OR($A158="",$E158="",N($E158)&lt;=0),"",$E158+ROW()/1000000)</f>
        <v/>
      </c>
    </row>
    <row r="159">
      <c r="A159" s="39">
        <f>IF('10_CLIENTI'!$A159="","",'10_CLIENTI'!$A159)</f>
        <v/>
      </c>
      <c r="B159" s="39">
        <f>IF($A159="","",IFERROR(INDEX('10_CLIENTI'!$B$5:$B$204,MATCH($A159,'10_CLIENTI'!$A$5:$A$204,0)),""))</f>
        <v/>
      </c>
      <c r="C159" s="39">
        <f>IF($A159="","",IFERROR(INDEX('10_CLIENTI'!$C$5:$C$204,MATCH($A159,'10_CLIENTI'!$A$5:$A$204,0)),""))</f>
        <v/>
      </c>
      <c r="D159" s="39">
        <f>IF($A159="","",IFERROR(INDEX('10_CLIENTI'!$G$5:$G$204,MATCH($A159,'10_CLIENTI'!$A$5:$A$204,0)),""))</f>
        <v/>
      </c>
      <c r="E159" s="24">
        <f>IF($A159="","",SUMIFS('13_VANZARI'!$H$5:$H$1004,'13_VANZARI'!$D$5:$D$1004,$A159,'13_VANZARI'!$A$5:$A$1004,"&gt;="&amp;'09_PARAMETRI'!$B$5,'13_VANZARI'!$A$5:$A$1004,"&lt;="&amp;'09_PARAMETRI'!$B$6))</f>
        <v/>
      </c>
      <c r="F159" s="24">
        <f>IF($A159="","",SUMIFS('13_VANZARI'!$H$5:$H$1004,'13_VANZARI'!$D$5:$D$1004,$A159,'13_VANZARI'!$A$5:$A$1004,"&gt;="&amp;'09_PARAMETRI'!$B$7,'13_VANZARI'!$A$5:$A$1004,"&lt;="&amp;'09_PARAMETRI'!$B$8))</f>
        <v/>
      </c>
      <c r="G159" s="25">
        <f>IF($A159="","",IFERROR(IF($F159=0,"",($E159-$F159)/ABS($F159)),""))</f>
        <v/>
      </c>
      <c r="H159" s="24">
        <f>IF($A159="","",SUMIFS('13_VANZARI'!$K$5:$K$1004,'13_VANZARI'!$D$5:$D$1004,$A159,'13_VANZARI'!$A$5:$A$1004,"&gt;="&amp;'09_PARAMETRI'!$B$5,'13_VANZARI'!$A$5:$A$1004,"&lt;="&amp;'09_PARAMETRI'!$B$6))</f>
        <v/>
      </c>
      <c r="I159" s="25">
        <f>IF($A159="","",IFERROR($H159/$E159,""))</f>
        <v/>
      </c>
      <c r="J159" s="25">
        <f>IF($A159="","",IFERROR($E159/SUMIFS('13_VANZARI'!$H$5:$H$1004,'13_VANZARI'!$A$5:$A$1004,"&gt;="&amp;'09_PARAMETRI'!$B$5,'13_VANZARI'!$A$5:$A$1004,"&lt;="&amp;'09_PARAMETRI'!$B$6),""))</f>
        <v/>
      </c>
      <c r="K159" s="36">
        <f>IF($A159="","",IFERROR(IF(SUMPRODUCT(MAX(('13_VANZARI'!$D$5:$D$1004=$A159)*('13_VANZARI'!$H$5:$H$1004&lt;&gt;"")*'13_VANZARI'!$A$5:$A$1004))=0,"",SUMPRODUCT(MAX(('13_VANZARI'!$D$5:$D$1004=$A159)*('13_VANZARI'!$H$5:$H$1004&lt;&gt;"")*'13_VANZARI'!$A$5:$A$1004))),""))</f>
        <v/>
      </c>
      <c r="L159" s="24">
        <f>IF(OR($A159="",$K159=""),"",'09_PARAMETRI'!$B$9-$K159)</f>
        <v/>
      </c>
      <c r="M159" s="24">
        <f>IF($A159="","",SUMPRODUCT(('11_PRODUSE'!$A$5:$A$104&lt;&gt;"")*(SUMIFS('13_VANZARI'!$H$5:$H$1004,'13_VANZARI'!$D$5:$D$1004,$A159,'13_VANZARI'!$E$5:$E$1004,'11_PRODUSE'!$A$5:$A$104,'13_VANZARI'!$A$5:$A$1004,"&gt;="&amp;'09_PARAMETRI'!$B$5,'13_VANZARI'!$A$5:$A$1004,"&lt;="&amp;'09_PARAMETRI'!$B$6)&lt;&gt;0)))</f>
        <v/>
      </c>
      <c r="N159" s="50">
        <f>IF($A159="","",IFERROR(AVERAGEIFS('15_NPS'!$F$5:$F$504,'15_NPS'!$C$5:$C$504,$A159,'15_NPS'!$B$5:$B$504,"&gt;="&amp;'09_PARAMETRI'!$B$5,'15_NPS'!$B$5:$B$504,"&lt;="&amp;'09_PARAMETRI'!$B$6),""))</f>
        <v/>
      </c>
      <c r="O159" s="39">
        <f>IF($A159="","",IF(AND($F159&gt;0,$E159=0),"Client pierdut",IF(AND($L159&lt;&gt;"",$L159&gt;'09_PARAMETRI'!$B$16,$F159&gt;0),"Client dormant",IF(AND($G159&lt;&gt;"",$G159&lt;='09_PARAMETRI'!$B$13),"Scădere de venit",IF(AND($N159&lt;&gt;"",$N159&lt;7),"Detractor activ",IF(AND($E159&gt;0,$J159&gt;'09_PARAMETRI'!$B$19),"Risc concentrare",IF(AND($E159&gt;0,$I159&lt;&gt;"",$I159&lt;'09_PARAMETRI'!$B$15),"Marjă sub referință",IF(AND($G159&lt;&gt;"",$G159&gt;='09_PARAMETRI'!$B$14),"În creștere",IF($E159=0,"Fără activitate","Stabil")))))))))</f>
        <v/>
      </c>
      <c r="P159" s="39">
        <f>IF($A159="","",IF($O159="Risc concentrare","Risc concentrare",IF($O159="Client pierdut","Recuperare client",IF($O159="Client dormant","Reactivare client",IF($O159="Scădere de venit","Recuperare client",IF($O159="Detractor activ","Recuperare NPS",IF($O159="Marjă sub referință","Marjă / preț",IF($O159="În creștere","Up-sell",IF($O159="Fără activitate","Reactivare client","Cross-sell")))))))))</f>
        <v/>
      </c>
      <c r="Q159" s="24">
        <f>IF($A159="","",IFERROR(IF($O159="Scădere de venit",MAX(0,$F159-$E159),IF(OR($O159="Client pierdut",$O159="Client dormant",$O159="Fără activitate"),$F159,IF($O159="Marjă sub referință",MAX(0,$E159*('09_PARAMETRI'!$B$15-$I159)),$E159*0.15))),""))</f>
        <v/>
      </c>
      <c r="R159" s="48">
        <f>IF(OR($A159="",$E159="",N($E159)&lt;=0),"",$E159+ROW()/1000000)</f>
        <v/>
      </c>
    </row>
    <row r="160">
      <c r="A160" s="39">
        <f>IF('10_CLIENTI'!$A160="","",'10_CLIENTI'!$A160)</f>
        <v/>
      </c>
      <c r="B160" s="39">
        <f>IF($A160="","",IFERROR(INDEX('10_CLIENTI'!$B$5:$B$204,MATCH($A160,'10_CLIENTI'!$A$5:$A$204,0)),""))</f>
        <v/>
      </c>
      <c r="C160" s="39">
        <f>IF($A160="","",IFERROR(INDEX('10_CLIENTI'!$C$5:$C$204,MATCH($A160,'10_CLIENTI'!$A$5:$A$204,0)),""))</f>
        <v/>
      </c>
      <c r="D160" s="39">
        <f>IF($A160="","",IFERROR(INDEX('10_CLIENTI'!$G$5:$G$204,MATCH($A160,'10_CLIENTI'!$A$5:$A$204,0)),""))</f>
        <v/>
      </c>
      <c r="E160" s="24">
        <f>IF($A160="","",SUMIFS('13_VANZARI'!$H$5:$H$1004,'13_VANZARI'!$D$5:$D$1004,$A160,'13_VANZARI'!$A$5:$A$1004,"&gt;="&amp;'09_PARAMETRI'!$B$5,'13_VANZARI'!$A$5:$A$1004,"&lt;="&amp;'09_PARAMETRI'!$B$6))</f>
        <v/>
      </c>
      <c r="F160" s="24">
        <f>IF($A160="","",SUMIFS('13_VANZARI'!$H$5:$H$1004,'13_VANZARI'!$D$5:$D$1004,$A160,'13_VANZARI'!$A$5:$A$1004,"&gt;="&amp;'09_PARAMETRI'!$B$7,'13_VANZARI'!$A$5:$A$1004,"&lt;="&amp;'09_PARAMETRI'!$B$8))</f>
        <v/>
      </c>
      <c r="G160" s="25">
        <f>IF($A160="","",IFERROR(IF($F160=0,"",($E160-$F160)/ABS($F160)),""))</f>
        <v/>
      </c>
      <c r="H160" s="24">
        <f>IF($A160="","",SUMIFS('13_VANZARI'!$K$5:$K$1004,'13_VANZARI'!$D$5:$D$1004,$A160,'13_VANZARI'!$A$5:$A$1004,"&gt;="&amp;'09_PARAMETRI'!$B$5,'13_VANZARI'!$A$5:$A$1004,"&lt;="&amp;'09_PARAMETRI'!$B$6))</f>
        <v/>
      </c>
      <c r="I160" s="25">
        <f>IF($A160="","",IFERROR($H160/$E160,""))</f>
        <v/>
      </c>
      <c r="J160" s="25">
        <f>IF($A160="","",IFERROR($E160/SUMIFS('13_VANZARI'!$H$5:$H$1004,'13_VANZARI'!$A$5:$A$1004,"&gt;="&amp;'09_PARAMETRI'!$B$5,'13_VANZARI'!$A$5:$A$1004,"&lt;="&amp;'09_PARAMETRI'!$B$6),""))</f>
        <v/>
      </c>
      <c r="K160" s="36">
        <f>IF($A160="","",IFERROR(IF(SUMPRODUCT(MAX(('13_VANZARI'!$D$5:$D$1004=$A160)*('13_VANZARI'!$H$5:$H$1004&lt;&gt;"")*'13_VANZARI'!$A$5:$A$1004))=0,"",SUMPRODUCT(MAX(('13_VANZARI'!$D$5:$D$1004=$A160)*('13_VANZARI'!$H$5:$H$1004&lt;&gt;"")*'13_VANZARI'!$A$5:$A$1004))),""))</f>
        <v/>
      </c>
      <c r="L160" s="24">
        <f>IF(OR($A160="",$K160=""),"",'09_PARAMETRI'!$B$9-$K160)</f>
        <v/>
      </c>
      <c r="M160" s="24">
        <f>IF($A160="","",SUMPRODUCT(('11_PRODUSE'!$A$5:$A$104&lt;&gt;"")*(SUMIFS('13_VANZARI'!$H$5:$H$1004,'13_VANZARI'!$D$5:$D$1004,$A160,'13_VANZARI'!$E$5:$E$1004,'11_PRODUSE'!$A$5:$A$104,'13_VANZARI'!$A$5:$A$1004,"&gt;="&amp;'09_PARAMETRI'!$B$5,'13_VANZARI'!$A$5:$A$1004,"&lt;="&amp;'09_PARAMETRI'!$B$6)&lt;&gt;0)))</f>
        <v/>
      </c>
      <c r="N160" s="50">
        <f>IF($A160="","",IFERROR(AVERAGEIFS('15_NPS'!$F$5:$F$504,'15_NPS'!$C$5:$C$504,$A160,'15_NPS'!$B$5:$B$504,"&gt;="&amp;'09_PARAMETRI'!$B$5,'15_NPS'!$B$5:$B$504,"&lt;="&amp;'09_PARAMETRI'!$B$6),""))</f>
        <v/>
      </c>
      <c r="O160" s="39">
        <f>IF($A160="","",IF(AND($F160&gt;0,$E160=0),"Client pierdut",IF(AND($L160&lt;&gt;"",$L160&gt;'09_PARAMETRI'!$B$16,$F160&gt;0),"Client dormant",IF(AND($G160&lt;&gt;"",$G160&lt;='09_PARAMETRI'!$B$13),"Scădere de venit",IF(AND($N160&lt;&gt;"",$N160&lt;7),"Detractor activ",IF(AND($E160&gt;0,$J160&gt;'09_PARAMETRI'!$B$19),"Risc concentrare",IF(AND($E160&gt;0,$I160&lt;&gt;"",$I160&lt;'09_PARAMETRI'!$B$15),"Marjă sub referință",IF(AND($G160&lt;&gt;"",$G160&gt;='09_PARAMETRI'!$B$14),"În creștere",IF($E160=0,"Fără activitate","Stabil")))))))))</f>
        <v/>
      </c>
      <c r="P160" s="39">
        <f>IF($A160="","",IF($O160="Risc concentrare","Risc concentrare",IF($O160="Client pierdut","Recuperare client",IF($O160="Client dormant","Reactivare client",IF($O160="Scădere de venit","Recuperare client",IF($O160="Detractor activ","Recuperare NPS",IF($O160="Marjă sub referință","Marjă / preț",IF($O160="În creștere","Up-sell",IF($O160="Fără activitate","Reactivare client","Cross-sell")))))))))</f>
        <v/>
      </c>
      <c r="Q160" s="24">
        <f>IF($A160="","",IFERROR(IF($O160="Scădere de venit",MAX(0,$F160-$E160),IF(OR($O160="Client pierdut",$O160="Client dormant",$O160="Fără activitate"),$F160,IF($O160="Marjă sub referință",MAX(0,$E160*('09_PARAMETRI'!$B$15-$I160)),$E160*0.15))),""))</f>
        <v/>
      </c>
      <c r="R160" s="48">
        <f>IF(OR($A160="",$E160="",N($E160)&lt;=0),"",$E160+ROW()/1000000)</f>
        <v/>
      </c>
    </row>
    <row r="161">
      <c r="A161" s="39">
        <f>IF('10_CLIENTI'!$A161="","",'10_CLIENTI'!$A161)</f>
        <v/>
      </c>
      <c r="B161" s="39">
        <f>IF($A161="","",IFERROR(INDEX('10_CLIENTI'!$B$5:$B$204,MATCH($A161,'10_CLIENTI'!$A$5:$A$204,0)),""))</f>
        <v/>
      </c>
      <c r="C161" s="39">
        <f>IF($A161="","",IFERROR(INDEX('10_CLIENTI'!$C$5:$C$204,MATCH($A161,'10_CLIENTI'!$A$5:$A$204,0)),""))</f>
        <v/>
      </c>
      <c r="D161" s="39">
        <f>IF($A161="","",IFERROR(INDEX('10_CLIENTI'!$G$5:$G$204,MATCH($A161,'10_CLIENTI'!$A$5:$A$204,0)),""))</f>
        <v/>
      </c>
      <c r="E161" s="24">
        <f>IF($A161="","",SUMIFS('13_VANZARI'!$H$5:$H$1004,'13_VANZARI'!$D$5:$D$1004,$A161,'13_VANZARI'!$A$5:$A$1004,"&gt;="&amp;'09_PARAMETRI'!$B$5,'13_VANZARI'!$A$5:$A$1004,"&lt;="&amp;'09_PARAMETRI'!$B$6))</f>
        <v/>
      </c>
      <c r="F161" s="24">
        <f>IF($A161="","",SUMIFS('13_VANZARI'!$H$5:$H$1004,'13_VANZARI'!$D$5:$D$1004,$A161,'13_VANZARI'!$A$5:$A$1004,"&gt;="&amp;'09_PARAMETRI'!$B$7,'13_VANZARI'!$A$5:$A$1004,"&lt;="&amp;'09_PARAMETRI'!$B$8))</f>
        <v/>
      </c>
      <c r="G161" s="25">
        <f>IF($A161="","",IFERROR(IF($F161=0,"",($E161-$F161)/ABS($F161)),""))</f>
        <v/>
      </c>
      <c r="H161" s="24">
        <f>IF($A161="","",SUMIFS('13_VANZARI'!$K$5:$K$1004,'13_VANZARI'!$D$5:$D$1004,$A161,'13_VANZARI'!$A$5:$A$1004,"&gt;="&amp;'09_PARAMETRI'!$B$5,'13_VANZARI'!$A$5:$A$1004,"&lt;="&amp;'09_PARAMETRI'!$B$6))</f>
        <v/>
      </c>
      <c r="I161" s="25">
        <f>IF($A161="","",IFERROR($H161/$E161,""))</f>
        <v/>
      </c>
      <c r="J161" s="25">
        <f>IF($A161="","",IFERROR($E161/SUMIFS('13_VANZARI'!$H$5:$H$1004,'13_VANZARI'!$A$5:$A$1004,"&gt;="&amp;'09_PARAMETRI'!$B$5,'13_VANZARI'!$A$5:$A$1004,"&lt;="&amp;'09_PARAMETRI'!$B$6),""))</f>
        <v/>
      </c>
      <c r="K161" s="36">
        <f>IF($A161="","",IFERROR(IF(SUMPRODUCT(MAX(('13_VANZARI'!$D$5:$D$1004=$A161)*('13_VANZARI'!$H$5:$H$1004&lt;&gt;"")*'13_VANZARI'!$A$5:$A$1004))=0,"",SUMPRODUCT(MAX(('13_VANZARI'!$D$5:$D$1004=$A161)*('13_VANZARI'!$H$5:$H$1004&lt;&gt;"")*'13_VANZARI'!$A$5:$A$1004))),""))</f>
        <v/>
      </c>
      <c r="L161" s="24">
        <f>IF(OR($A161="",$K161=""),"",'09_PARAMETRI'!$B$9-$K161)</f>
        <v/>
      </c>
      <c r="M161" s="24">
        <f>IF($A161="","",SUMPRODUCT(('11_PRODUSE'!$A$5:$A$104&lt;&gt;"")*(SUMIFS('13_VANZARI'!$H$5:$H$1004,'13_VANZARI'!$D$5:$D$1004,$A161,'13_VANZARI'!$E$5:$E$1004,'11_PRODUSE'!$A$5:$A$104,'13_VANZARI'!$A$5:$A$1004,"&gt;="&amp;'09_PARAMETRI'!$B$5,'13_VANZARI'!$A$5:$A$1004,"&lt;="&amp;'09_PARAMETRI'!$B$6)&lt;&gt;0)))</f>
        <v/>
      </c>
      <c r="N161" s="50">
        <f>IF($A161="","",IFERROR(AVERAGEIFS('15_NPS'!$F$5:$F$504,'15_NPS'!$C$5:$C$504,$A161,'15_NPS'!$B$5:$B$504,"&gt;="&amp;'09_PARAMETRI'!$B$5,'15_NPS'!$B$5:$B$504,"&lt;="&amp;'09_PARAMETRI'!$B$6),""))</f>
        <v/>
      </c>
      <c r="O161" s="39">
        <f>IF($A161="","",IF(AND($F161&gt;0,$E161=0),"Client pierdut",IF(AND($L161&lt;&gt;"",$L161&gt;'09_PARAMETRI'!$B$16,$F161&gt;0),"Client dormant",IF(AND($G161&lt;&gt;"",$G161&lt;='09_PARAMETRI'!$B$13),"Scădere de venit",IF(AND($N161&lt;&gt;"",$N161&lt;7),"Detractor activ",IF(AND($E161&gt;0,$J161&gt;'09_PARAMETRI'!$B$19),"Risc concentrare",IF(AND($E161&gt;0,$I161&lt;&gt;"",$I161&lt;'09_PARAMETRI'!$B$15),"Marjă sub referință",IF(AND($G161&lt;&gt;"",$G161&gt;='09_PARAMETRI'!$B$14),"În creștere",IF($E161=0,"Fără activitate","Stabil")))))))))</f>
        <v/>
      </c>
      <c r="P161" s="39">
        <f>IF($A161="","",IF($O161="Risc concentrare","Risc concentrare",IF($O161="Client pierdut","Recuperare client",IF($O161="Client dormant","Reactivare client",IF($O161="Scădere de venit","Recuperare client",IF($O161="Detractor activ","Recuperare NPS",IF($O161="Marjă sub referință","Marjă / preț",IF($O161="În creștere","Up-sell",IF($O161="Fără activitate","Reactivare client","Cross-sell")))))))))</f>
        <v/>
      </c>
      <c r="Q161" s="24">
        <f>IF($A161="","",IFERROR(IF($O161="Scădere de venit",MAX(0,$F161-$E161),IF(OR($O161="Client pierdut",$O161="Client dormant",$O161="Fără activitate"),$F161,IF($O161="Marjă sub referință",MAX(0,$E161*('09_PARAMETRI'!$B$15-$I161)),$E161*0.15))),""))</f>
        <v/>
      </c>
      <c r="R161" s="48">
        <f>IF(OR($A161="",$E161="",N($E161)&lt;=0),"",$E161+ROW()/1000000)</f>
        <v/>
      </c>
    </row>
    <row r="162">
      <c r="A162" s="39">
        <f>IF('10_CLIENTI'!$A162="","",'10_CLIENTI'!$A162)</f>
        <v/>
      </c>
      <c r="B162" s="39">
        <f>IF($A162="","",IFERROR(INDEX('10_CLIENTI'!$B$5:$B$204,MATCH($A162,'10_CLIENTI'!$A$5:$A$204,0)),""))</f>
        <v/>
      </c>
      <c r="C162" s="39">
        <f>IF($A162="","",IFERROR(INDEX('10_CLIENTI'!$C$5:$C$204,MATCH($A162,'10_CLIENTI'!$A$5:$A$204,0)),""))</f>
        <v/>
      </c>
      <c r="D162" s="39">
        <f>IF($A162="","",IFERROR(INDEX('10_CLIENTI'!$G$5:$G$204,MATCH($A162,'10_CLIENTI'!$A$5:$A$204,0)),""))</f>
        <v/>
      </c>
      <c r="E162" s="24">
        <f>IF($A162="","",SUMIFS('13_VANZARI'!$H$5:$H$1004,'13_VANZARI'!$D$5:$D$1004,$A162,'13_VANZARI'!$A$5:$A$1004,"&gt;="&amp;'09_PARAMETRI'!$B$5,'13_VANZARI'!$A$5:$A$1004,"&lt;="&amp;'09_PARAMETRI'!$B$6))</f>
        <v/>
      </c>
      <c r="F162" s="24">
        <f>IF($A162="","",SUMIFS('13_VANZARI'!$H$5:$H$1004,'13_VANZARI'!$D$5:$D$1004,$A162,'13_VANZARI'!$A$5:$A$1004,"&gt;="&amp;'09_PARAMETRI'!$B$7,'13_VANZARI'!$A$5:$A$1004,"&lt;="&amp;'09_PARAMETRI'!$B$8))</f>
        <v/>
      </c>
      <c r="G162" s="25">
        <f>IF($A162="","",IFERROR(IF($F162=0,"",($E162-$F162)/ABS($F162)),""))</f>
        <v/>
      </c>
      <c r="H162" s="24">
        <f>IF($A162="","",SUMIFS('13_VANZARI'!$K$5:$K$1004,'13_VANZARI'!$D$5:$D$1004,$A162,'13_VANZARI'!$A$5:$A$1004,"&gt;="&amp;'09_PARAMETRI'!$B$5,'13_VANZARI'!$A$5:$A$1004,"&lt;="&amp;'09_PARAMETRI'!$B$6))</f>
        <v/>
      </c>
      <c r="I162" s="25">
        <f>IF($A162="","",IFERROR($H162/$E162,""))</f>
        <v/>
      </c>
      <c r="J162" s="25">
        <f>IF($A162="","",IFERROR($E162/SUMIFS('13_VANZARI'!$H$5:$H$1004,'13_VANZARI'!$A$5:$A$1004,"&gt;="&amp;'09_PARAMETRI'!$B$5,'13_VANZARI'!$A$5:$A$1004,"&lt;="&amp;'09_PARAMETRI'!$B$6),""))</f>
        <v/>
      </c>
      <c r="K162" s="36">
        <f>IF($A162="","",IFERROR(IF(SUMPRODUCT(MAX(('13_VANZARI'!$D$5:$D$1004=$A162)*('13_VANZARI'!$H$5:$H$1004&lt;&gt;"")*'13_VANZARI'!$A$5:$A$1004))=0,"",SUMPRODUCT(MAX(('13_VANZARI'!$D$5:$D$1004=$A162)*('13_VANZARI'!$H$5:$H$1004&lt;&gt;"")*'13_VANZARI'!$A$5:$A$1004))),""))</f>
        <v/>
      </c>
      <c r="L162" s="24">
        <f>IF(OR($A162="",$K162=""),"",'09_PARAMETRI'!$B$9-$K162)</f>
        <v/>
      </c>
      <c r="M162" s="24">
        <f>IF($A162="","",SUMPRODUCT(('11_PRODUSE'!$A$5:$A$104&lt;&gt;"")*(SUMIFS('13_VANZARI'!$H$5:$H$1004,'13_VANZARI'!$D$5:$D$1004,$A162,'13_VANZARI'!$E$5:$E$1004,'11_PRODUSE'!$A$5:$A$104,'13_VANZARI'!$A$5:$A$1004,"&gt;="&amp;'09_PARAMETRI'!$B$5,'13_VANZARI'!$A$5:$A$1004,"&lt;="&amp;'09_PARAMETRI'!$B$6)&lt;&gt;0)))</f>
        <v/>
      </c>
      <c r="N162" s="50">
        <f>IF($A162="","",IFERROR(AVERAGEIFS('15_NPS'!$F$5:$F$504,'15_NPS'!$C$5:$C$504,$A162,'15_NPS'!$B$5:$B$504,"&gt;="&amp;'09_PARAMETRI'!$B$5,'15_NPS'!$B$5:$B$504,"&lt;="&amp;'09_PARAMETRI'!$B$6),""))</f>
        <v/>
      </c>
      <c r="O162" s="39">
        <f>IF($A162="","",IF(AND($F162&gt;0,$E162=0),"Client pierdut",IF(AND($L162&lt;&gt;"",$L162&gt;'09_PARAMETRI'!$B$16,$F162&gt;0),"Client dormant",IF(AND($G162&lt;&gt;"",$G162&lt;='09_PARAMETRI'!$B$13),"Scădere de venit",IF(AND($N162&lt;&gt;"",$N162&lt;7),"Detractor activ",IF(AND($E162&gt;0,$J162&gt;'09_PARAMETRI'!$B$19),"Risc concentrare",IF(AND($E162&gt;0,$I162&lt;&gt;"",$I162&lt;'09_PARAMETRI'!$B$15),"Marjă sub referință",IF(AND($G162&lt;&gt;"",$G162&gt;='09_PARAMETRI'!$B$14),"În creștere",IF($E162=0,"Fără activitate","Stabil")))))))))</f>
        <v/>
      </c>
      <c r="P162" s="39">
        <f>IF($A162="","",IF($O162="Risc concentrare","Risc concentrare",IF($O162="Client pierdut","Recuperare client",IF($O162="Client dormant","Reactivare client",IF($O162="Scădere de venit","Recuperare client",IF($O162="Detractor activ","Recuperare NPS",IF($O162="Marjă sub referință","Marjă / preț",IF($O162="În creștere","Up-sell",IF($O162="Fără activitate","Reactivare client","Cross-sell")))))))))</f>
        <v/>
      </c>
      <c r="Q162" s="24">
        <f>IF($A162="","",IFERROR(IF($O162="Scădere de venit",MAX(0,$F162-$E162),IF(OR($O162="Client pierdut",$O162="Client dormant",$O162="Fără activitate"),$F162,IF($O162="Marjă sub referință",MAX(0,$E162*('09_PARAMETRI'!$B$15-$I162)),$E162*0.15))),""))</f>
        <v/>
      </c>
      <c r="R162" s="48">
        <f>IF(OR($A162="",$E162="",N($E162)&lt;=0),"",$E162+ROW()/1000000)</f>
        <v/>
      </c>
    </row>
    <row r="163">
      <c r="A163" s="39">
        <f>IF('10_CLIENTI'!$A163="","",'10_CLIENTI'!$A163)</f>
        <v/>
      </c>
      <c r="B163" s="39">
        <f>IF($A163="","",IFERROR(INDEX('10_CLIENTI'!$B$5:$B$204,MATCH($A163,'10_CLIENTI'!$A$5:$A$204,0)),""))</f>
        <v/>
      </c>
      <c r="C163" s="39">
        <f>IF($A163="","",IFERROR(INDEX('10_CLIENTI'!$C$5:$C$204,MATCH($A163,'10_CLIENTI'!$A$5:$A$204,0)),""))</f>
        <v/>
      </c>
      <c r="D163" s="39">
        <f>IF($A163="","",IFERROR(INDEX('10_CLIENTI'!$G$5:$G$204,MATCH($A163,'10_CLIENTI'!$A$5:$A$204,0)),""))</f>
        <v/>
      </c>
      <c r="E163" s="24">
        <f>IF($A163="","",SUMIFS('13_VANZARI'!$H$5:$H$1004,'13_VANZARI'!$D$5:$D$1004,$A163,'13_VANZARI'!$A$5:$A$1004,"&gt;="&amp;'09_PARAMETRI'!$B$5,'13_VANZARI'!$A$5:$A$1004,"&lt;="&amp;'09_PARAMETRI'!$B$6))</f>
        <v/>
      </c>
      <c r="F163" s="24">
        <f>IF($A163="","",SUMIFS('13_VANZARI'!$H$5:$H$1004,'13_VANZARI'!$D$5:$D$1004,$A163,'13_VANZARI'!$A$5:$A$1004,"&gt;="&amp;'09_PARAMETRI'!$B$7,'13_VANZARI'!$A$5:$A$1004,"&lt;="&amp;'09_PARAMETRI'!$B$8))</f>
        <v/>
      </c>
      <c r="G163" s="25">
        <f>IF($A163="","",IFERROR(IF($F163=0,"",($E163-$F163)/ABS($F163)),""))</f>
        <v/>
      </c>
      <c r="H163" s="24">
        <f>IF($A163="","",SUMIFS('13_VANZARI'!$K$5:$K$1004,'13_VANZARI'!$D$5:$D$1004,$A163,'13_VANZARI'!$A$5:$A$1004,"&gt;="&amp;'09_PARAMETRI'!$B$5,'13_VANZARI'!$A$5:$A$1004,"&lt;="&amp;'09_PARAMETRI'!$B$6))</f>
        <v/>
      </c>
      <c r="I163" s="25">
        <f>IF($A163="","",IFERROR($H163/$E163,""))</f>
        <v/>
      </c>
      <c r="J163" s="25">
        <f>IF($A163="","",IFERROR($E163/SUMIFS('13_VANZARI'!$H$5:$H$1004,'13_VANZARI'!$A$5:$A$1004,"&gt;="&amp;'09_PARAMETRI'!$B$5,'13_VANZARI'!$A$5:$A$1004,"&lt;="&amp;'09_PARAMETRI'!$B$6),""))</f>
        <v/>
      </c>
      <c r="K163" s="36">
        <f>IF($A163="","",IFERROR(IF(SUMPRODUCT(MAX(('13_VANZARI'!$D$5:$D$1004=$A163)*('13_VANZARI'!$H$5:$H$1004&lt;&gt;"")*'13_VANZARI'!$A$5:$A$1004))=0,"",SUMPRODUCT(MAX(('13_VANZARI'!$D$5:$D$1004=$A163)*('13_VANZARI'!$H$5:$H$1004&lt;&gt;"")*'13_VANZARI'!$A$5:$A$1004))),""))</f>
        <v/>
      </c>
      <c r="L163" s="24">
        <f>IF(OR($A163="",$K163=""),"",'09_PARAMETRI'!$B$9-$K163)</f>
        <v/>
      </c>
      <c r="M163" s="24">
        <f>IF($A163="","",SUMPRODUCT(('11_PRODUSE'!$A$5:$A$104&lt;&gt;"")*(SUMIFS('13_VANZARI'!$H$5:$H$1004,'13_VANZARI'!$D$5:$D$1004,$A163,'13_VANZARI'!$E$5:$E$1004,'11_PRODUSE'!$A$5:$A$104,'13_VANZARI'!$A$5:$A$1004,"&gt;="&amp;'09_PARAMETRI'!$B$5,'13_VANZARI'!$A$5:$A$1004,"&lt;="&amp;'09_PARAMETRI'!$B$6)&lt;&gt;0)))</f>
        <v/>
      </c>
      <c r="N163" s="50">
        <f>IF($A163="","",IFERROR(AVERAGEIFS('15_NPS'!$F$5:$F$504,'15_NPS'!$C$5:$C$504,$A163,'15_NPS'!$B$5:$B$504,"&gt;="&amp;'09_PARAMETRI'!$B$5,'15_NPS'!$B$5:$B$504,"&lt;="&amp;'09_PARAMETRI'!$B$6),""))</f>
        <v/>
      </c>
      <c r="O163" s="39">
        <f>IF($A163="","",IF(AND($F163&gt;0,$E163=0),"Client pierdut",IF(AND($L163&lt;&gt;"",$L163&gt;'09_PARAMETRI'!$B$16,$F163&gt;0),"Client dormant",IF(AND($G163&lt;&gt;"",$G163&lt;='09_PARAMETRI'!$B$13),"Scădere de venit",IF(AND($N163&lt;&gt;"",$N163&lt;7),"Detractor activ",IF(AND($E163&gt;0,$J163&gt;'09_PARAMETRI'!$B$19),"Risc concentrare",IF(AND($E163&gt;0,$I163&lt;&gt;"",$I163&lt;'09_PARAMETRI'!$B$15),"Marjă sub referință",IF(AND($G163&lt;&gt;"",$G163&gt;='09_PARAMETRI'!$B$14),"În creștere",IF($E163=0,"Fără activitate","Stabil")))))))))</f>
        <v/>
      </c>
      <c r="P163" s="39">
        <f>IF($A163="","",IF($O163="Risc concentrare","Risc concentrare",IF($O163="Client pierdut","Recuperare client",IF($O163="Client dormant","Reactivare client",IF($O163="Scădere de venit","Recuperare client",IF($O163="Detractor activ","Recuperare NPS",IF($O163="Marjă sub referință","Marjă / preț",IF($O163="În creștere","Up-sell",IF($O163="Fără activitate","Reactivare client","Cross-sell")))))))))</f>
        <v/>
      </c>
      <c r="Q163" s="24">
        <f>IF($A163="","",IFERROR(IF($O163="Scădere de venit",MAX(0,$F163-$E163),IF(OR($O163="Client pierdut",$O163="Client dormant",$O163="Fără activitate"),$F163,IF($O163="Marjă sub referință",MAX(0,$E163*('09_PARAMETRI'!$B$15-$I163)),$E163*0.15))),""))</f>
        <v/>
      </c>
      <c r="R163" s="48">
        <f>IF(OR($A163="",$E163="",N($E163)&lt;=0),"",$E163+ROW()/1000000)</f>
        <v/>
      </c>
    </row>
    <row r="164">
      <c r="A164" s="39">
        <f>IF('10_CLIENTI'!$A164="","",'10_CLIENTI'!$A164)</f>
        <v/>
      </c>
      <c r="B164" s="39">
        <f>IF($A164="","",IFERROR(INDEX('10_CLIENTI'!$B$5:$B$204,MATCH($A164,'10_CLIENTI'!$A$5:$A$204,0)),""))</f>
        <v/>
      </c>
      <c r="C164" s="39">
        <f>IF($A164="","",IFERROR(INDEX('10_CLIENTI'!$C$5:$C$204,MATCH($A164,'10_CLIENTI'!$A$5:$A$204,0)),""))</f>
        <v/>
      </c>
      <c r="D164" s="39">
        <f>IF($A164="","",IFERROR(INDEX('10_CLIENTI'!$G$5:$G$204,MATCH($A164,'10_CLIENTI'!$A$5:$A$204,0)),""))</f>
        <v/>
      </c>
      <c r="E164" s="24">
        <f>IF($A164="","",SUMIFS('13_VANZARI'!$H$5:$H$1004,'13_VANZARI'!$D$5:$D$1004,$A164,'13_VANZARI'!$A$5:$A$1004,"&gt;="&amp;'09_PARAMETRI'!$B$5,'13_VANZARI'!$A$5:$A$1004,"&lt;="&amp;'09_PARAMETRI'!$B$6))</f>
        <v/>
      </c>
      <c r="F164" s="24">
        <f>IF($A164="","",SUMIFS('13_VANZARI'!$H$5:$H$1004,'13_VANZARI'!$D$5:$D$1004,$A164,'13_VANZARI'!$A$5:$A$1004,"&gt;="&amp;'09_PARAMETRI'!$B$7,'13_VANZARI'!$A$5:$A$1004,"&lt;="&amp;'09_PARAMETRI'!$B$8))</f>
        <v/>
      </c>
      <c r="G164" s="25">
        <f>IF($A164="","",IFERROR(IF($F164=0,"",($E164-$F164)/ABS($F164)),""))</f>
        <v/>
      </c>
      <c r="H164" s="24">
        <f>IF($A164="","",SUMIFS('13_VANZARI'!$K$5:$K$1004,'13_VANZARI'!$D$5:$D$1004,$A164,'13_VANZARI'!$A$5:$A$1004,"&gt;="&amp;'09_PARAMETRI'!$B$5,'13_VANZARI'!$A$5:$A$1004,"&lt;="&amp;'09_PARAMETRI'!$B$6))</f>
        <v/>
      </c>
      <c r="I164" s="25">
        <f>IF($A164="","",IFERROR($H164/$E164,""))</f>
        <v/>
      </c>
      <c r="J164" s="25">
        <f>IF($A164="","",IFERROR($E164/SUMIFS('13_VANZARI'!$H$5:$H$1004,'13_VANZARI'!$A$5:$A$1004,"&gt;="&amp;'09_PARAMETRI'!$B$5,'13_VANZARI'!$A$5:$A$1004,"&lt;="&amp;'09_PARAMETRI'!$B$6),""))</f>
        <v/>
      </c>
      <c r="K164" s="36">
        <f>IF($A164="","",IFERROR(IF(SUMPRODUCT(MAX(('13_VANZARI'!$D$5:$D$1004=$A164)*('13_VANZARI'!$H$5:$H$1004&lt;&gt;"")*'13_VANZARI'!$A$5:$A$1004))=0,"",SUMPRODUCT(MAX(('13_VANZARI'!$D$5:$D$1004=$A164)*('13_VANZARI'!$H$5:$H$1004&lt;&gt;"")*'13_VANZARI'!$A$5:$A$1004))),""))</f>
        <v/>
      </c>
      <c r="L164" s="24">
        <f>IF(OR($A164="",$K164=""),"",'09_PARAMETRI'!$B$9-$K164)</f>
        <v/>
      </c>
      <c r="M164" s="24">
        <f>IF($A164="","",SUMPRODUCT(('11_PRODUSE'!$A$5:$A$104&lt;&gt;"")*(SUMIFS('13_VANZARI'!$H$5:$H$1004,'13_VANZARI'!$D$5:$D$1004,$A164,'13_VANZARI'!$E$5:$E$1004,'11_PRODUSE'!$A$5:$A$104,'13_VANZARI'!$A$5:$A$1004,"&gt;="&amp;'09_PARAMETRI'!$B$5,'13_VANZARI'!$A$5:$A$1004,"&lt;="&amp;'09_PARAMETRI'!$B$6)&lt;&gt;0)))</f>
        <v/>
      </c>
      <c r="N164" s="50">
        <f>IF($A164="","",IFERROR(AVERAGEIFS('15_NPS'!$F$5:$F$504,'15_NPS'!$C$5:$C$504,$A164,'15_NPS'!$B$5:$B$504,"&gt;="&amp;'09_PARAMETRI'!$B$5,'15_NPS'!$B$5:$B$504,"&lt;="&amp;'09_PARAMETRI'!$B$6),""))</f>
        <v/>
      </c>
      <c r="O164" s="39">
        <f>IF($A164="","",IF(AND($F164&gt;0,$E164=0),"Client pierdut",IF(AND($L164&lt;&gt;"",$L164&gt;'09_PARAMETRI'!$B$16,$F164&gt;0),"Client dormant",IF(AND($G164&lt;&gt;"",$G164&lt;='09_PARAMETRI'!$B$13),"Scădere de venit",IF(AND($N164&lt;&gt;"",$N164&lt;7),"Detractor activ",IF(AND($E164&gt;0,$J164&gt;'09_PARAMETRI'!$B$19),"Risc concentrare",IF(AND($E164&gt;0,$I164&lt;&gt;"",$I164&lt;'09_PARAMETRI'!$B$15),"Marjă sub referință",IF(AND($G164&lt;&gt;"",$G164&gt;='09_PARAMETRI'!$B$14),"În creștere",IF($E164=0,"Fără activitate","Stabil")))))))))</f>
        <v/>
      </c>
      <c r="P164" s="39">
        <f>IF($A164="","",IF($O164="Risc concentrare","Risc concentrare",IF($O164="Client pierdut","Recuperare client",IF($O164="Client dormant","Reactivare client",IF($O164="Scădere de venit","Recuperare client",IF($O164="Detractor activ","Recuperare NPS",IF($O164="Marjă sub referință","Marjă / preț",IF($O164="În creștere","Up-sell",IF($O164="Fără activitate","Reactivare client","Cross-sell")))))))))</f>
        <v/>
      </c>
      <c r="Q164" s="24">
        <f>IF($A164="","",IFERROR(IF($O164="Scădere de venit",MAX(0,$F164-$E164),IF(OR($O164="Client pierdut",$O164="Client dormant",$O164="Fără activitate"),$F164,IF($O164="Marjă sub referință",MAX(0,$E164*('09_PARAMETRI'!$B$15-$I164)),$E164*0.15))),""))</f>
        <v/>
      </c>
      <c r="R164" s="48">
        <f>IF(OR($A164="",$E164="",N($E164)&lt;=0),"",$E164+ROW()/1000000)</f>
        <v/>
      </c>
    </row>
    <row r="165">
      <c r="A165" s="39">
        <f>IF('10_CLIENTI'!$A165="","",'10_CLIENTI'!$A165)</f>
        <v/>
      </c>
      <c r="B165" s="39">
        <f>IF($A165="","",IFERROR(INDEX('10_CLIENTI'!$B$5:$B$204,MATCH($A165,'10_CLIENTI'!$A$5:$A$204,0)),""))</f>
        <v/>
      </c>
      <c r="C165" s="39">
        <f>IF($A165="","",IFERROR(INDEX('10_CLIENTI'!$C$5:$C$204,MATCH($A165,'10_CLIENTI'!$A$5:$A$204,0)),""))</f>
        <v/>
      </c>
      <c r="D165" s="39">
        <f>IF($A165="","",IFERROR(INDEX('10_CLIENTI'!$G$5:$G$204,MATCH($A165,'10_CLIENTI'!$A$5:$A$204,0)),""))</f>
        <v/>
      </c>
      <c r="E165" s="24">
        <f>IF($A165="","",SUMIFS('13_VANZARI'!$H$5:$H$1004,'13_VANZARI'!$D$5:$D$1004,$A165,'13_VANZARI'!$A$5:$A$1004,"&gt;="&amp;'09_PARAMETRI'!$B$5,'13_VANZARI'!$A$5:$A$1004,"&lt;="&amp;'09_PARAMETRI'!$B$6))</f>
        <v/>
      </c>
      <c r="F165" s="24">
        <f>IF($A165="","",SUMIFS('13_VANZARI'!$H$5:$H$1004,'13_VANZARI'!$D$5:$D$1004,$A165,'13_VANZARI'!$A$5:$A$1004,"&gt;="&amp;'09_PARAMETRI'!$B$7,'13_VANZARI'!$A$5:$A$1004,"&lt;="&amp;'09_PARAMETRI'!$B$8))</f>
        <v/>
      </c>
      <c r="G165" s="25">
        <f>IF($A165="","",IFERROR(IF($F165=0,"",($E165-$F165)/ABS($F165)),""))</f>
        <v/>
      </c>
      <c r="H165" s="24">
        <f>IF($A165="","",SUMIFS('13_VANZARI'!$K$5:$K$1004,'13_VANZARI'!$D$5:$D$1004,$A165,'13_VANZARI'!$A$5:$A$1004,"&gt;="&amp;'09_PARAMETRI'!$B$5,'13_VANZARI'!$A$5:$A$1004,"&lt;="&amp;'09_PARAMETRI'!$B$6))</f>
        <v/>
      </c>
      <c r="I165" s="25">
        <f>IF($A165="","",IFERROR($H165/$E165,""))</f>
        <v/>
      </c>
      <c r="J165" s="25">
        <f>IF($A165="","",IFERROR($E165/SUMIFS('13_VANZARI'!$H$5:$H$1004,'13_VANZARI'!$A$5:$A$1004,"&gt;="&amp;'09_PARAMETRI'!$B$5,'13_VANZARI'!$A$5:$A$1004,"&lt;="&amp;'09_PARAMETRI'!$B$6),""))</f>
        <v/>
      </c>
      <c r="K165" s="36">
        <f>IF($A165="","",IFERROR(IF(SUMPRODUCT(MAX(('13_VANZARI'!$D$5:$D$1004=$A165)*('13_VANZARI'!$H$5:$H$1004&lt;&gt;"")*'13_VANZARI'!$A$5:$A$1004))=0,"",SUMPRODUCT(MAX(('13_VANZARI'!$D$5:$D$1004=$A165)*('13_VANZARI'!$H$5:$H$1004&lt;&gt;"")*'13_VANZARI'!$A$5:$A$1004))),""))</f>
        <v/>
      </c>
      <c r="L165" s="24">
        <f>IF(OR($A165="",$K165=""),"",'09_PARAMETRI'!$B$9-$K165)</f>
        <v/>
      </c>
      <c r="M165" s="24">
        <f>IF($A165="","",SUMPRODUCT(('11_PRODUSE'!$A$5:$A$104&lt;&gt;"")*(SUMIFS('13_VANZARI'!$H$5:$H$1004,'13_VANZARI'!$D$5:$D$1004,$A165,'13_VANZARI'!$E$5:$E$1004,'11_PRODUSE'!$A$5:$A$104,'13_VANZARI'!$A$5:$A$1004,"&gt;="&amp;'09_PARAMETRI'!$B$5,'13_VANZARI'!$A$5:$A$1004,"&lt;="&amp;'09_PARAMETRI'!$B$6)&lt;&gt;0)))</f>
        <v/>
      </c>
      <c r="N165" s="50">
        <f>IF($A165="","",IFERROR(AVERAGEIFS('15_NPS'!$F$5:$F$504,'15_NPS'!$C$5:$C$504,$A165,'15_NPS'!$B$5:$B$504,"&gt;="&amp;'09_PARAMETRI'!$B$5,'15_NPS'!$B$5:$B$504,"&lt;="&amp;'09_PARAMETRI'!$B$6),""))</f>
        <v/>
      </c>
      <c r="O165" s="39">
        <f>IF($A165="","",IF(AND($F165&gt;0,$E165=0),"Client pierdut",IF(AND($L165&lt;&gt;"",$L165&gt;'09_PARAMETRI'!$B$16,$F165&gt;0),"Client dormant",IF(AND($G165&lt;&gt;"",$G165&lt;='09_PARAMETRI'!$B$13),"Scădere de venit",IF(AND($N165&lt;&gt;"",$N165&lt;7),"Detractor activ",IF(AND($E165&gt;0,$J165&gt;'09_PARAMETRI'!$B$19),"Risc concentrare",IF(AND($E165&gt;0,$I165&lt;&gt;"",$I165&lt;'09_PARAMETRI'!$B$15),"Marjă sub referință",IF(AND($G165&lt;&gt;"",$G165&gt;='09_PARAMETRI'!$B$14),"În creștere",IF($E165=0,"Fără activitate","Stabil")))))))))</f>
        <v/>
      </c>
      <c r="P165" s="39">
        <f>IF($A165="","",IF($O165="Risc concentrare","Risc concentrare",IF($O165="Client pierdut","Recuperare client",IF($O165="Client dormant","Reactivare client",IF($O165="Scădere de venit","Recuperare client",IF($O165="Detractor activ","Recuperare NPS",IF($O165="Marjă sub referință","Marjă / preț",IF($O165="În creștere","Up-sell",IF($O165="Fără activitate","Reactivare client","Cross-sell")))))))))</f>
        <v/>
      </c>
      <c r="Q165" s="24">
        <f>IF($A165="","",IFERROR(IF($O165="Scădere de venit",MAX(0,$F165-$E165),IF(OR($O165="Client pierdut",$O165="Client dormant",$O165="Fără activitate"),$F165,IF($O165="Marjă sub referință",MAX(0,$E165*('09_PARAMETRI'!$B$15-$I165)),$E165*0.15))),""))</f>
        <v/>
      </c>
      <c r="R165" s="48">
        <f>IF(OR($A165="",$E165="",N($E165)&lt;=0),"",$E165+ROW()/1000000)</f>
        <v/>
      </c>
    </row>
    <row r="166">
      <c r="A166" s="39">
        <f>IF('10_CLIENTI'!$A166="","",'10_CLIENTI'!$A166)</f>
        <v/>
      </c>
      <c r="B166" s="39">
        <f>IF($A166="","",IFERROR(INDEX('10_CLIENTI'!$B$5:$B$204,MATCH($A166,'10_CLIENTI'!$A$5:$A$204,0)),""))</f>
        <v/>
      </c>
      <c r="C166" s="39">
        <f>IF($A166="","",IFERROR(INDEX('10_CLIENTI'!$C$5:$C$204,MATCH($A166,'10_CLIENTI'!$A$5:$A$204,0)),""))</f>
        <v/>
      </c>
      <c r="D166" s="39">
        <f>IF($A166="","",IFERROR(INDEX('10_CLIENTI'!$G$5:$G$204,MATCH($A166,'10_CLIENTI'!$A$5:$A$204,0)),""))</f>
        <v/>
      </c>
      <c r="E166" s="24">
        <f>IF($A166="","",SUMIFS('13_VANZARI'!$H$5:$H$1004,'13_VANZARI'!$D$5:$D$1004,$A166,'13_VANZARI'!$A$5:$A$1004,"&gt;="&amp;'09_PARAMETRI'!$B$5,'13_VANZARI'!$A$5:$A$1004,"&lt;="&amp;'09_PARAMETRI'!$B$6))</f>
        <v/>
      </c>
      <c r="F166" s="24">
        <f>IF($A166="","",SUMIFS('13_VANZARI'!$H$5:$H$1004,'13_VANZARI'!$D$5:$D$1004,$A166,'13_VANZARI'!$A$5:$A$1004,"&gt;="&amp;'09_PARAMETRI'!$B$7,'13_VANZARI'!$A$5:$A$1004,"&lt;="&amp;'09_PARAMETRI'!$B$8))</f>
        <v/>
      </c>
      <c r="G166" s="25">
        <f>IF($A166="","",IFERROR(IF($F166=0,"",($E166-$F166)/ABS($F166)),""))</f>
        <v/>
      </c>
      <c r="H166" s="24">
        <f>IF($A166="","",SUMIFS('13_VANZARI'!$K$5:$K$1004,'13_VANZARI'!$D$5:$D$1004,$A166,'13_VANZARI'!$A$5:$A$1004,"&gt;="&amp;'09_PARAMETRI'!$B$5,'13_VANZARI'!$A$5:$A$1004,"&lt;="&amp;'09_PARAMETRI'!$B$6))</f>
        <v/>
      </c>
      <c r="I166" s="25">
        <f>IF($A166="","",IFERROR($H166/$E166,""))</f>
        <v/>
      </c>
      <c r="J166" s="25">
        <f>IF($A166="","",IFERROR($E166/SUMIFS('13_VANZARI'!$H$5:$H$1004,'13_VANZARI'!$A$5:$A$1004,"&gt;="&amp;'09_PARAMETRI'!$B$5,'13_VANZARI'!$A$5:$A$1004,"&lt;="&amp;'09_PARAMETRI'!$B$6),""))</f>
        <v/>
      </c>
      <c r="K166" s="36">
        <f>IF($A166="","",IFERROR(IF(SUMPRODUCT(MAX(('13_VANZARI'!$D$5:$D$1004=$A166)*('13_VANZARI'!$H$5:$H$1004&lt;&gt;"")*'13_VANZARI'!$A$5:$A$1004))=0,"",SUMPRODUCT(MAX(('13_VANZARI'!$D$5:$D$1004=$A166)*('13_VANZARI'!$H$5:$H$1004&lt;&gt;"")*'13_VANZARI'!$A$5:$A$1004))),""))</f>
        <v/>
      </c>
      <c r="L166" s="24">
        <f>IF(OR($A166="",$K166=""),"",'09_PARAMETRI'!$B$9-$K166)</f>
        <v/>
      </c>
      <c r="M166" s="24">
        <f>IF($A166="","",SUMPRODUCT(('11_PRODUSE'!$A$5:$A$104&lt;&gt;"")*(SUMIFS('13_VANZARI'!$H$5:$H$1004,'13_VANZARI'!$D$5:$D$1004,$A166,'13_VANZARI'!$E$5:$E$1004,'11_PRODUSE'!$A$5:$A$104,'13_VANZARI'!$A$5:$A$1004,"&gt;="&amp;'09_PARAMETRI'!$B$5,'13_VANZARI'!$A$5:$A$1004,"&lt;="&amp;'09_PARAMETRI'!$B$6)&lt;&gt;0)))</f>
        <v/>
      </c>
      <c r="N166" s="50">
        <f>IF($A166="","",IFERROR(AVERAGEIFS('15_NPS'!$F$5:$F$504,'15_NPS'!$C$5:$C$504,$A166,'15_NPS'!$B$5:$B$504,"&gt;="&amp;'09_PARAMETRI'!$B$5,'15_NPS'!$B$5:$B$504,"&lt;="&amp;'09_PARAMETRI'!$B$6),""))</f>
        <v/>
      </c>
      <c r="O166" s="39">
        <f>IF($A166="","",IF(AND($F166&gt;0,$E166=0),"Client pierdut",IF(AND($L166&lt;&gt;"",$L166&gt;'09_PARAMETRI'!$B$16,$F166&gt;0),"Client dormant",IF(AND($G166&lt;&gt;"",$G166&lt;='09_PARAMETRI'!$B$13),"Scădere de venit",IF(AND($N166&lt;&gt;"",$N166&lt;7),"Detractor activ",IF(AND($E166&gt;0,$J166&gt;'09_PARAMETRI'!$B$19),"Risc concentrare",IF(AND($E166&gt;0,$I166&lt;&gt;"",$I166&lt;'09_PARAMETRI'!$B$15),"Marjă sub referință",IF(AND($G166&lt;&gt;"",$G166&gt;='09_PARAMETRI'!$B$14),"În creștere",IF($E166=0,"Fără activitate","Stabil")))))))))</f>
        <v/>
      </c>
      <c r="P166" s="39">
        <f>IF($A166="","",IF($O166="Risc concentrare","Risc concentrare",IF($O166="Client pierdut","Recuperare client",IF($O166="Client dormant","Reactivare client",IF($O166="Scădere de venit","Recuperare client",IF($O166="Detractor activ","Recuperare NPS",IF($O166="Marjă sub referință","Marjă / preț",IF($O166="În creștere","Up-sell",IF($O166="Fără activitate","Reactivare client","Cross-sell")))))))))</f>
        <v/>
      </c>
      <c r="Q166" s="24">
        <f>IF($A166="","",IFERROR(IF($O166="Scădere de venit",MAX(0,$F166-$E166),IF(OR($O166="Client pierdut",$O166="Client dormant",$O166="Fără activitate"),$F166,IF($O166="Marjă sub referință",MAX(0,$E166*('09_PARAMETRI'!$B$15-$I166)),$E166*0.15))),""))</f>
        <v/>
      </c>
      <c r="R166" s="48">
        <f>IF(OR($A166="",$E166="",N($E166)&lt;=0),"",$E166+ROW()/1000000)</f>
        <v/>
      </c>
    </row>
    <row r="167">
      <c r="A167" s="39">
        <f>IF('10_CLIENTI'!$A167="","",'10_CLIENTI'!$A167)</f>
        <v/>
      </c>
      <c r="B167" s="39">
        <f>IF($A167="","",IFERROR(INDEX('10_CLIENTI'!$B$5:$B$204,MATCH($A167,'10_CLIENTI'!$A$5:$A$204,0)),""))</f>
        <v/>
      </c>
      <c r="C167" s="39">
        <f>IF($A167="","",IFERROR(INDEX('10_CLIENTI'!$C$5:$C$204,MATCH($A167,'10_CLIENTI'!$A$5:$A$204,0)),""))</f>
        <v/>
      </c>
      <c r="D167" s="39">
        <f>IF($A167="","",IFERROR(INDEX('10_CLIENTI'!$G$5:$G$204,MATCH($A167,'10_CLIENTI'!$A$5:$A$204,0)),""))</f>
        <v/>
      </c>
      <c r="E167" s="24">
        <f>IF($A167="","",SUMIFS('13_VANZARI'!$H$5:$H$1004,'13_VANZARI'!$D$5:$D$1004,$A167,'13_VANZARI'!$A$5:$A$1004,"&gt;="&amp;'09_PARAMETRI'!$B$5,'13_VANZARI'!$A$5:$A$1004,"&lt;="&amp;'09_PARAMETRI'!$B$6))</f>
        <v/>
      </c>
      <c r="F167" s="24">
        <f>IF($A167="","",SUMIFS('13_VANZARI'!$H$5:$H$1004,'13_VANZARI'!$D$5:$D$1004,$A167,'13_VANZARI'!$A$5:$A$1004,"&gt;="&amp;'09_PARAMETRI'!$B$7,'13_VANZARI'!$A$5:$A$1004,"&lt;="&amp;'09_PARAMETRI'!$B$8))</f>
        <v/>
      </c>
      <c r="G167" s="25">
        <f>IF($A167="","",IFERROR(IF($F167=0,"",($E167-$F167)/ABS($F167)),""))</f>
        <v/>
      </c>
      <c r="H167" s="24">
        <f>IF($A167="","",SUMIFS('13_VANZARI'!$K$5:$K$1004,'13_VANZARI'!$D$5:$D$1004,$A167,'13_VANZARI'!$A$5:$A$1004,"&gt;="&amp;'09_PARAMETRI'!$B$5,'13_VANZARI'!$A$5:$A$1004,"&lt;="&amp;'09_PARAMETRI'!$B$6))</f>
        <v/>
      </c>
      <c r="I167" s="25">
        <f>IF($A167="","",IFERROR($H167/$E167,""))</f>
        <v/>
      </c>
      <c r="J167" s="25">
        <f>IF($A167="","",IFERROR($E167/SUMIFS('13_VANZARI'!$H$5:$H$1004,'13_VANZARI'!$A$5:$A$1004,"&gt;="&amp;'09_PARAMETRI'!$B$5,'13_VANZARI'!$A$5:$A$1004,"&lt;="&amp;'09_PARAMETRI'!$B$6),""))</f>
        <v/>
      </c>
      <c r="K167" s="36">
        <f>IF($A167="","",IFERROR(IF(SUMPRODUCT(MAX(('13_VANZARI'!$D$5:$D$1004=$A167)*('13_VANZARI'!$H$5:$H$1004&lt;&gt;"")*'13_VANZARI'!$A$5:$A$1004))=0,"",SUMPRODUCT(MAX(('13_VANZARI'!$D$5:$D$1004=$A167)*('13_VANZARI'!$H$5:$H$1004&lt;&gt;"")*'13_VANZARI'!$A$5:$A$1004))),""))</f>
        <v/>
      </c>
      <c r="L167" s="24">
        <f>IF(OR($A167="",$K167=""),"",'09_PARAMETRI'!$B$9-$K167)</f>
        <v/>
      </c>
      <c r="M167" s="24">
        <f>IF($A167="","",SUMPRODUCT(('11_PRODUSE'!$A$5:$A$104&lt;&gt;"")*(SUMIFS('13_VANZARI'!$H$5:$H$1004,'13_VANZARI'!$D$5:$D$1004,$A167,'13_VANZARI'!$E$5:$E$1004,'11_PRODUSE'!$A$5:$A$104,'13_VANZARI'!$A$5:$A$1004,"&gt;="&amp;'09_PARAMETRI'!$B$5,'13_VANZARI'!$A$5:$A$1004,"&lt;="&amp;'09_PARAMETRI'!$B$6)&lt;&gt;0)))</f>
        <v/>
      </c>
      <c r="N167" s="50">
        <f>IF($A167="","",IFERROR(AVERAGEIFS('15_NPS'!$F$5:$F$504,'15_NPS'!$C$5:$C$504,$A167,'15_NPS'!$B$5:$B$504,"&gt;="&amp;'09_PARAMETRI'!$B$5,'15_NPS'!$B$5:$B$504,"&lt;="&amp;'09_PARAMETRI'!$B$6),""))</f>
        <v/>
      </c>
      <c r="O167" s="39">
        <f>IF($A167="","",IF(AND($F167&gt;0,$E167=0),"Client pierdut",IF(AND($L167&lt;&gt;"",$L167&gt;'09_PARAMETRI'!$B$16,$F167&gt;0),"Client dormant",IF(AND($G167&lt;&gt;"",$G167&lt;='09_PARAMETRI'!$B$13),"Scădere de venit",IF(AND($N167&lt;&gt;"",$N167&lt;7),"Detractor activ",IF(AND($E167&gt;0,$J167&gt;'09_PARAMETRI'!$B$19),"Risc concentrare",IF(AND($E167&gt;0,$I167&lt;&gt;"",$I167&lt;'09_PARAMETRI'!$B$15),"Marjă sub referință",IF(AND($G167&lt;&gt;"",$G167&gt;='09_PARAMETRI'!$B$14),"În creștere",IF($E167=0,"Fără activitate","Stabil")))))))))</f>
        <v/>
      </c>
      <c r="P167" s="39">
        <f>IF($A167="","",IF($O167="Risc concentrare","Risc concentrare",IF($O167="Client pierdut","Recuperare client",IF($O167="Client dormant","Reactivare client",IF($O167="Scădere de venit","Recuperare client",IF($O167="Detractor activ","Recuperare NPS",IF($O167="Marjă sub referință","Marjă / preț",IF($O167="În creștere","Up-sell",IF($O167="Fără activitate","Reactivare client","Cross-sell")))))))))</f>
        <v/>
      </c>
      <c r="Q167" s="24">
        <f>IF($A167="","",IFERROR(IF($O167="Scădere de venit",MAX(0,$F167-$E167),IF(OR($O167="Client pierdut",$O167="Client dormant",$O167="Fără activitate"),$F167,IF($O167="Marjă sub referință",MAX(0,$E167*('09_PARAMETRI'!$B$15-$I167)),$E167*0.15))),""))</f>
        <v/>
      </c>
      <c r="R167" s="48">
        <f>IF(OR($A167="",$E167="",N($E167)&lt;=0),"",$E167+ROW()/1000000)</f>
        <v/>
      </c>
    </row>
    <row r="168">
      <c r="A168" s="39">
        <f>IF('10_CLIENTI'!$A168="","",'10_CLIENTI'!$A168)</f>
        <v/>
      </c>
      <c r="B168" s="39">
        <f>IF($A168="","",IFERROR(INDEX('10_CLIENTI'!$B$5:$B$204,MATCH($A168,'10_CLIENTI'!$A$5:$A$204,0)),""))</f>
        <v/>
      </c>
      <c r="C168" s="39">
        <f>IF($A168="","",IFERROR(INDEX('10_CLIENTI'!$C$5:$C$204,MATCH($A168,'10_CLIENTI'!$A$5:$A$204,0)),""))</f>
        <v/>
      </c>
      <c r="D168" s="39">
        <f>IF($A168="","",IFERROR(INDEX('10_CLIENTI'!$G$5:$G$204,MATCH($A168,'10_CLIENTI'!$A$5:$A$204,0)),""))</f>
        <v/>
      </c>
      <c r="E168" s="24">
        <f>IF($A168="","",SUMIFS('13_VANZARI'!$H$5:$H$1004,'13_VANZARI'!$D$5:$D$1004,$A168,'13_VANZARI'!$A$5:$A$1004,"&gt;="&amp;'09_PARAMETRI'!$B$5,'13_VANZARI'!$A$5:$A$1004,"&lt;="&amp;'09_PARAMETRI'!$B$6))</f>
        <v/>
      </c>
      <c r="F168" s="24">
        <f>IF($A168="","",SUMIFS('13_VANZARI'!$H$5:$H$1004,'13_VANZARI'!$D$5:$D$1004,$A168,'13_VANZARI'!$A$5:$A$1004,"&gt;="&amp;'09_PARAMETRI'!$B$7,'13_VANZARI'!$A$5:$A$1004,"&lt;="&amp;'09_PARAMETRI'!$B$8))</f>
        <v/>
      </c>
      <c r="G168" s="25">
        <f>IF($A168="","",IFERROR(IF($F168=0,"",($E168-$F168)/ABS($F168)),""))</f>
        <v/>
      </c>
      <c r="H168" s="24">
        <f>IF($A168="","",SUMIFS('13_VANZARI'!$K$5:$K$1004,'13_VANZARI'!$D$5:$D$1004,$A168,'13_VANZARI'!$A$5:$A$1004,"&gt;="&amp;'09_PARAMETRI'!$B$5,'13_VANZARI'!$A$5:$A$1004,"&lt;="&amp;'09_PARAMETRI'!$B$6))</f>
        <v/>
      </c>
      <c r="I168" s="25">
        <f>IF($A168="","",IFERROR($H168/$E168,""))</f>
        <v/>
      </c>
      <c r="J168" s="25">
        <f>IF($A168="","",IFERROR($E168/SUMIFS('13_VANZARI'!$H$5:$H$1004,'13_VANZARI'!$A$5:$A$1004,"&gt;="&amp;'09_PARAMETRI'!$B$5,'13_VANZARI'!$A$5:$A$1004,"&lt;="&amp;'09_PARAMETRI'!$B$6),""))</f>
        <v/>
      </c>
      <c r="K168" s="36">
        <f>IF($A168="","",IFERROR(IF(SUMPRODUCT(MAX(('13_VANZARI'!$D$5:$D$1004=$A168)*('13_VANZARI'!$H$5:$H$1004&lt;&gt;"")*'13_VANZARI'!$A$5:$A$1004))=0,"",SUMPRODUCT(MAX(('13_VANZARI'!$D$5:$D$1004=$A168)*('13_VANZARI'!$H$5:$H$1004&lt;&gt;"")*'13_VANZARI'!$A$5:$A$1004))),""))</f>
        <v/>
      </c>
      <c r="L168" s="24">
        <f>IF(OR($A168="",$K168=""),"",'09_PARAMETRI'!$B$9-$K168)</f>
        <v/>
      </c>
      <c r="M168" s="24">
        <f>IF($A168="","",SUMPRODUCT(('11_PRODUSE'!$A$5:$A$104&lt;&gt;"")*(SUMIFS('13_VANZARI'!$H$5:$H$1004,'13_VANZARI'!$D$5:$D$1004,$A168,'13_VANZARI'!$E$5:$E$1004,'11_PRODUSE'!$A$5:$A$104,'13_VANZARI'!$A$5:$A$1004,"&gt;="&amp;'09_PARAMETRI'!$B$5,'13_VANZARI'!$A$5:$A$1004,"&lt;="&amp;'09_PARAMETRI'!$B$6)&lt;&gt;0)))</f>
        <v/>
      </c>
      <c r="N168" s="50">
        <f>IF($A168="","",IFERROR(AVERAGEIFS('15_NPS'!$F$5:$F$504,'15_NPS'!$C$5:$C$504,$A168,'15_NPS'!$B$5:$B$504,"&gt;="&amp;'09_PARAMETRI'!$B$5,'15_NPS'!$B$5:$B$504,"&lt;="&amp;'09_PARAMETRI'!$B$6),""))</f>
        <v/>
      </c>
      <c r="O168" s="39">
        <f>IF($A168="","",IF(AND($F168&gt;0,$E168=0),"Client pierdut",IF(AND($L168&lt;&gt;"",$L168&gt;'09_PARAMETRI'!$B$16,$F168&gt;0),"Client dormant",IF(AND($G168&lt;&gt;"",$G168&lt;='09_PARAMETRI'!$B$13),"Scădere de venit",IF(AND($N168&lt;&gt;"",$N168&lt;7),"Detractor activ",IF(AND($E168&gt;0,$J168&gt;'09_PARAMETRI'!$B$19),"Risc concentrare",IF(AND($E168&gt;0,$I168&lt;&gt;"",$I168&lt;'09_PARAMETRI'!$B$15),"Marjă sub referință",IF(AND($G168&lt;&gt;"",$G168&gt;='09_PARAMETRI'!$B$14),"În creștere",IF($E168=0,"Fără activitate","Stabil")))))))))</f>
        <v/>
      </c>
      <c r="P168" s="39">
        <f>IF($A168="","",IF($O168="Risc concentrare","Risc concentrare",IF($O168="Client pierdut","Recuperare client",IF($O168="Client dormant","Reactivare client",IF($O168="Scădere de venit","Recuperare client",IF($O168="Detractor activ","Recuperare NPS",IF($O168="Marjă sub referință","Marjă / preț",IF($O168="În creștere","Up-sell",IF($O168="Fără activitate","Reactivare client","Cross-sell")))))))))</f>
        <v/>
      </c>
      <c r="Q168" s="24">
        <f>IF($A168="","",IFERROR(IF($O168="Scădere de venit",MAX(0,$F168-$E168),IF(OR($O168="Client pierdut",$O168="Client dormant",$O168="Fără activitate"),$F168,IF($O168="Marjă sub referință",MAX(0,$E168*('09_PARAMETRI'!$B$15-$I168)),$E168*0.15))),""))</f>
        <v/>
      </c>
      <c r="R168" s="48">
        <f>IF(OR($A168="",$E168="",N($E168)&lt;=0),"",$E168+ROW()/1000000)</f>
        <v/>
      </c>
    </row>
    <row r="169">
      <c r="A169" s="39">
        <f>IF('10_CLIENTI'!$A169="","",'10_CLIENTI'!$A169)</f>
        <v/>
      </c>
      <c r="B169" s="39">
        <f>IF($A169="","",IFERROR(INDEX('10_CLIENTI'!$B$5:$B$204,MATCH($A169,'10_CLIENTI'!$A$5:$A$204,0)),""))</f>
        <v/>
      </c>
      <c r="C169" s="39">
        <f>IF($A169="","",IFERROR(INDEX('10_CLIENTI'!$C$5:$C$204,MATCH($A169,'10_CLIENTI'!$A$5:$A$204,0)),""))</f>
        <v/>
      </c>
      <c r="D169" s="39">
        <f>IF($A169="","",IFERROR(INDEX('10_CLIENTI'!$G$5:$G$204,MATCH($A169,'10_CLIENTI'!$A$5:$A$204,0)),""))</f>
        <v/>
      </c>
      <c r="E169" s="24">
        <f>IF($A169="","",SUMIFS('13_VANZARI'!$H$5:$H$1004,'13_VANZARI'!$D$5:$D$1004,$A169,'13_VANZARI'!$A$5:$A$1004,"&gt;="&amp;'09_PARAMETRI'!$B$5,'13_VANZARI'!$A$5:$A$1004,"&lt;="&amp;'09_PARAMETRI'!$B$6))</f>
        <v/>
      </c>
      <c r="F169" s="24">
        <f>IF($A169="","",SUMIFS('13_VANZARI'!$H$5:$H$1004,'13_VANZARI'!$D$5:$D$1004,$A169,'13_VANZARI'!$A$5:$A$1004,"&gt;="&amp;'09_PARAMETRI'!$B$7,'13_VANZARI'!$A$5:$A$1004,"&lt;="&amp;'09_PARAMETRI'!$B$8))</f>
        <v/>
      </c>
      <c r="G169" s="25">
        <f>IF($A169="","",IFERROR(IF($F169=0,"",($E169-$F169)/ABS($F169)),""))</f>
        <v/>
      </c>
      <c r="H169" s="24">
        <f>IF($A169="","",SUMIFS('13_VANZARI'!$K$5:$K$1004,'13_VANZARI'!$D$5:$D$1004,$A169,'13_VANZARI'!$A$5:$A$1004,"&gt;="&amp;'09_PARAMETRI'!$B$5,'13_VANZARI'!$A$5:$A$1004,"&lt;="&amp;'09_PARAMETRI'!$B$6))</f>
        <v/>
      </c>
      <c r="I169" s="25">
        <f>IF($A169="","",IFERROR($H169/$E169,""))</f>
        <v/>
      </c>
      <c r="J169" s="25">
        <f>IF($A169="","",IFERROR($E169/SUMIFS('13_VANZARI'!$H$5:$H$1004,'13_VANZARI'!$A$5:$A$1004,"&gt;="&amp;'09_PARAMETRI'!$B$5,'13_VANZARI'!$A$5:$A$1004,"&lt;="&amp;'09_PARAMETRI'!$B$6),""))</f>
        <v/>
      </c>
      <c r="K169" s="36">
        <f>IF($A169="","",IFERROR(IF(SUMPRODUCT(MAX(('13_VANZARI'!$D$5:$D$1004=$A169)*('13_VANZARI'!$H$5:$H$1004&lt;&gt;"")*'13_VANZARI'!$A$5:$A$1004))=0,"",SUMPRODUCT(MAX(('13_VANZARI'!$D$5:$D$1004=$A169)*('13_VANZARI'!$H$5:$H$1004&lt;&gt;"")*'13_VANZARI'!$A$5:$A$1004))),""))</f>
        <v/>
      </c>
      <c r="L169" s="24">
        <f>IF(OR($A169="",$K169=""),"",'09_PARAMETRI'!$B$9-$K169)</f>
        <v/>
      </c>
      <c r="M169" s="24">
        <f>IF($A169="","",SUMPRODUCT(('11_PRODUSE'!$A$5:$A$104&lt;&gt;"")*(SUMIFS('13_VANZARI'!$H$5:$H$1004,'13_VANZARI'!$D$5:$D$1004,$A169,'13_VANZARI'!$E$5:$E$1004,'11_PRODUSE'!$A$5:$A$104,'13_VANZARI'!$A$5:$A$1004,"&gt;="&amp;'09_PARAMETRI'!$B$5,'13_VANZARI'!$A$5:$A$1004,"&lt;="&amp;'09_PARAMETRI'!$B$6)&lt;&gt;0)))</f>
        <v/>
      </c>
      <c r="N169" s="50">
        <f>IF($A169="","",IFERROR(AVERAGEIFS('15_NPS'!$F$5:$F$504,'15_NPS'!$C$5:$C$504,$A169,'15_NPS'!$B$5:$B$504,"&gt;="&amp;'09_PARAMETRI'!$B$5,'15_NPS'!$B$5:$B$504,"&lt;="&amp;'09_PARAMETRI'!$B$6),""))</f>
        <v/>
      </c>
      <c r="O169" s="39">
        <f>IF($A169="","",IF(AND($F169&gt;0,$E169=0),"Client pierdut",IF(AND($L169&lt;&gt;"",$L169&gt;'09_PARAMETRI'!$B$16,$F169&gt;0),"Client dormant",IF(AND($G169&lt;&gt;"",$G169&lt;='09_PARAMETRI'!$B$13),"Scădere de venit",IF(AND($N169&lt;&gt;"",$N169&lt;7),"Detractor activ",IF(AND($E169&gt;0,$J169&gt;'09_PARAMETRI'!$B$19),"Risc concentrare",IF(AND($E169&gt;0,$I169&lt;&gt;"",$I169&lt;'09_PARAMETRI'!$B$15),"Marjă sub referință",IF(AND($G169&lt;&gt;"",$G169&gt;='09_PARAMETRI'!$B$14),"În creștere",IF($E169=0,"Fără activitate","Stabil")))))))))</f>
        <v/>
      </c>
      <c r="P169" s="39">
        <f>IF($A169="","",IF($O169="Risc concentrare","Risc concentrare",IF($O169="Client pierdut","Recuperare client",IF($O169="Client dormant","Reactivare client",IF($O169="Scădere de venit","Recuperare client",IF($O169="Detractor activ","Recuperare NPS",IF($O169="Marjă sub referință","Marjă / preț",IF($O169="În creștere","Up-sell",IF($O169="Fără activitate","Reactivare client","Cross-sell")))))))))</f>
        <v/>
      </c>
      <c r="Q169" s="24">
        <f>IF($A169="","",IFERROR(IF($O169="Scădere de venit",MAX(0,$F169-$E169),IF(OR($O169="Client pierdut",$O169="Client dormant",$O169="Fără activitate"),$F169,IF($O169="Marjă sub referință",MAX(0,$E169*('09_PARAMETRI'!$B$15-$I169)),$E169*0.15))),""))</f>
        <v/>
      </c>
      <c r="R169" s="48">
        <f>IF(OR($A169="",$E169="",N($E169)&lt;=0),"",$E169+ROW()/1000000)</f>
        <v/>
      </c>
    </row>
    <row r="170">
      <c r="A170" s="39">
        <f>IF('10_CLIENTI'!$A170="","",'10_CLIENTI'!$A170)</f>
        <v/>
      </c>
      <c r="B170" s="39">
        <f>IF($A170="","",IFERROR(INDEX('10_CLIENTI'!$B$5:$B$204,MATCH($A170,'10_CLIENTI'!$A$5:$A$204,0)),""))</f>
        <v/>
      </c>
      <c r="C170" s="39">
        <f>IF($A170="","",IFERROR(INDEX('10_CLIENTI'!$C$5:$C$204,MATCH($A170,'10_CLIENTI'!$A$5:$A$204,0)),""))</f>
        <v/>
      </c>
      <c r="D170" s="39">
        <f>IF($A170="","",IFERROR(INDEX('10_CLIENTI'!$G$5:$G$204,MATCH($A170,'10_CLIENTI'!$A$5:$A$204,0)),""))</f>
        <v/>
      </c>
      <c r="E170" s="24">
        <f>IF($A170="","",SUMIFS('13_VANZARI'!$H$5:$H$1004,'13_VANZARI'!$D$5:$D$1004,$A170,'13_VANZARI'!$A$5:$A$1004,"&gt;="&amp;'09_PARAMETRI'!$B$5,'13_VANZARI'!$A$5:$A$1004,"&lt;="&amp;'09_PARAMETRI'!$B$6))</f>
        <v/>
      </c>
      <c r="F170" s="24">
        <f>IF($A170="","",SUMIFS('13_VANZARI'!$H$5:$H$1004,'13_VANZARI'!$D$5:$D$1004,$A170,'13_VANZARI'!$A$5:$A$1004,"&gt;="&amp;'09_PARAMETRI'!$B$7,'13_VANZARI'!$A$5:$A$1004,"&lt;="&amp;'09_PARAMETRI'!$B$8))</f>
        <v/>
      </c>
      <c r="G170" s="25">
        <f>IF($A170="","",IFERROR(IF($F170=0,"",($E170-$F170)/ABS($F170)),""))</f>
        <v/>
      </c>
      <c r="H170" s="24">
        <f>IF($A170="","",SUMIFS('13_VANZARI'!$K$5:$K$1004,'13_VANZARI'!$D$5:$D$1004,$A170,'13_VANZARI'!$A$5:$A$1004,"&gt;="&amp;'09_PARAMETRI'!$B$5,'13_VANZARI'!$A$5:$A$1004,"&lt;="&amp;'09_PARAMETRI'!$B$6))</f>
        <v/>
      </c>
      <c r="I170" s="25">
        <f>IF($A170="","",IFERROR($H170/$E170,""))</f>
        <v/>
      </c>
      <c r="J170" s="25">
        <f>IF($A170="","",IFERROR($E170/SUMIFS('13_VANZARI'!$H$5:$H$1004,'13_VANZARI'!$A$5:$A$1004,"&gt;="&amp;'09_PARAMETRI'!$B$5,'13_VANZARI'!$A$5:$A$1004,"&lt;="&amp;'09_PARAMETRI'!$B$6),""))</f>
        <v/>
      </c>
      <c r="K170" s="36">
        <f>IF($A170="","",IFERROR(IF(SUMPRODUCT(MAX(('13_VANZARI'!$D$5:$D$1004=$A170)*('13_VANZARI'!$H$5:$H$1004&lt;&gt;"")*'13_VANZARI'!$A$5:$A$1004))=0,"",SUMPRODUCT(MAX(('13_VANZARI'!$D$5:$D$1004=$A170)*('13_VANZARI'!$H$5:$H$1004&lt;&gt;"")*'13_VANZARI'!$A$5:$A$1004))),""))</f>
        <v/>
      </c>
      <c r="L170" s="24">
        <f>IF(OR($A170="",$K170=""),"",'09_PARAMETRI'!$B$9-$K170)</f>
        <v/>
      </c>
      <c r="M170" s="24">
        <f>IF($A170="","",SUMPRODUCT(('11_PRODUSE'!$A$5:$A$104&lt;&gt;"")*(SUMIFS('13_VANZARI'!$H$5:$H$1004,'13_VANZARI'!$D$5:$D$1004,$A170,'13_VANZARI'!$E$5:$E$1004,'11_PRODUSE'!$A$5:$A$104,'13_VANZARI'!$A$5:$A$1004,"&gt;="&amp;'09_PARAMETRI'!$B$5,'13_VANZARI'!$A$5:$A$1004,"&lt;="&amp;'09_PARAMETRI'!$B$6)&lt;&gt;0)))</f>
        <v/>
      </c>
      <c r="N170" s="50">
        <f>IF($A170="","",IFERROR(AVERAGEIFS('15_NPS'!$F$5:$F$504,'15_NPS'!$C$5:$C$504,$A170,'15_NPS'!$B$5:$B$504,"&gt;="&amp;'09_PARAMETRI'!$B$5,'15_NPS'!$B$5:$B$504,"&lt;="&amp;'09_PARAMETRI'!$B$6),""))</f>
        <v/>
      </c>
      <c r="O170" s="39">
        <f>IF($A170="","",IF(AND($F170&gt;0,$E170=0),"Client pierdut",IF(AND($L170&lt;&gt;"",$L170&gt;'09_PARAMETRI'!$B$16,$F170&gt;0),"Client dormant",IF(AND($G170&lt;&gt;"",$G170&lt;='09_PARAMETRI'!$B$13),"Scădere de venit",IF(AND($N170&lt;&gt;"",$N170&lt;7),"Detractor activ",IF(AND($E170&gt;0,$J170&gt;'09_PARAMETRI'!$B$19),"Risc concentrare",IF(AND($E170&gt;0,$I170&lt;&gt;"",$I170&lt;'09_PARAMETRI'!$B$15),"Marjă sub referință",IF(AND($G170&lt;&gt;"",$G170&gt;='09_PARAMETRI'!$B$14),"În creștere",IF($E170=0,"Fără activitate","Stabil")))))))))</f>
        <v/>
      </c>
      <c r="P170" s="39">
        <f>IF($A170="","",IF($O170="Risc concentrare","Risc concentrare",IF($O170="Client pierdut","Recuperare client",IF($O170="Client dormant","Reactivare client",IF($O170="Scădere de venit","Recuperare client",IF($O170="Detractor activ","Recuperare NPS",IF($O170="Marjă sub referință","Marjă / preț",IF($O170="În creștere","Up-sell",IF($O170="Fără activitate","Reactivare client","Cross-sell")))))))))</f>
        <v/>
      </c>
      <c r="Q170" s="24">
        <f>IF($A170="","",IFERROR(IF($O170="Scădere de venit",MAX(0,$F170-$E170),IF(OR($O170="Client pierdut",$O170="Client dormant",$O170="Fără activitate"),$F170,IF($O170="Marjă sub referință",MAX(0,$E170*('09_PARAMETRI'!$B$15-$I170)),$E170*0.15))),""))</f>
        <v/>
      </c>
      <c r="R170" s="48">
        <f>IF(OR($A170="",$E170="",N($E170)&lt;=0),"",$E170+ROW()/1000000)</f>
        <v/>
      </c>
    </row>
    <row r="171">
      <c r="A171" s="39">
        <f>IF('10_CLIENTI'!$A171="","",'10_CLIENTI'!$A171)</f>
        <v/>
      </c>
      <c r="B171" s="39">
        <f>IF($A171="","",IFERROR(INDEX('10_CLIENTI'!$B$5:$B$204,MATCH($A171,'10_CLIENTI'!$A$5:$A$204,0)),""))</f>
        <v/>
      </c>
      <c r="C171" s="39">
        <f>IF($A171="","",IFERROR(INDEX('10_CLIENTI'!$C$5:$C$204,MATCH($A171,'10_CLIENTI'!$A$5:$A$204,0)),""))</f>
        <v/>
      </c>
      <c r="D171" s="39">
        <f>IF($A171="","",IFERROR(INDEX('10_CLIENTI'!$G$5:$G$204,MATCH($A171,'10_CLIENTI'!$A$5:$A$204,0)),""))</f>
        <v/>
      </c>
      <c r="E171" s="24">
        <f>IF($A171="","",SUMIFS('13_VANZARI'!$H$5:$H$1004,'13_VANZARI'!$D$5:$D$1004,$A171,'13_VANZARI'!$A$5:$A$1004,"&gt;="&amp;'09_PARAMETRI'!$B$5,'13_VANZARI'!$A$5:$A$1004,"&lt;="&amp;'09_PARAMETRI'!$B$6))</f>
        <v/>
      </c>
      <c r="F171" s="24">
        <f>IF($A171="","",SUMIFS('13_VANZARI'!$H$5:$H$1004,'13_VANZARI'!$D$5:$D$1004,$A171,'13_VANZARI'!$A$5:$A$1004,"&gt;="&amp;'09_PARAMETRI'!$B$7,'13_VANZARI'!$A$5:$A$1004,"&lt;="&amp;'09_PARAMETRI'!$B$8))</f>
        <v/>
      </c>
      <c r="G171" s="25">
        <f>IF($A171="","",IFERROR(IF($F171=0,"",($E171-$F171)/ABS($F171)),""))</f>
        <v/>
      </c>
      <c r="H171" s="24">
        <f>IF($A171="","",SUMIFS('13_VANZARI'!$K$5:$K$1004,'13_VANZARI'!$D$5:$D$1004,$A171,'13_VANZARI'!$A$5:$A$1004,"&gt;="&amp;'09_PARAMETRI'!$B$5,'13_VANZARI'!$A$5:$A$1004,"&lt;="&amp;'09_PARAMETRI'!$B$6))</f>
        <v/>
      </c>
      <c r="I171" s="25">
        <f>IF($A171="","",IFERROR($H171/$E171,""))</f>
        <v/>
      </c>
      <c r="J171" s="25">
        <f>IF($A171="","",IFERROR($E171/SUMIFS('13_VANZARI'!$H$5:$H$1004,'13_VANZARI'!$A$5:$A$1004,"&gt;="&amp;'09_PARAMETRI'!$B$5,'13_VANZARI'!$A$5:$A$1004,"&lt;="&amp;'09_PARAMETRI'!$B$6),""))</f>
        <v/>
      </c>
      <c r="K171" s="36">
        <f>IF($A171="","",IFERROR(IF(SUMPRODUCT(MAX(('13_VANZARI'!$D$5:$D$1004=$A171)*('13_VANZARI'!$H$5:$H$1004&lt;&gt;"")*'13_VANZARI'!$A$5:$A$1004))=0,"",SUMPRODUCT(MAX(('13_VANZARI'!$D$5:$D$1004=$A171)*('13_VANZARI'!$H$5:$H$1004&lt;&gt;"")*'13_VANZARI'!$A$5:$A$1004))),""))</f>
        <v/>
      </c>
      <c r="L171" s="24">
        <f>IF(OR($A171="",$K171=""),"",'09_PARAMETRI'!$B$9-$K171)</f>
        <v/>
      </c>
      <c r="M171" s="24">
        <f>IF($A171="","",SUMPRODUCT(('11_PRODUSE'!$A$5:$A$104&lt;&gt;"")*(SUMIFS('13_VANZARI'!$H$5:$H$1004,'13_VANZARI'!$D$5:$D$1004,$A171,'13_VANZARI'!$E$5:$E$1004,'11_PRODUSE'!$A$5:$A$104,'13_VANZARI'!$A$5:$A$1004,"&gt;="&amp;'09_PARAMETRI'!$B$5,'13_VANZARI'!$A$5:$A$1004,"&lt;="&amp;'09_PARAMETRI'!$B$6)&lt;&gt;0)))</f>
        <v/>
      </c>
      <c r="N171" s="50">
        <f>IF($A171="","",IFERROR(AVERAGEIFS('15_NPS'!$F$5:$F$504,'15_NPS'!$C$5:$C$504,$A171,'15_NPS'!$B$5:$B$504,"&gt;="&amp;'09_PARAMETRI'!$B$5,'15_NPS'!$B$5:$B$504,"&lt;="&amp;'09_PARAMETRI'!$B$6),""))</f>
        <v/>
      </c>
      <c r="O171" s="39">
        <f>IF($A171="","",IF(AND($F171&gt;0,$E171=0),"Client pierdut",IF(AND($L171&lt;&gt;"",$L171&gt;'09_PARAMETRI'!$B$16,$F171&gt;0),"Client dormant",IF(AND($G171&lt;&gt;"",$G171&lt;='09_PARAMETRI'!$B$13),"Scădere de venit",IF(AND($N171&lt;&gt;"",$N171&lt;7),"Detractor activ",IF(AND($E171&gt;0,$J171&gt;'09_PARAMETRI'!$B$19),"Risc concentrare",IF(AND($E171&gt;0,$I171&lt;&gt;"",$I171&lt;'09_PARAMETRI'!$B$15),"Marjă sub referință",IF(AND($G171&lt;&gt;"",$G171&gt;='09_PARAMETRI'!$B$14),"În creștere",IF($E171=0,"Fără activitate","Stabil")))))))))</f>
        <v/>
      </c>
      <c r="P171" s="39">
        <f>IF($A171="","",IF($O171="Risc concentrare","Risc concentrare",IF($O171="Client pierdut","Recuperare client",IF($O171="Client dormant","Reactivare client",IF($O171="Scădere de venit","Recuperare client",IF($O171="Detractor activ","Recuperare NPS",IF($O171="Marjă sub referință","Marjă / preț",IF($O171="În creștere","Up-sell",IF($O171="Fără activitate","Reactivare client","Cross-sell")))))))))</f>
        <v/>
      </c>
      <c r="Q171" s="24">
        <f>IF($A171="","",IFERROR(IF($O171="Scădere de venit",MAX(0,$F171-$E171),IF(OR($O171="Client pierdut",$O171="Client dormant",$O171="Fără activitate"),$F171,IF($O171="Marjă sub referință",MAX(0,$E171*('09_PARAMETRI'!$B$15-$I171)),$E171*0.15))),""))</f>
        <v/>
      </c>
      <c r="R171" s="48">
        <f>IF(OR($A171="",$E171="",N($E171)&lt;=0),"",$E171+ROW()/1000000)</f>
        <v/>
      </c>
    </row>
    <row r="172">
      <c r="A172" s="39">
        <f>IF('10_CLIENTI'!$A172="","",'10_CLIENTI'!$A172)</f>
        <v/>
      </c>
      <c r="B172" s="39">
        <f>IF($A172="","",IFERROR(INDEX('10_CLIENTI'!$B$5:$B$204,MATCH($A172,'10_CLIENTI'!$A$5:$A$204,0)),""))</f>
        <v/>
      </c>
      <c r="C172" s="39">
        <f>IF($A172="","",IFERROR(INDEX('10_CLIENTI'!$C$5:$C$204,MATCH($A172,'10_CLIENTI'!$A$5:$A$204,0)),""))</f>
        <v/>
      </c>
      <c r="D172" s="39">
        <f>IF($A172="","",IFERROR(INDEX('10_CLIENTI'!$G$5:$G$204,MATCH($A172,'10_CLIENTI'!$A$5:$A$204,0)),""))</f>
        <v/>
      </c>
      <c r="E172" s="24">
        <f>IF($A172="","",SUMIFS('13_VANZARI'!$H$5:$H$1004,'13_VANZARI'!$D$5:$D$1004,$A172,'13_VANZARI'!$A$5:$A$1004,"&gt;="&amp;'09_PARAMETRI'!$B$5,'13_VANZARI'!$A$5:$A$1004,"&lt;="&amp;'09_PARAMETRI'!$B$6))</f>
        <v/>
      </c>
      <c r="F172" s="24">
        <f>IF($A172="","",SUMIFS('13_VANZARI'!$H$5:$H$1004,'13_VANZARI'!$D$5:$D$1004,$A172,'13_VANZARI'!$A$5:$A$1004,"&gt;="&amp;'09_PARAMETRI'!$B$7,'13_VANZARI'!$A$5:$A$1004,"&lt;="&amp;'09_PARAMETRI'!$B$8))</f>
        <v/>
      </c>
      <c r="G172" s="25">
        <f>IF($A172="","",IFERROR(IF($F172=0,"",($E172-$F172)/ABS($F172)),""))</f>
        <v/>
      </c>
      <c r="H172" s="24">
        <f>IF($A172="","",SUMIFS('13_VANZARI'!$K$5:$K$1004,'13_VANZARI'!$D$5:$D$1004,$A172,'13_VANZARI'!$A$5:$A$1004,"&gt;="&amp;'09_PARAMETRI'!$B$5,'13_VANZARI'!$A$5:$A$1004,"&lt;="&amp;'09_PARAMETRI'!$B$6))</f>
        <v/>
      </c>
      <c r="I172" s="25">
        <f>IF($A172="","",IFERROR($H172/$E172,""))</f>
        <v/>
      </c>
      <c r="J172" s="25">
        <f>IF($A172="","",IFERROR($E172/SUMIFS('13_VANZARI'!$H$5:$H$1004,'13_VANZARI'!$A$5:$A$1004,"&gt;="&amp;'09_PARAMETRI'!$B$5,'13_VANZARI'!$A$5:$A$1004,"&lt;="&amp;'09_PARAMETRI'!$B$6),""))</f>
        <v/>
      </c>
      <c r="K172" s="36">
        <f>IF($A172="","",IFERROR(IF(SUMPRODUCT(MAX(('13_VANZARI'!$D$5:$D$1004=$A172)*('13_VANZARI'!$H$5:$H$1004&lt;&gt;"")*'13_VANZARI'!$A$5:$A$1004))=0,"",SUMPRODUCT(MAX(('13_VANZARI'!$D$5:$D$1004=$A172)*('13_VANZARI'!$H$5:$H$1004&lt;&gt;"")*'13_VANZARI'!$A$5:$A$1004))),""))</f>
        <v/>
      </c>
      <c r="L172" s="24">
        <f>IF(OR($A172="",$K172=""),"",'09_PARAMETRI'!$B$9-$K172)</f>
        <v/>
      </c>
      <c r="M172" s="24">
        <f>IF($A172="","",SUMPRODUCT(('11_PRODUSE'!$A$5:$A$104&lt;&gt;"")*(SUMIFS('13_VANZARI'!$H$5:$H$1004,'13_VANZARI'!$D$5:$D$1004,$A172,'13_VANZARI'!$E$5:$E$1004,'11_PRODUSE'!$A$5:$A$104,'13_VANZARI'!$A$5:$A$1004,"&gt;="&amp;'09_PARAMETRI'!$B$5,'13_VANZARI'!$A$5:$A$1004,"&lt;="&amp;'09_PARAMETRI'!$B$6)&lt;&gt;0)))</f>
        <v/>
      </c>
      <c r="N172" s="50">
        <f>IF($A172="","",IFERROR(AVERAGEIFS('15_NPS'!$F$5:$F$504,'15_NPS'!$C$5:$C$504,$A172,'15_NPS'!$B$5:$B$504,"&gt;="&amp;'09_PARAMETRI'!$B$5,'15_NPS'!$B$5:$B$504,"&lt;="&amp;'09_PARAMETRI'!$B$6),""))</f>
        <v/>
      </c>
      <c r="O172" s="39">
        <f>IF($A172="","",IF(AND($F172&gt;0,$E172=0),"Client pierdut",IF(AND($L172&lt;&gt;"",$L172&gt;'09_PARAMETRI'!$B$16,$F172&gt;0),"Client dormant",IF(AND($G172&lt;&gt;"",$G172&lt;='09_PARAMETRI'!$B$13),"Scădere de venit",IF(AND($N172&lt;&gt;"",$N172&lt;7),"Detractor activ",IF(AND($E172&gt;0,$J172&gt;'09_PARAMETRI'!$B$19),"Risc concentrare",IF(AND($E172&gt;0,$I172&lt;&gt;"",$I172&lt;'09_PARAMETRI'!$B$15),"Marjă sub referință",IF(AND($G172&lt;&gt;"",$G172&gt;='09_PARAMETRI'!$B$14),"În creștere",IF($E172=0,"Fără activitate","Stabil")))))))))</f>
        <v/>
      </c>
      <c r="P172" s="39">
        <f>IF($A172="","",IF($O172="Risc concentrare","Risc concentrare",IF($O172="Client pierdut","Recuperare client",IF($O172="Client dormant","Reactivare client",IF($O172="Scădere de venit","Recuperare client",IF($O172="Detractor activ","Recuperare NPS",IF($O172="Marjă sub referință","Marjă / preț",IF($O172="În creștere","Up-sell",IF($O172="Fără activitate","Reactivare client","Cross-sell")))))))))</f>
        <v/>
      </c>
      <c r="Q172" s="24">
        <f>IF($A172="","",IFERROR(IF($O172="Scădere de venit",MAX(0,$F172-$E172),IF(OR($O172="Client pierdut",$O172="Client dormant",$O172="Fără activitate"),$F172,IF($O172="Marjă sub referință",MAX(0,$E172*('09_PARAMETRI'!$B$15-$I172)),$E172*0.15))),""))</f>
        <v/>
      </c>
      <c r="R172" s="48">
        <f>IF(OR($A172="",$E172="",N($E172)&lt;=0),"",$E172+ROW()/1000000)</f>
        <v/>
      </c>
    </row>
    <row r="173">
      <c r="A173" s="39">
        <f>IF('10_CLIENTI'!$A173="","",'10_CLIENTI'!$A173)</f>
        <v/>
      </c>
      <c r="B173" s="39">
        <f>IF($A173="","",IFERROR(INDEX('10_CLIENTI'!$B$5:$B$204,MATCH($A173,'10_CLIENTI'!$A$5:$A$204,0)),""))</f>
        <v/>
      </c>
      <c r="C173" s="39">
        <f>IF($A173="","",IFERROR(INDEX('10_CLIENTI'!$C$5:$C$204,MATCH($A173,'10_CLIENTI'!$A$5:$A$204,0)),""))</f>
        <v/>
      </c>
      <c r="D173" s="39">
        <f>IF($A173="","",IFERROR(INDEX('10_CLIENTI'!$G$5:$G$204,MATCH($A173,'10_CLIENTI'!$A$5:$A$204,0)),""))</f>
        <v/>
      </c>
      <c r="E173" s="24">
        <f>IF($A173="","",SUMIFS('13_VANZARI'!$H$5:$H$1004,'13_VANZARI'!$D$5:$D$1004,$A173,'13_VANZARI'!$A$5:$A$1004,"&gt;="&amp;'09_PARAMETRI'!$B$5,'13_VANZARI'!$A$5:$A$1004,"&lt;="&amp;'09_PARAMETRI'!$B$6))</f>
        <v/>
      </c>
      <c r="F173" s="24">
        <f>IF($A173="","",SUMIFS('13_VANZARI'!$H$5:$H$1004,'13_VANZARI'!$D$5:$D$1004,$A173,'13_VANZARI'!$A$5:$A$1004,"&gt;="&amp;'09_PARAMETRI'!$B$7,'13_VANZARI'!$A$5:$A$1004,"&lt;="&amp;'09_PARAMETRI'!$B$8))</f>
        <v/>
      </c>
      <c r="G173" s="25">
        <f>IF($A173="","",IFERROR(IF($F173=0,"",($E173-$F173)/ABS($F173)),""))</f>
        <v/>
      </c>
      <c r="H173" s="24">
        <f>IF($A173="","",SUMIFS('13_VANZARI'!$K$5:$K$1004,'13_VANZARI'!$D$5:$D$1004,$A173,'13_VANZARI'!$A$5:$A$1004,"&gt;="&amp;'09_PARAMETRI'!$B$5,'13_VANZARI'!$A$5:$A$1004,"&lt;="&amp;'09_PARAMETRI'!$B$6))</f>
        <v/>
      </c>
      <c r="I173" s="25">
        <f>IF($A173="","",IFERROR($H173/$E173,""))</f>
        <v/>
      </c>
      <c r="J173" s="25">
        <f>IF($A173="","",IFERROR($E173/SUMIFS('13_VANZARI'!$H$5:$H$1004,'13_VANZARI'!$A$5:$A$1004,"&gt;="&amp;'09_PARAMETRI'!$B$5,'13_VANZARI'!$A$5:$A$1004,"&lt;="&amp;'09_PARAMETRI'!$B$6),""))</f>
        <v/>
      </c>
      <c r="K173" s="36">
        <f>IF($A173="","",IFERROR(IF(SUMPRODUCT(MAX(('13_VANZARI'!$D$5:$D$1004=$A173)*('13_VANZARI'!$H$5:$H$1004&lt;&gt;"")*'13_VANZARI'!$A$5:$A$1004))=0,"",SUMPRODUCT(MAX(('13_VANZARI'!$D$5:$D$1004=$A173)*('13_VANZARI'!$H$5:$H$1004&lt;&gt;"")*'13_VANZARI'!$A$5:$A$1004))),""))</f>
        <v/>
      </c>
      <c r="L173" s="24">
        <f>IF(OR($A173="",$K173=""),"",'09_PARAMETRI'!$B$9-$K173)</f>
        <v/>
      </c>
      <c r="M173" s="24">
        <f>IF($A173="","",SUMPRODUCT(('11_PRODUSE'!$A$5:$A$104&lt;&gt;"")*(SUMIFS('13_VANZARI'!$H$5:$H$1004,'13_VANZARI'!$D$5:$D$1004,$A173,'13_VANZARI'!$E$5:$E$1004,'11_PRODUSE'!$A$5:$A$104,'13_VANZARI'!$A$5:$A$1004,"&gt;="&amp;'09_PARAMETRI'!$B$5,'13_VANZARI'!$A$5:$A$1004,"&lt;="&amp;'09_PARAMETRI'!$B$6)&lt;&gt;0)))</f>
        <v/>
      </c>
      <c r="N173" s="50">
        <f>IF($A173="","",IFERROR(AVERAGEIFS('15_NPS'!$F$5:$F$504,'15_NPS'!$C$5:$C$504,$A173,'15_NPS'!$B$5:$B$504,"&gt;="&amp;'09_PARAMETRI'!$B$5,'15_NPS'!$B$5:$B$504,"&lt;="&amp;'09_PARAMETRI'!$B$6),""))</f>
        <v/>
      </c>
      <c r="O173" s="39">
        <f>IF($A173="","",IF(AND($F173&gt;0,$E173=0),"Client pierdut",IF(AND($L173&lt;&gt;"",$L173&gt;'09_PARAMETRI'!$B$16,$F173&gt;0),"Client dormant",IF(AND($G173&lt;&gt;"",$G173&lt;='09_PARAMETRI'!$B$13),"Scădere de venit",IF(AND($N173&lt;&gt;"",$N173&lt;7),"Detractor activ",IF(AND($E173&gt;0,$J173&gt;'09_PARAMETRI'!$B$19),"Risc concentrare",IF(AND($E173&gt;0,$I173&lt;&gt;"",$I173&lt;'09_PARAMETRI'!$B$15),"Marjă sub referință",IF(AND($G173&lt;&gt;"",$G173&gt;='09_PARAMETRI'!$B$14),"În creștere",IF($E173=0,"Fără activitate","Stabil")))))))))</f>
        <v/>
      </c>
      <c r="P173" s="39">
        <f>IF($A173="","",IF($O173="Risc concentrare","Risc concentrare",IF($O173="Client pierdut","Recuperare client",IF($O173="Client dormant","Reactivare client",IF($O173="Scădere de venit","Recuperare client",IF($O173="Detractor activ","Recuperare NPS",IF($O173="Marjă sub referință","Marjă / preț",IF($O173="În creștere","Up-sell",IF($O173="Fără activitate","Reactivare client","Cross-sell")))))))))</f>
        <v/>
      </c>
      <c r="Q173" s="24">
        <f>IF($A173="","",IFERROR(IF($O173="Scădere de venit",MAX(0,$F173-$E173),IF(OR($O173="Client pierdut",$O173="Client dormant",$O173="Fără activitate"),$F173,IF($O173="Marjă sub referință",MAX(0,$E173*('09_PARAMETRI'!$B$15-$I173)),$E173*0.15))),""))</f>
        <v/>
      </c>
      <c r="R173" s="48">
        <f>IF(OR($A173="",$E173="",N($E173)&lt;=0),"",$E173+ROW()/1000000)</f>
        <v/>
      </c>
    </row>
    <row r="174">
      <c r="A174" s="39">
        <f>IF('10_CLIENTI'!$A174="","",'10_CLIENTI'!$A174)</f>
        <v/>
      </c>
      <c r="B174" s="39">
        <f>IF($A174="","",IFERROR(INDEX('10_CLIENTI'!$B$5:$B$204,MATCH($A174,'10_CLIENTI'!$A$5:$A$204,0)),""))</f>
        <v/>
      </c>
      <c r="C174" s="39">
        <f>IF($A174="","",IFERROR(INDEX('10_CLIENTI'!$C$5:$C$204,MATCH($A174,'10_CLIENTI'!$A$5:$A$204,0)),""))</f>
        <v/>
      </c>
      <c r="D174" s="39">
        <f>IF($A174="","",IFERROR(INDEX('10_CLIENTI'!$G$5:$G$204,MATCH($A174,'10_CLIENTI'!$A$5:$A$204,0)),""))</f>
        <v/>
      </c>
      <c r="E174" s="24">
        <f>IF($A174="","",SUMIFS('13_VANZARI'!$H$5:$H$1004,'13_VANZARI'!$D$5:$D$1004,$A174,'13_VANZARI'!$A$5:$A$1004,"&gt;="&amp;'09_PARAMETRI'!$B$5,'13_VANZARI'!$A$5:$A$1004,"&lt;="&amp;'09_PARAMETRI'!$B$6))</f>
        <v/>
      </c>
      <c r="F174" s="24">
        <f>IF($A174="","",SUMIFS('13_VANZARI'!$H$5:$H$1004,'13_VANZARI'!$D$5:$D$1004,$A174,'13_VANZARI'!$A$5:$A$1004,"&gt;="&amp;'09_PARAMETRI'!$B$7,'13_VANZARI'!$A$5:$A$1004,"&lt;="&amp;'09_PARAMETRI'!$B$8))</f>
        <v/>
      </c>
      <c r="G174" s="25">
        <f>IF($A174="","",IFERROR(IF($F174=0,"",($E174-$F174)/ABS($F174)),""))</f>
        <v/>
      </c>
      <c r="H174" s="24">
        <f>IF($A174="","",SUMIFS('13_VANZARI'!$K$5:$K$1004,'13_VANZARI'!$D$5:$D$1004,$A174,'13_VANZARI'!$A$5:$A$1004,"&gt;="&amp;'09_PARAMETRI'!$B$5,'13_VANZARI'!$A$5:$A$1004,"&lt;="&amp;'09_PARAMETRI'!$B$6))</f>
        <v/>
      </c>
      <c r="I174" s="25">
        <f>IF($A174="","",IFERROR($H174/$E174,""))</f>
        <v/>
      </c>
      <c r="J174" s="25">
        <f>IF($A174="","",IFERROR($E174/SUMIFS('13_VANZARI'!$H$5:$H$1004,'13_VANZARI'!$A$5:$A$1004,"&gt;="&amp;'09_PARAMETRI'!$B$5,'13_VANZARI'!$A$5:$A$1004,"&lt;="&amp;'09_PARAMETRI'!$B$6),""))</f>
        <v/>
      </c>
      <c r="K174" s="36">
        <f>IF($A174="","",IFERROR(IF(SUMPRODUCT(MAX(('13_VANZARI'!$D$5:$D$1004=$A174)*('13_VANZARI'!$H$5:$H$1004&lt;&gt;"")*'13_VANZARI'!$A$5:$A$1004))=0,"",SUMPRODUCT(MAX(('13_VANZARI'!$D$5:$D$1004=$A174)*('13_VANZARI'!$H$5:$H$1004&lt;&gt;"")*'13_VANZARI'!$A$5:$A$1004))),""))</f>
        <v/>
      </c>
      <c r="L174" s="24">
        <f>IF(OR($A174="",$K174=""),"",'09_PARAMETRI'!$B$9-$K174)</f>
        <v/>
      </c>
      <c r="M174" s="24">
        <f>IF($A174="","",SUMPRODUCT(('11_PRODUSE'!$A$5:$A$104&lt;&gt;"")*(SUMIFS('13_VANZARI'!$H$5:$H$1004,'13_VANZARI'!$D$5:$D$1004,$A174,'13_VANZARI'!$E$5:$E$1004,'11_PRODUSE'!$A$5:$A$104,'13_VANZARI'!$A$5:$A$1004,"&gt;="&amp;'09_PARAMETRI'!$B$5,'13_VANZARI'!$A$5:$A$1004,"&lt;="&amp;'09_PARAMETRI'!$B$6)&lt;&gt;0)))</f>
        <v/>
      </c>
      <c r="N174" s="50">
        <f>IF($A174="","",IFERROR(AVERAGEIFS('15_NPS'!$F$5:$F$504,'15_NPS'!$C$5:$C$504,$A174,'15_NPS'!$B$5:$B$504,"&gt;="&amp;'09_PARAMETRI'!$B$5,'15_NPS'!$B$5:$B$504,"&lt;="&amp;'09_PARAMETRI'!$B$6),""))</f>
        <v/>
      </c>
      <c r="O174" s="39">
        <f>IF($A174="","",IF(AND($F174&gt;0,$E174=0),"Client pierdut",IF(AND($L174&lt;&gt;"",$L174&gt;'09_PARAMETRI'!$B$16,$F174&gt;0),"Client dormant",IF(AND($G174&lt;&gt;"",$G174&lt;='09_PARAMETRI'!$B$13),"Scădere de venit",IF(AND($N174&lt;&gt;"",$N174&lt;7),"Detractor activ",IF(AND($E174&gt;0,$J174&gt;'09_PARAMETRI'!$B$19),"Risc concentrare",IF(AND($E174&gt;0,$I174&lt;&gt;"",$I174&lt;'09_PARAMETRI'!$B$15),"Marjă sub referință",IF(AND($G174&lt;&gt;"",$G174&gt;='09_PARAMETRI'!$B$14),"În creștere",IF($E174=0,"Fără activitate","Stabil")))))))))</f>
        <v/>
      </c>
      <c r="P174" s="39">
        <f>IF($A174="","",IF($O174="Risc concentrare","Risc concentrare",IF($O174="Client pierdut","Recuperare client",IF($O174="Client dormant","Reactivare client",IF($O174="Scădere de venit","Recuperare client",IF($O174="Detractor activ","Recuperare NPS",IF($O174="Marjă sub referință","Marjă / preț",IF($O174="În creștere","Up-sell",IF($O174="Fără activitate","Reactivare client","Cross-sell")))))))))</f>
        <v/>
      </c>
      <c r="Q174" s="24">
        <f>IF($A174="","",IFERROR(IF($O174="Scădere de venit",MAX(0,$F174-$E174),IF(OR($O174="Client pierdut",$O174="Client dormant",$O174="Fără activitate"),$F174,IF($O174="Marjă sub referință",MAX(0,$E174*('09_PARAMETRI'!$B$15-$I174)),$E174*0.15))),""))</f>
        <v/>
      </c>
      <c r="R174" s="48">
        <f>IF(OR($A174="",$E174="",N($E174)&lt;=0),"",$E174+ROW()/1000000)</f>
        <v/>
      </c>
    </row>
    <row r="175">
      <c r="A175" s="39">
        <f>IF('10_CLIENTI'!$A175="","",'10_CLIENTI'!$A175)</f>
        <v/>
      </c>
      <c r="B175" s="39">
        <f>IF($A175="","",IFERROR(INDEX('10_CLIENTI'!$B$5:$B$204,MATCH($A175,'10_CLIENTI'!$A$5:$A$204,0)),""))</f>
        <v/>
      </c>
      <c r="C175" s="39">
        <f>IF($A175="","",IFERROR(INDEX('10_CLIENTI'!$C$5:$C$204,MATCH($A175,'10_CLIENTI'!$A$5:$A$204,0)),""))</f>
        <v/>
      </c>
      <c r="D175" s="39">
        <f>IF($A175="","",IFERROR(INDEX('10_CLIENTI'!$G$5:$G$204,MATCH($A175,'10_CLIENTI'!$A$5:$A$204,0)),""))</f>
        <v/>
      </c>
      <c r="E175" s="24">
        <f>IF($A175="","",SUMIFS('13_VANZARI'!$H$5:$H$1004,'13_VANZARI'!$D$5:$D$1004,$A175,'13_VANZARI'!$A$5:$A$1004,"&gt;="&amp;'09_PARAMETRI'!$B$5,'13_VANZARI'!$A$5:$A$1004,"&lt;="&amp;'09_PARAMETRI'!$B$6))</f>
        <v/>
      </c>
      <c r="F175" s="24">
        <f>IF($A175="","",SUMIFS('13_VANZARI'!$H$5:$H$1004,'13_VANZARI'!$D$5:$D$1004,$A175,'13_VANZARI'!$A$5:$A$1004,"&gt;="&amp;'09_PARAMETRI'!$B$7,'13_VANZARI'!$A$5:$A$1004,"&lt;="&amp;'09_PARAMETRI'!$B$8))</f>
        <v/>
      </c>
      <c r="G175" s="25">
        <f>IF($A175="","",IFERROR(IF($F175=0,"",($E175-$F175)/ABS($F175)),""))</f>
        <v/>
      </c>
      <c r="H175" s="24">
        <f>IF($A175="","",SUMIFS('13_VANZARI'!$K$5:$K$1004,'13_VANZARI'!$D$5:$D$1004,$A175,'13_VANZARI'!$A$5:$A$1004,"&gt;="&amp;'09_PARAMETRI'!$B$5,'13_VANZARI'!$A$5:$A$1004,"&lt;="&amp;'09_PARAMETRI'!$B$6))</f>
        <v/>
      </c>
      <c r="I175" s="25">
        <f>IF($A175="","",IFERROR($H175/$E175,""))</f>
        <v/>
      </c>
      <c r="J175" s="25">
        <f>IF($A175="","",IFERROR($E175/SUMIFS('13_VANZARI'!$H$5:$H$1004,'13_VANZARI'!$A$5:$A$1004,"&gt;="&amp;'09_PARAMETRI'!$B$5,'13_VANZARI'!$A$5:$A$1004,"&lt;="&amp;'09_PARAMETRI'!$B$6),""))</f>
        <v/>
      </c>
      <c r="K175" s="36">
        <f>IF($A175="","",IFERROR(IF(SUMPRODUCT(MAX(('13_VANZARI'!$D$5:$D$1004=$A175)*('13_VANZARI'!$H$5:$H$1004&lt;&gt;"")*'13_VANZARI'!$A$5:$A$1004))=0,"",SUMPRODUCT(MAX(('13_VANZARI'!$D$5:$D$1004=$A175)*('13_VANZARI'!$H$5:$H$1004&lt;&gt;"")*'13_VANZARI'!$A$5:$A$1004))),""))</f>
        <v/>
      </c>
      <c r="L175" s="24">
        <f>IF(OR($A175="",$K175=""),"",'09_PARAMETRI'!$B$9-$K175)</f>
        <v/>
      </c>
      <c r="M175" s="24">
        <f>IF($A175="","",SUMPRODUCT(('11_PRODUSE'!$A$5:$A$104&lt;&gt;"")*(SUMIFS('13_VANZARI'!$H$5:$H$1004,'13_VANZARI'!$D$5:$D$1004,$A175,'13_VANZARI'!$E$5:$E$1004,'11_PRODUSE'!$A$5:$A$104,'13_VANZARI'!$A$5:$A$1004,"&gt;="&amp;'09_PARAMETRI'!$B$5,'13_VANZARI'!$A$5:$A$1004,"&lt;="&amp;'09_PARAMETRI'!$B$6)&lt;&gt;0)))</f>
        <v/>
      </c>
      <c r="N175" s="50">
        <f>IF($A175="","",IFERROR(AVERAGEIFS('15_NPS'!$F$5:$F$504,'15_NPS'!$C$5:$C$504,$A175,'15_NPS'!$B$5:$B$504,"&gt;="&amp;'09_PARAMETRI'!$B$5,'15_NPS'!$B$5:$B$504,"&lt;="&amp;'09_PARAMETRI'!$B$6),""))</f>
        <v/>
      </c>
      <c r="O175" s="39">
        <f>IF($A175="","",IF(AND($F175&gt;0,$E175=0),"Client pierdut",IF(AND($L175&lt;&gt;"",$L175&gt;'09_PARAMETRI'!$B$16,$F175&gt;0),"Client dormant",IF(AND($G175&lt;&gt;"",$G175&lt;='09_PARAMETRI'!$B$13),"Scădere de venit",IF(AND($N175&lt;&gt;"",$N175&lt;7),"Detractor activ",IF(AND($E175&gt;0,$J175&gt;'09_PARAMETRI'!$B$19),"Risc concentrare",IF(AND($E175&gt;0,$I175&lt;&gt;"",$I175&lt;'09_PARAMETRI'!$B$15),"Marjă sub referință",IF(AND($G175&lt;&gt;"",$G175&gt;='09_PARAMETRI'!$B$14),"În creștere",IF($E175=0,"Fără activitate","Stabil")))))))))</f>
        <v/>
      </c>
      <c r="P175" s="39">
        <f>IF($A175="","",IF($O175="Risc concentrare","Risc concentrare",IF($O175="Client pierdut","Recuperare client",IF($O175="Client dormant","Reactivare client",IF($O175="Scădere de venit","Recuperare client",IF($O175="Detractor activ","Recuperare NPS",IF($O175="Marjă sub referință","Marjă / preț",IF($O175="În creștere","Up-sell",IF($O175="Fără activitate","Reactivare client","Cross-sell")))))))))</f>
        <v/>
      </c>
      <c r="Q175" s="24">
        <f>IF($A175="","",IFERROR(IF($O175="Scădere de venit",MAX(0,$F175-$E175),IF(OR($O175="Client pierdut",$O175="Client dormant",$O175="Fără activitate"),$F175,IF($O175="Marjă sub referință",MAX(0,$E175*('09_PARAMETRI'!$B$15-$I175)),$E175*0.15))),""))</f>
        <v/>
      </c>
      <c r="R175" s="48">
        <f>IF(OR($A175="",$E175="",N($E175)&lt;=0),"",$E175+ROW()/1000000)</f>
        <v/>
      </c>
    </row>
    <row r="176">
      <c r="A176" s="39">
        <f>IF('10_CLIENTI'!$A176="","",'10_CLIENTI'!$A176)</f>
        <v/>
      </c>
      <c r="B176" s="39">
        <f>IF($A176="","",IFERROR(INDEX('10_CLIENTI'!$B$5:$B$204,MATCH($A176,'10_CLIENTI'!$A$5:$A$204,0)),""))</f>
        <v/>
      </c>
      <c r="C176" s="39">
        <f>IF($A176="","",IFERROR(INDEX('10_CLIENTI'!$C$5:$C$204,MATCH($A176,'10_CLIENTI'!$A$5:$A$204,0)),""))</f>
        <v/>
      </c>
      <c r="D176" s="39">
        <f>IF($A176="","",IFERROR(INDEX('10_CLIENTI'!$G$5:$G$204,MATCH($A176,'10_CLIENTI'!$A$5:$A$204,0)),""))</f>
        <v/>
      </c>
      <c r="E176" s="24">
        <f>IF($A176="","",SUMIFS('13_VANZARI'!$H$5:$H$1004,'13_VANZARI'!$D$5:$D$1004,$A176,'13_VANZARI'!$A$5:$A$1004,"&gt;="&amp;'09_PARAMETRI'!$B$5,'13_VANZARI'!$A$5:$A$1004,"&lt;="&amp;'09_PARAMETRI'!$B$6))</f>
        <v/>
      </c>
      <c r="F176" s="24">
        <f>IF($A176="","",SUMIFS('13_VANZARI'!$H$5:$H$1004,'13_VANZARI'!$D$5:$D$1004,$A176,'13_VANZARI'!$A$5:$A$1004,"&gt;="&amp;'09_PARAMETRI'!$B$7,'13_VANZARI'!$A$5:$A$1004,"&lt;="&amp;'09_PARAMETRI'!$B$8))</f>
        <v/>
      </c>
      <c r="G176" s="25">
        <f>IF($A176="","",IFERROR(IF($F176=0,"",($E176-$F176)/ABS($F176)),""))</f>
        <v/>
      </c>
      <c r="H176" s="24">
        <f>IF($A176="","",SUMIFS('13_VANZARI'!$K$5:$K$1004,'13_VANZARI'!$D$5:$D$1004,$A176,'13_VANZARI'!$A$5:$A$1004,"&gt;="&amp;'09_PARAMETRI'!$B$5,'13_VANZARI'!$A$5:$A$1004,"&lt;="&amp;'09_PARAMETRI'!$B$6))</f>
        <v/>
      </c>
      <c r="I176" s="25">
        <f>IF($A176="","",IFERROR($H176/$E176,""))</f>
        <v/>
      </c>
      <c r="J176" s="25">
        <f>IF($A176="","",IFERROR($E176/SUMIFS('13_VANZARI'!$H$5:$H$1004,'13_VANZARI'!$A$5:$A$1004,"&gt;="&amp;'09_PARAMETRI'!$B$5,'13_VANZARI'!$A$5:$A$1004,"&lt;="&amp;'09_PARAMETRI'!$B$6),""))</f>
        <v/>
      </c>
      <c r="K176" s="36">
        <f>IF($A176="","",IFERROR(IF(SUMPRODUCT(MAX(('13_VANZARI'!$D$5:$D$1004=$A176)*('13_VANZARI'!$H$5:$H$1004&lt;&gt;"")*'13_VANZARI'!$A$5:$A$1004))=0,"",SUMPRODUCT(MAX(('13_VANZARI'!$D$5:$D$1004=$A176)*('13_VANZARI'!$H$5:$H$1004&lt;&gt;"")*'13_VANZARI'!$A$5:$A$1004))),""))</f>
        <v/>
      </c>
      <c r="L176" s="24">
        <f>IF(OR($A176="",$K176=""),"",'09_PARAMETRI'!$B$9-$K176)</f>
        <v/>
      </c>
      <c r="M176" s="24">
        <f>IF($A176="","",SUMPRODUCT(('11_PRODUSE'!$A$5:$A$104&lt;&gt;"")*(SUMIFS('13_VANZARI'!$H$5:$H$1004,'13_VANZARI'!$D$5:$D$1004,$A176,'13_VANZARI'!$E$5:$E$1004,'11_PRODUSE'!$A$5:$A$104,'13_VANZARI'!$A$5:$A$1004,"&gt;="&amp;'09_PARAMETRI'!$B$5,'13_VANZARI'!$A$5:$A$1004,"&lt;="&amp;'09_PARAMETRI'!$B$6)&lt;&gt;0)))</f>
        <v/>
      </c>
      <c r="N176" s="50">
        <f>IF($A176="","",IFERROR(AVERAGEIFS('15_NPS'!$F$5:$F$504,'15_NPS'!$C$5:$C$504,$A176,'15_NPS'!$B$5:$B$504,"&gt;="&amp;'09_PARAMETRI'!$B$5,'15_NPS'!$B$5:$B$504,"&lt;="&amp;'09_PARAMETRI'!$B$6),""))</f>
        <v/>
      </c>
      <c r="O176" s="39">
        <f>IF($A176="","",IF(AND($F176&gt;0,$E176=0),"Client pierdut",IF(AND($L176&lt;&gt;"",$L176&gt;'09_PARAMETRI'!$B$16,$F176&gt;0),"Client dormant",IF(AND($G176&lt;&gt;"",$G176&lt;='09_PARAMETRI'!$B$13),"Scădere de venit",IF(AND($N176&lt;&gt;"",$N176&lt;7),"Detractor activ",IF(AND($E176&gt;0,$J176&gt;'09_PARAMETRI'!$B$19),"Risc concentrare",IF(AND($E176&gt;0,$I176&lt;&gt;"",$I176&lt;'09_PARAMETRI'!$B$15),"Marjă sub referință",IF(AND($G176&lt;&gt;"",$G176&gt;='09_PARAMETRI'!$B$14),"În creștere",IF($E176=0,"Fără activitate","Stabil")))))))))</f>
        <v/>
      </c>
      <c r="P176" s="39">
        <f>IF($A176="","",IF($O176="Risc concentrare","Risc concentrare",IF($O176="Client pierdut","Recuperare client",IF($O176="Client dormant","Reactivare client",IF($O176="Scădere de venit","Recuperare client",IF($O176="Detractor activ","Recuperare NPS",IF($O176="Marjă sub referință","Marjă / preț",IF($O176="În creștere","Up-sell",IF($O176="Fără activitate","Reactivare client","Cross-sell")))))))))</f>
        <v/>
      </c>
      <c r="Q176" s="24">
        <f>IF($A176="","",IFERROR(IF($O176="Scădere de venit",MAX(0,$F176-$E176),IF(OR($O176="Client pierdut",$O176="Client dormant",$O176="Fără activitate"),$F176,IF($O176="Marjă sub referință",MAX(0,$E176*('09_PARAMETRI'!$B$15-$I176)),$E176*0.15))),""))</f>
        <v/>
      </c>
      <c r="R176" s="48">
        <f>IF(OR($A176="",$E176="",N($E176)&lt;=0),"",$E176+ROW()/1000000)</f>
        <v/>
      </c>
    </row>
    <row r="177">
      <c r="A177" s="39">
        <f>IF('10_CLIENTI'!$A177="","",'10_CLIENTI'!$A177)</f>
        <v/>
      </c>
      <c r="B177" s="39">
        <f>IF($A177="","",IFERROR(INDEX('10_CLIENTI'!$B$5:$B$204,MATCH($A177,'10_CLIENTI'!$A$5:$A$204,0)),""))</f>
        <v/>
      </c>
      <c r="C177" s="39">
        <f>IF($A177="","",IFERROR(INDEX('10_CLIENTI'!$C$5:$C$204,MATCH($A177,'10_CLIENTI'!$A$5:$A$204,0)),""))</f>
        <v/>
      </c>
      <c r="D177" s="39">
        <f>IF($A177="","",IFERROR(INDEX('10_CLIENTI'!$G$5:$G$204,MATCH($A177,'10_CLIENTI'!$A$5:$A$204,0)),""))</f>
        <v/>
      </c>
      <c r="E177" s="24">
        <f>IF($A177="","",SUMIFS('13_VANZARI'!$H$5:$H$1004,'13_VANZARI'!$D$5:$D$1004,$A177,'13_VANZARI'!$A$5:$A$1004,"&gt;="&amp;'09_PARAMETRI'!$B$5,'13_VANZARI'!$A$5:$A$1004,"&lt;="&amp;'09_PARAMETRI'!$B$6))</f>
        <v/>
      </c>
      <c r="F177" s="24">
        <f>IF($A177="","",SUMIFS('13_VANZARI'!$H$5:$H$1004,'13_VANZARI'!$D$5:$D$1004,$A177,'13_VANZARI'!$A$5:$A$1004,"&gt;="&amp;'09_PARAMETRI'!$B$7,'13_VANZARI'!$A$5:$A$1004,"&lt;="&amp;'09_PARAMETRI'!$B$8))</f>
        <v/>
      </c>
      <c r="G177" s="25">
        <f>IF($A177="","",IFERROR(IF($F177=0,"",($E177-$F177)/ABS($F177)),""))</f>
        <v/>
      </c>
      <c r="H177" s="24">
        <f>IF($A177="","",SUMIFS('13_VANZARI'!$K$5:$K$1004,'13_VANZARI'!$D$5:$D$1004,$A177,'13_VANZARI'!$A$5:$A$1004,"&gt;="&amp;'09_PARAMETRI'!$B$5,'13_VANZARI'!$A$5:$A$1004,"&lt;="&amp;'09_PARAMETRI'!$B$6))</f>
        <v/>
      </c>
      <c r="I177" s="25">
        <f>IF($A177="","",IFERROR($H177/$E177,""))</f>
        <v/>
      </c>
      <c r="J177" s="25">
        <f>IF($A177="","",IFERROR($E177/SUMIFS('13_VANZARI'!$H$5:$H$1004,'13_VANZARI'!$A$5:$A$1004,"&gt;="&amp;'09_PARAMETRI'!$B$5,'13_VANZARI'!$A$5:$A$1004,"&lt;="&amp;'09_PARAMETRI'!$B$6),""))</f>
        <v/>
      </c>
      <c r="K177" s="36">
        <f>IF($A177="","",IFERROR(IF(SUMPRODUCT(MAX(('13_VANZARI'!$D$5:$D$1004=$A177)*('13_VANZARI'!$H$5:$H$1004&lt;&gt;"")*'13_VANZARI'!$A$5:$A$1004))=0,"",SUMPRODUCT(MAX(('13_VANZARI'!$D$5:$D$1004=$A177)*('13_VANZARI'!$H$5:$H$1004&lt;&gt;"")*'13_VANZARI'!$A$5:$A$1004))),""))</f>
        <v/>
      </c>
      <c r="L177" s="24">
        <f>IF(OR($A177="",$K177=""),"",'09_PARAMETRI'!$B$9-$K177)</f>
        <v/>
      </c>
      <c r="M177" s="24">
        <f>IF($A177="","",SUMPRODUCT(('11_PRODUSE'!$A$5:$A$104&lt;&gt;"")*(SUMIFS('13_VANZARI'!$H$5:$H$1004,'13_VANZARI'!$D$5:$D$1004,$A177,'13_VANZARI'!$E$5:$E$1004,'11_PRODUSE'!$A$5:$A$104,'13_VANZARI'!$A$5:$A$1004,"&gt;="&amp;'09_PARAMETRI'!$B$5,'13_VANZARI'!$A$5:$A$1004,"&lt;="&amp;'09_PARAMETRI'!$B$6)&lt;&gt;0)))</f>
        <v/>
      </c>
      <c r="N177" s="50">
        <f>IF($A177="","",IFERROR(AVERAGEIFS('15_NPS'!$F$5:$F$504,'15_NPS'!$C$5:$C$504,$A177,'15_NPS'!$B$5:$B$504,"&gt;="&amp;'09_PARAMETRI'!$B$5,'15_NPS'!$B$5:$B$504,"&lt;="&amp;'09_PARAMETRI'!$B$6),""))</f>
        <v/>
      </c>
      <c r="O177" s="39">
        <f>IF($A177="","",IF(AND($F177&gt;0,$E177=0),"Client pierdut",IF(AND($L177&lt;&gt;"",$L177&gt;'09_PARAMETRI'!$B$16,$F177&gt;0),"Client dormant",IF(AND($G177&lt;&gt;"",$G177&lt;='09_PARAMETRI'!$B$13),"Scădere de venit",IF(AND($N177&lt;&gt;"",$N177&lt;7),"Detractor activ",IF(AND($E177&gt;0,$J177&gt;'09_PARAMETRI'!$B$19),"Risc concentrare",IF(AND($E177&gt;0,$I177&lt;&gt;"",$I177&lt;'09_PARAMETRI'!$B$15),"Marjă sub referință",IF(AND($G177&lt;&gt;"",$G177&gt;='09_PARAMETRI'!$B$14),"În creștere",IF($E177=0,"Fără activitate","Stabil")))))))))</f>
        <v/>
      </c>
      <c r="P177" s="39">
        <f>IF($A177="","",IF($O177="Risc concentrare","Risc concentrare",IF($O177="Client pierdut","Recuperare client",IF($O177="Client dormant","Reactivare client",IF($O177="Scădere de venit","Recuperare client",IF($O177="Detractor activ","Recuperare NPS",IF($O177="Marjă sub referință","Marjă / preț",IF($O177="În creștere","Up-sell",IF($O177="Fără activitate","Reactivare client","Cross-sell")))))))))</f>
        <v/>
      </c>
      <c r="Q177" s="24">
        <f>IF($A177="","",IFERROR(IF($O177="Scădere de venit",MAX(0,$F177-$E177),IF(OR($O177="Client pierdut",$O177="Client dormant",$O177="Fără activitate"),$F177,IF($O177="Marjă sub referință",MAX(0,$E177*('09_PARAMETRI'!$B$15-$I177)),$E177*0.15))),""))</f>
        <v/>
      </c>
      <c r="R177" s="48">
        <f>IF(OR($A177="",$E177="",N($E177)&lt;=0),"",$E177+ROW()/1000000)</f>
        <v/>
      </c>
    </row>
    <row r="178">
      <c r="A178" s="39">
        <f>IF('10_CLIENTI'!$A178="","",'10_CLIENTI'!$A178)</f>
        <v/>
      </c>
      <c r="B178" s="39">
        <f>IF($A178="","",IFERROR(INDEX('10_CLIENTI'!$B$5:$B$204,MATCH($A178,'10_CLIENTI'!$A$5:$A$204,0)),""))</f>
        <v/>
      </c>
      <c r="C178" s="39">
        <f>IF($A178="","",IFERROR(INDEX('10_CLIENTI'!$C$5:$C$204,MATCH($A178,'10_CLIENTI'!$A$5:$A$204,0)),""))</f>
        <v/>
      </c>
      <c r="D178" s="39">
        <f>IF($A178="","",IFERROR(INDEX('10_CLIENTI'!$G$5:$G$204,MATCH($A178,'10_CLIENTI'!$A$5:$A$204,0)),""))</f>
        <v/>
      </c>
      <c r="E178" s="24">
        <f>IF($A178="","",SUMIFS('13_VANZARI'!$H$5:$H$1004,'13_VANZARI'!$D$5:$D$1004,$A178,'13_VANZARI'!$A$5:$A$1004,"&gt;="&amp;'09_PARAMETRI'!$B$5,'13_VANZARI'!$A$5:$A$1004,"&lt;="&amp;'09_PARAMETRI'!$B$6))</f>
        <v/>
      </c>
      <c r="F178" s="24">
        <f>IF($A178="","",SUMIFS('13_VANZARI'!$H$5:$H$1004,'13_VANZARI'!$D$5:$D$1004,$A178,'13_VANZARI'!$A$5:$A$1004,"&gt;="&amp;'09_PARAMETRI'!$B$7,'13_VANZARI'!$A$5:$A$1004,"&lt;="&amp;'09_PARAMETRI'!$B$8))</f>
        <v/>
      </c>
      <c r="G178" s="25">
        <f>IF($A178="","",IFERROR(IF($F178=0,"",($E178-$F178)/ABS($F178)),""))</f>
        <v/>
      </c>
      <c r="H178" s="24">
        <f>IF($A178="","",SUMIFS('13_VANZARI'!$K$5:$K$1004,'13_VANZARI'!$D$5:$D$1004,$A178,'13_VANZARI'!$A$5:$A$1004,"&gt;="&amp;'09_PARAMETRI'!$B$5,'13_VANZARI'!$A$5:$A$1004,"&lt;="&amp;'09_PARAMETRI'!$B$6))</f>
        <v/>
      </c>
      <c r="I178" s="25">
        <f>IF($A178="","",IFERROR($H178/$E178,""))</f>
        <v/>
      </c>
      <c r="J178" s="25">
        <f>IF($A178="","",IFERROR($E178/SUMIFS('13_VANZARI'!$H$5:$H$1004,'13_VANZARI'!$A$5:$A$1004,"&gt;="&amp;'09_PARAMETRI'!$B$5,'13_VANZARI'!$A$5:$A$1004,"&lt;="&amp;'09_PARAMETRI'!$B$6),""))</f>
        <v/>
      </c>
      <c r="K178" s="36">
        <f>IF($A178="","",IFERROR(IF(SUMPRODUCT(MAX(('13_VANZARI'!$D$5:$D$1004=$A178)*('13_VANZARI'!$H$5:$H$1004&lt;&gt;"")*'13_VANZARI'!$A$5:$A$1004))=0,"",SUMPRODUCT(MAX(('13_VANZARI'!$D$5:$D$1004=$A178)*('13_VANZARI'!$H$5:$H$1004&lt;&gt;"")*'13_VANZARI'!$A$5:$A$1004))),""))</f>
        <v/>
      </c>
      <c r="L178" s="24">
        <f>IF(OR($A178="",$K178=""),"",'09_PARAMETRI'!$B$9-$K178)</f>
        <v/>
      </c>
      <c r="M178" s="24">
        <f>IF($A178="","",SUMPRODUCT(('11_PRODUSE'!$A$5:$A$104&lt;&gt;"")*(SUMIFS('13_VANZARI'!$H$5:$H$1004,'13_VANZARI'!$D$5:$D$1004,$A178,'13_VANZARI'!$E$5:$E$1004,'11_PRODUSE'!$A$5:$A$104,'13_VANZARI'!$A$5:$A$1004,"&gt;="&amp;'09_PARAMETRI'!$B$5,'13_VANZARI'!$A$5:$A$1004,"&lt;="&amp;'09_PARAMETRI'!$B$6)&lt;&gt;0)))</f>
        <v/>
      </c>
      <c r="N178" s="50">
        <f>IF($A178="","",IFERROR(AVERAGEIFS('15_NPS'!$F$5:$F$504,'15_NPS'!$C$5:$C$504,$A178,'15_NPS'!$B$5:$B$504,"&gt;="&amp;'09_PARAMETRI'!$B$5,'15_NPS'!$B$5:$B$504,"&lt;="&amp;'09_PARAMETRI'!$B$6),""))</f>
        <v/>
      </c>
      <c r="O178" s="39">
        <f>IF($A178="","",IF(AND($F178&gt;0,$E178=0),"Client pierdut",IF(AND($L178&lt;&gt;"",$L178&gt;'09_PARAMETRI'!$B$16,$F178&gt;0),"Client dormant",IF(AND($G178&lt;&gt;"",$G178&lt;='09_PARAMETRI'!$B$13),"Scădere de venit",IF(AND($N178&lt;&gt;"",$N178&lt;7),"Detractor activ",IF(AND($E178&gt;0,$J178&gt;'09_PARAMETRI'!$B$19),"Risc concentrare",IF(AND($E178&gt;0,$I178&lt;&gt;"",$I178&lt;'09_PARAMETRI'!$B$15),"Marjă sub referință",IF(AND($G178&lt;&gt;"",$G178&gt;='09_PARAMETRI'!$B$14),"În creștere",IF($E178=0,"Fără activitate","Stabil")))))))))</f>
        <v/>
      </c>
      <c r="P178" s="39">
        <f>IF($A178="","",IF($O178="Risc concentrare","Risc concentrare",IF($O178="Client pierdut","Recuperare client",IF($O178="Client dormant","Reactivare client",IF($O178="Scădere de venit","Recuperare client",IF($O178="Detractor activ","Recuperare NPS",IF($O178="Marjă sub referință","Marjă / preț",IF($O178="În creștere","Up-sell",IF($O178="Fără activitate","Reactivare client","Cross-sell")))))))))</f>
        <v/>
      </c>
      <c r="Q178" s="24">
        <f>IF($A178="","",IFERROR(IF($O178="Scădere de venit",MAX(0,$F178-$E178),IF(OR($O178="Client pierdut",$O178="Client dormant",$O178="Fără activitate"),$F178,IF($O178="Marjă sub referință",MAX(0,$E178*('09_PARAMETRI'!$B$15-$I178)),$E178*0.15))),""))</f>
        <v/>
      </c>
      <c r="R178" s="48">
        <f>IF(OR($A178="",$E178="",N($E178)&lt;=0),"",$E178+ROW()/1000000)</f>
        <v/>
      </c>
    </row>
    <row r="179">
      <c r="A179" s="39">
        <f>IF('10_CLIENTI'!$A179="","",'10_CLIENTI'!$A179)</f>
        <v/>
      </c>
      <c r="B179" s="39">
        <f>IF($A179="","",IFERROR(INDEX('10_CLIENTI'!$B$5:$B$204,MATCH($A179,'10_CLIENTI'!$A$5:$A$204,0)),""))</f>
        <v/>
      </c>
      <c r="C179" s="39">
        <f>IF($A179="","",IFERROR(INDEX('10_CLIENTI'!$C$5:$C$204,MATCH($A179,'10_CLIENTI'!$A$5:$A$204,0)),""))</f>
        <v/>
      </c>
      <c r="D179" s="39">
        <f>IF($A179="","",IFERROR(INDEX('10_CLIENTI'!$G$5:$G$204,MATCH($A179,'10_CLIENTI'!$A$5:$A$204,0)),""))</f>
        <v/>
      </c>
      <c r="E179" s="24">
        <f>IF($A179="","",SUMIFS('13_VANZARI'!$H$5:$H$1004,'13_VANZARI'!$D$5:$D$1004,$A179,'13_VANZARI'!$A$5:$A$1004,"&gt;="&amp;'09_PARAMETRI'!$B$5,'13_VANZARI'!$A$5:$A$1004,"&lt;="&amp;'09_PARAMETRI'!$B$6))</f>
        <v/>
      </c>
      <c r="F179" s="24">
        <f>IF($A179="","",SUMIFS('13_VANZARI'!$H$5:$H$1004,'13_VANZARI'!$D$5:$D$1004,$A179,'13_VANZARI'!$A$5:$A$1004,"&gt;="&amp;'09_PARAMETRI'!$B$7,'13_VANZARI'!$A$5:$A$1004,"&lt;="&amp;'09_PARAMETRI'!$B$8))</f>
        <v/>
      </c>
      <c r="G179" s="25">
        <f>IF($A179="","",IFERROR(IF($F179=0,"",($E179-$F179)/ABS($F179)),""))</f>
        <v/>
      </c>
      <c r="H179" s="24">
        <f>IF($A179="","",SUMIFS('13_VANZARI'!$K$5:$K$1004,'13_VANZARI'!$D$5:$D$1004,$A179,'13_VANZARI'!$A$5:$A$1004,"&gt;="&amp;'09_PARAMETRI'!$B$5,'13_VANZARI'!$A$5:$A$1004,"&lt;="&amp;'09_PARAMETRI'!$B$6))</f>
        <v/>
      </c>
      <c r="I179" s="25">
        <f>IF($A179="","",IFERROR($H179/$E179,""))</f>
        <v/>
      </c>
      <c r="J179" s="25">
        <f>IF($A179="","",IFERROR($E179/SUMIFS('13_VANZARI'!$H$5:$H$1004,'13_VANZARI'!$A$5:$A$1004,"&gt;="&amp;'09_PARAMETRI'!$B$5,'13_VANZARI'!$A$5:$A$1004,"&lt;="&amp;'09_PARAMETRI'!$B$6),""))</f>
        <v/>
      </c>
      <c r="K179" s="36">
        <f>IF($A179="","",IFERROR(IF(SUMPRODUCT(MAX(('13_VANZARI'!$D$5:$D$1004=$A179)*('13_VANZARI'!$H$5:$H$1004&lt;&gt;"")*'13_VANZARI'!$A$5:$A$1004))=0,"",SUMPRODUCT(MAX(('13_VANZARI'!$D$5:$D$1004=$A179)*('13_VANZARI'!$H$5:$H$1004&lt;&gt;"")*'13_VANZARI'!$A$5:$A$1004))),""))</f>
        <v/>
      </c>
      <c r="L179" s="24">
        <f>IF(OR($A179="",$K179=""),"",'09_PARAMETRI'!$B$9-$K179)</f>
        <v/>
      </c>
      <c r="M179" s="24">
        <f>IF($A179="","",SUMPRODUCT(('11_PRODUSE'!$A$5:$A$104&lt;&gt;"")*(SUMIFS('13_VANZARI'!$H$5:$H$1004,'13_VANZARI'!$D$5:$D$1004,$A179,'13_VANZARI'!$E$5:$E$1004,'11_PRODUSE'!$A$5:$A$104,'13_VANZARI'!$A$5:$A$1004,"&gt;="&amp;'09_PARAMETRI'!$B$5,'13_VANZARI'!$A$5:$A$1004,"&lt;="&amp;'09_PARAMETRI'!$B$6)&lt;&gt;0)))</f>
        <v/>
      </c>
      <c r="N179" s="50">
        <f>IF($A179="","",IFERROR(AVERAGEIFS('15_NPS'!$F$5:$F$504,'15_NPS'!$C$5:$C$504,$A179,'15_NPS'!$B$5:$B$504,"&gt;="&amp;'09_PARAMETRI'!$B$5,'15_NPS'!$B$5:$B$504,"&lt;="&amp;'09_PARAMETRI'!$B$6),""))</f>
        <v/>
      </c>
      <c r="O179" s="39">
        <f>IF($A179="","",IF(AND($F179&gt;0,$E179=0),"Client pierdut",IF(AND($L179&lt;&gt;"",$L179&gt;'09_PARAMETRI'!$B$16,$F179&gt;0),"Client dormant",IF(AND($G179&lt;&gt;"",$G179&lt;='09_PARAMETRI'!$B$13),"Scădere de venit",IF(AND($N179&lt;&gt;"",$N179&lt;7),"Detractor activ",IF(AND($E179&gt;0,$J179&gt;'09_PARAMETRI'!$B$19),"Risc concentrare",IF(AND($E179&gt;0,$I179&lt;&gt;"",$I179&lt;'09_PARAMETRI'!$B$15),"Marjă sub referință",IF(AND($G179&lt;&gt;"",$G179&gt;='09_PARAMETRI'!$B$14),"În creștere",IF($E179=0,"Fără activitate","Stabil")))))))))</f>
        <v/>
      </c>
      <c r="P179" s="39">
        <f>IF($A179="","",IF($O179="Risc concentrare","Risc concentrare",IF($O179="Client pierdut","Recuperare client",IF($O179="Client dormant","Reactivare client",IF($O179="Scădere de venit","Recuperare client",IF($O179="Detractor activ","Recuperare NPS",IF($O179="Marjă sub referință","Marjă / preț",IF($O179="În creștere","Up-sell",IF($O179="Fără activitate","Reactivare client","Cross-sell")))))))))</f>
        <v/>
      </c>
      <c r="Q179" s="24">
        <f>IF($A179="","",IFERROR(IF($O179="Scădere de venit",MAX(0,$F179-$E179),IF(OR($O179="Client pierdut",$O179="Client dormant",$O179="Fără activitate"),$F179,IF($O179="Marjă sub referință",MAX(0,$E179*('09_PARAMETRI'!$B$15-$I179)),$E179*0.15))),""))</f>
        <v/>
      </c>
      <c r="R179" s="48">
        <f>IF(OR($A179="",$E179="",N($E179)&lt;=0),"",$E179+ROW()/1000000)</f>
        <v/>
      </c>
    </row>
    <row r="180">
      <c r="A180" s="39">
        <f>IF('10_CLIENTI'!$A180="","",'10_CLIENTI'!$A180)</f>
        <v/>
      </c>
      <c r="B180" s="39">
        <f>IF($A180="","",IFERROR(INDEX('10_CLIENTI'!$B$5:$B$204,MATCH($A180,'10_CLIENTI'!$A$5:$A$204,0)),""))</f>
        <v/>
      </c>
      <c r="C180" s="39">
        <f>IF($A180="","",IFERROR(INDEX('10_CLIENTI'!$C$5:$C$204,MATCH($A180,'10_CLIENTI'!$A$5:$A$204,0)),""))</f>
        <v/>
      </c>
      <c r="D180" s="39">
        <f>IF($A180="","",IFERROR(INDEX('10_CLIENTI'!$G$5:$G$204,MATCH($A180,'10_CLIENTI'!$A$5:$A$204,0)),""))</f>
        <v/>
      </c>
      <c r="E180" s="24">
        <f>IF($A180="","",SUMIFS('13_VANZARI'!$H$5:$H$1004,'13_VANZARI'!$D$5:$D$1004,$A180,'13_VANZARI'!$A$5:$A$1004,"&gt;="&amp;'09_PARAMETRI'!$B$5,'13_VANZARI'!$A$5:$A$1004,"&lt;="&amp;'09_PARAMETRI'!$B$6))</f>
        <v/>
      </c>
      <c r="F180" s="24">
        <f>IF($A180="","",SUMIFS('13_VANZARI'!$H$5:$H$1004,'13_VANZARI'!$D$5:$D$1004,$A180,'13_VANZARI'!$A$5:$A$1004,"&gt;="&amp;'09_PARAMETRI'!$B$7,'13_VANZARI'!$A$5:$A$1004,"&lt;="&amp;'09_PARAMETRI'!$B$8))</f>
        <v/>
      </c>
      <c r="G180" s="25">
        <f>IF($A180="","",IFERROR(IF($F180=0,"",($E180-$F180)/ABS($F180)),""))</f>
        <v/>
      </c>
      <c r="H180" s="24">
        <f>IF($A180="","",SUMIFS('13_VANZARI'!$K$5:$K$1004,'13_VANZARI'!$D$5:$D$1004,$A180,'13_VANZARI'!$A$5:$A$1004,"&gt;="&amp;'09_PARAMETRI'!$B$5,'13_VANZARI'!$A$5:$A$1004,"&lt;="&amp;'09_PARAMETRI'!$B$6))</f>
        <v/>
      </c>
      <c r="I180" s="25">
        <f>IF($A180="","",IFERROR($H180/$E180,""))</f>
        <v/>
      </c>
      <c r="J180" s="25">
        <f>IF($A180="","",IFERROR($E180/SUMIFS('13_VANZARI'!$H$5:$H$1004,'13_VANZARI'!$A$5:$A$1004,"&gt;="&amp;'09_PARAMETRI'!$B$5,'13_VANZARI'!$A$5:$A$1004,"&lt;="&amp;'09_PARAMETRI'!$B$6),""))</f>
        <v/>
      </c>
      <c r="K180" s="36">
        <f>IF($A180="","",IFERROR(IF(SUMPRODUCT(MAX(('13_VANZARI'!$D$5:$D$1004=$A180)*('13_VANZARI'!$H$5:$H$1004&lt;&gt;"")*'13_VANZARI'!$A$5:$A$1004))=0,"",SUMPRODUCT(MAX(('13_VANZARI'!$D$5:$D$1004=$A180)*('13_VANZARI'!$H$5:$H$1004&lt;&gt;"")*'13_VANZARI'!$A$5:$A$1004))),""))</f>
        <v/>
      </c>
      <c r="L180" s="24">
        <f>IF(OR($A180="",$K180=""),"",'09_PARAMETRI'!$B$9-$K180)</f>
        <v/>
      </c>
      <c r="M180" s="24">
        <f>IF($A180="","",SUMPRODUCT(('11_PRODUSE'!$A$5:$A$104&lt;&gt;"")*(SUMIFS('13_VANZARI'!$H$5:$H$1004,'13_VANZARI'!$D$5:$D$1004,$A180,'13_VANZARI'!$E$5:$E$1004,'11_PRODUSE'!$A$5:$A$104,'13_VANZARI'!$A$5:$A$1004,"&gt;="&amp;'09_PARAMETRI'!$B$5,'13_VANZARI'!$A$5:$A$1004,"&lt;="&amp;'09_PARAMETRI'!$B$6)&lt;&gt;0)))</f>
        <v/>
      </c>
      <c r="N180" s="50">
        <f>IF($A180="","",IFERROR(AVERAGEIFS('15_NPS'!$F$5:$F$504,'15_NPS'!$C$5:$C$504,$A180,'15_NPS'!$B$5:$B$504,"&gt;="&amp;'09_PARAMETRI'!$B$5,'15_NPS'!$B$5:$B$504,"&lt;="&amp;'09_PARAMETRI'!$B$6),""))</f>
        <v/>
      </c>
      <c r="O180" s="39">
        <f>IF($A180="","",IF(AND($F180&gt;0,$E180=0),"Client pierdut",IF(AND($L180&lt;&gt;"",$L180&gt;'09_PARAMETRI'!$B$16,$F180&gt;0),"Client dormant",IF(AND($G180&lt;&gt;"",$G180&lt;='09_PARAMETRI'!$B$13),"Scădere de venit",IF(AND($N180&lt;&gt;"",$N180&lt;7),"Detractor activ",IF(AND($E180&gt;0,$J180&gt;'09_PARAMETRI'!$B$19),"Risc concentrare",IF(AND($E180&gt;0,$I180&lt;&gt;"",$I180&lt;'09_PARAMETRI'!$B$15),"Marjă sub referință",IF(AND($G180&lt;&gt;"",$G180&gt;='09_PARAMETRI'!$B$14),"În creștere",IF($E180=0,"Fără activitate","Stabil")))))))))</f>
        <v/>
      </c>
      <c r="P180" s="39">
        <f>IF($A180="","",IF($O180="Risc concentrare","Risc concentrare",IF($O180="Client pierdut","Recuperare client",IF($O180="Client dormant","Reactivare client",IF($O180="Scădere de venit","Recuperare client",IF($O180="Detractor activ","Recuperare NPS",IF($O180="Marjă sub referință","Marjă / preț",IF($O180="În creștere","Up-sell",IF($O180="Fără activitate","Reactivare client","Cross-sell")))))))))</f>
        <v/>
      </c>
      <c r="Q180" s="24">
        <f>IF($A180="","",IFERROR(IF($O180="Scădere de venit",MAX(0,$F180-$E180),IF(OR($O180="Client pierdut",$O180="Client dormant",$O180="Fără activitate"),$F180,IF($O180="Marjă sub referință",MAX(0,$E180*('09_PARAMETRI'!$B$15-$I180)),$E180*0.15))),""))</f>
        <v/>
      </c>
      <c r="R180" s="48">
        <f>IF(OR($A180="",$E180="",N($E180)&lt;=0),"",$E180+ROW()/1000000)</f>
        <v/>
      </c>
    </row>
    <row r="181">
      <c r="A181" s="39">
        <f>IF('10_CLIENTI'!$A181="","",'10_CLIENTI'!$A181)</f>
        <v/>
      </c>
      <c r="B181" s="39">
        <f>IF($A181="","",IFERROR(INDEX('10_CLIENTI'!$B$5:$B$204,MATCH($A181,'10_CLIENTI'!$A$5:$A$204,0)),""))</f>
        <v/>
      </c>
      <c r="C181" s="39">
        <f>IF($A181="","",IFERROR(INDEX('10_CLIENTI'!$C$5:$C$204,MATCH($A181,'10_CLIENTI'!$A$5:$A$204,0)),""))</f>
        <v/>
      </c>
      <c r="D181" s="39">
        <f>IF($A181="","",IFERROR(INDEX('10_CLIENTI'!$G$5:$G$204,MATCH($A181,'10_CLIENTI'!$A$5:$A$204,0)),""))</f>
        <v/>
      </c>
      <c r="E181" s="24">
        <f>IF($A181="","",SUMIFS('13_VANZARI'!$H$5:$H$1004,'13_VANZARI'!$D$5:$D$1004,$A181,'13_VANZARI'!$A$5:$A$1004,"&gt;="&amp;'09_PARAMETRI'!$B$5,'13_VANZARI'!$A$5:$A$1004,"&lt;="&amp;'09_PARAMETRI'!$B$6))</f>
        <v/>
      </c>
      <c r="F181" s="24">
        <f>IF($A181="","",SUMIFS('13_VANZARI'!$H$5:$H$1004,'13_VANZARI'!$D$5:$D$1004,$A181,'13_VANZARI'!$A$5:$A$1004,"&gt;="&amp;'09_PARAMETRI'!$B$7,'13_VANZARI'!$A$5:$A$1004,"&lt;="&amp;'09_PARAMETRI'!$B$8))</f>
        <v/>
      </c>
      <c r="G181" s="25">
        <f>IF($A181="","",IFERROR(IF($F181=0,"",($E181-$F181)/ABS($F181)),""))</f>
        <v/>
      </c>
      <c r="H181" s="24">
        <f>IF($A181="","",SUMIFS('13_VANZARI'!$K$5:$K$1004,'13_VANZARI'!$D$5:$D$1004,$A181,'13_VANZARI'!$A$5:$A$1004,"&gt;="&amp;'09_PARAMETRI'!$B$5,'13_VANZARI'!$A$5:$A$1004,"&lt;="&amp;'09_PARAMETRI'!$B$6))</f>
        <v/>
      </c>
      <c r="I181" s="25">
        <f>IF($A181="","",IFERROR($H181/$E181,""))</f>
        <v/>
      </c>
      <c r="J181" s="25">
        <f>IF($A181="","",IFERROR($E181/SUMIFS('13_VANZARI'!$H$5:$H$1004,'13_VANZARI'!$A$5:$A$1004,"&gt;="&amp;'09_PARAMETRI'!$B$5,'13_VANZARI'!$A$5:$A$1004,"&lt;="&amp;'09_PARAMETRI'!$B$6),""))</f>
        <v/>
      </c>
      <c r="K181" s="36">
        <f>IF($A181="","",IFERROR(IF(SUMPRODUCT(MAX(('13_VANZARI'!$D$5:$D$1004=$A181)*('13_VANZARI'!$H$5:$H$1004&lt;&gt;"")*'13_VANZARI'!$A$5:$A$1004))=0,"",SUMPRODUCT(MAX(('13_VANZARI'!$D$5:$D$1004=$A181)*('13_VANZARI'!$H$5:$H$1004&lt;&gt;"")*'13_VANZARI'!$A$5:$A$1004))),""))</f>
        <v/>
      </c>
      <c r="L181" s="24">
        <f>IF(OR($A181="",$K181=""),"",'09_PARAMETRI'!$B$9-$K181)</f>
        <v/>
      </c>
      <c r="M181" s="24">
        <f>IF($A181="","",SUMPRODUCT(('11_PRODUSE'!$A$5:$A$104&lt;&gt;"")*(SUMIFS('13_VANZARI'!$H$5:$H$1004,'13_VANZARI'!$D$5:$D$1004,$A181,'13_VANZARI'!$E$5:$E$1004,'11_PRODUSE'!$A$5:$A$104,'13_VANZARI'!$A$5:$A$1004,"&gt;="&amp;'09_PARAMETRI'!$B$5,'13_VANZARI'!$A$5:$A$1004,"&lt;="&amp;'09_PARAMETRI'!$B$6)&lt;&gt;0)))</f>
        <v/>
      </c>
      <c r="N181" s="50">
        <f>IF($A181="","",IFERROR(AVERAGEIFS('15_NPS'!$F$5:$F$504,'15_NPS'!$C$5:$C$504,$A181,'15_NPS'!$B$5:$B$504,"&gt;="&amp;'09_PARAMETRI'!$B$5,'15_NPS'!$B$5:$B$504,"&lt;="&amp;'09_PARAMETRI'!$B$6),""))</f>
        <v/>
      </c>
      <c r="O181" s="39">
        <f>IF($A181="","",IF(AND($F181&gt;0,$E181=0),"Client pierdut",IF(AND($L181&lt;&gt;"",$L181&gt;'09_PARAMETRI'!$B$16,$F181&gt;0),"Client dormant",IF(AND($G181&lt;&gt;"",$G181&lt;='09_PARAMETRI'!$B$13),"Scădere de venit",IF(AND($N181&lt;&gt;"",$N181&lt;7),"Detractor activ",IF(AND($E181&gt;0,$J181&gt;'09_PARAMETRI'!$B$19),"Risc concentrare",IF(AND($E181&gt;0,$I181&lt;&gt;"",$I181&lt;'09_PARAMETRI'!$B$15),"Marjă sub referință",IF(AND($G181&lt;&gt;"",$G181&gt;='09_PARAMETRI'!$B$14),"În creștere",IF($E181=0,"Fără activitate","Stabil")))))))))</f>
        <v/>
      </c>
      <c r="P181" s="39">
        <f>IF($A181="","",IF($O181="Risc concentrare","Risc concentrare",IF($O181="Client pierdut","Recuperare client",IF($O181="Client dormant","Reactivare client",IF($O181="Scădere de venit","Recuperare client",IF($O181="Detractor activ","Recuperare NPS",IF($O181="Marjă sub referință","Marjă / preț",IF($O181="În creștere","Up-sell",IF($O181="Fără activitate","Reactivare client","Cross-sell")))))))))</f>
        <v/>
      </c>
      <c r="Q181" s="24">
        <f>IF($A181="","",IFERROR(IF($O181="Scădere de venit",MAX(0,$F181-$E181),IF(OR($O181="Client pierdut",$O181="Client dormant",$O181="Fără activitate"),$F181,IF($O181="Marjă sub referință",MAX(0,$E181*('09_PARAMETRI'!$B$15-$I181)),$E181*0.15))),""))</f>
        <v/>
      </c>
      <c r="R181" s="48">
        <f>IF(OR($A181="",$E181="",N($E181)&lt;=0),"",$E181+ROW()/1000000)</f>
        <v/>
      </c>
    </row>
    <row r="182">
      <c r="A182" s="39">
        <f>IF('10_CLIENTI'!$A182="","",'10_CLIENTI'!$A182)</f>
        <v/>
      </c>
      <c r="B182" s="39">
        <f>IF($A182="","",IFERROR(INDEX('10_CLIENTI'!$B$5:$B$204,MATCH($A182,'10_CLIENTI'!$A$5:$A$204,0)),""))</f>
        <v/>
      </c>
      <c r="C182" s="39">
        <f>IF($A182="","",IFERROR(INDEX('10_CLIENTI'!$C$5:$C$204,MATCH($A182,'10_CLIENTI'!$A$5:$A$204,0)),""))</f>
        <v/>
      </c>
      <c r="D182" s="39">
        <f>IF($A182="","",IFERROR(INDEX('10_CLIENTI'!$G$5:$G$204,MATCH($A182,'10_CLIENTI'!$A$5:$A$204,0)),""))</f>
        <v/>
      </c>
      <c r="E182" s="24">
        <f>IF($A182="","",SUMIFS('13_VANZARI'!$H$5:$H$1004,'13_VANZARI'!$D$5:$D$1004,$A182,'13_VANZARI'!$A$5:$A$1004,"&gt;="&amp;'09_PARAMETRI'!$B$5,'13_VANZARI'!$A$5:$A$1004,"&lt;="&amp;'09_PARAMETRI'!$B$6))</f>
        <v/>
      </c>
      <c r="F182" s="24">
        <f>IF($A182="","",SUMIFS('13_VANZARI'!$H$5:$H$1004,'13_VANZARI'!$D$5:$D$1004,$A182,'13_VANZARI'!$A$5:$A$1004,"&gt;="&amp;'09_PARAMETRI'!$B$7,'13_VANZARI'!$A$5:$A$1004,"&lt;="&amp;'09_PARAMETRI'!$B$8))</f>
        <v/>
      </c>
      <c r="G182" s="25">
        <f>IF($A182="","",IFERROR(IF($F182=0,"",($E182-$F182)/ABS($F182)),""))</f>
        <v/>
      </c>
      <c r="H182" s="24">
        <f>IF($A182="","",SUMIFS('13_VANZARI'!$K$5:$K$1004,'13_VANZARI'!$D$5:$D$1004,$A182,'13_VANZARI'!$A$5:$A$1004,"&gt;="&amp;'09_PARAMETRI'!$B$5,'13_VANZARI'!$A$5:$A$1004,"&lt;="&amp;'09_PARAMETRI'!$B$6))</f>
        <v/>
      </c>
      <c r="I182" s="25">
        <f>IF($A182="","",IFERROR($H182/$E182,""))</f>
        <v/>
      </c>
      <c r="J182" s="25">
        <f>IF($A182="","",IFERROR($E182/SUMIFS('13_VANZARI'!$H$5:$H$1004,'13_VANZARI'!$A$5:$A$1004,"&gt;="&amp;'09_PARAMETRI'!$B$5,'13_VANZARI'!$A$5:$A$1004,"&lt;="&amp;'09_PARAMETRI'!$B$6),""))</f>
        <v/>
      </c>
      <c r="K182" s="36">
        <f>IF($A182="","",IFERROR(IF(SUMPRODUCT(MAX(('13_VANZARI'!$D$5:$D$1004=$A182)*('13_VANZARI'!$H$5:$H$1004&lt;&gt;"")*'13_VANZARI'!$A$5:$A$1004))=0,"",SUMPRODUCT(MAX(('13_VANZARI'!$D$5:$D$1004=$A182)*('13_VANZARI'!$H$5:$H$1004&lt;&gt;"")*'13_VANZARI'!$A$5:$A$1004))),""))</f>
        <v/>
      </c>
      <c r="L182" s="24">
        <f>IF(OR($A182="",$K182=""),"",'09_PARAMETRI'!$B$9-$K182)</f>
        <v/>
      </c>
      <c r="M182" s="24">
        <f>IF($A182="","",SUMPRODUCT(('11_PRODUSE'!$A$5:$A$104&lt;&gt;"")*(SUMIFS('13_VANZARI'!$H$5:$H$1004,'13_VANZARI'!$D$5:$D$1004,$A182,'13_VANZARI'!$E$5:$E$1004,'11_PRODUSE'!$A$5:$A$104,'13_VANZARI'!$A$5:$A$1004,"&gt;="&amp;'09_PARAMETRI'!$B$5,'13_VANZARI'!$A$5:$A$1004,"&lt;="&amp;'09_PARAMETRI'!$B$6)&lt;&gt;0)))</f>
        <v/>
      </c>
      <c r="N182" s="50">
        <f>IF($A182="","",IFERROR(AVERAGEIFS('15_NPS'!$F$5:$F$504,'15_NPS'!$C$5:$C$504,$A182,'15_NPS'!$B$5:$B$504,"&gt;="&amp;'09_PARAMETRI'!$B$5,'15_NPS'!$B$5:$B$504,"&lt;="&amp;'09_PARAMETRI'!$B$6),""))</f>
        <v/>
      </c>
      <c r="O182" s="39">
        <f>IF($A182="","",IF(AND($F182&gt;0,$E182=0),"Client pierdut",IF(AND($L182&lt;&gt;"",$L182&gt;'09_PARAMETRI'!$B$16,$F182&gt;0),"Client dormant",IF(AND($G182&lt;&gt;"",$G182&lt;='09_PARAMETRI'!$B$13),"Scădere de venit",IF(AND($N182&lt;&gt;"",$N182&lt;7),"Detractor activ",IF(AND($E182&gt;0,$J182&gt;'09_PARAMETRI'!$B$19),"Risc concentrare",IF(AND($E182&gt;0,$I182&lt;&gt;"",$I182&lt;'09_PARAMETRI'!$B$15),"Marjă sub referință",IF(AND($G182&lt;&gt;"",$G182&gt;='09_PARAMETRI'!$B$14),"În creștere",IF($E182=0,"Fără activitate","Stabil")))))))))</f>
        <v/>
      </c>
      <c r="P182" s="39">
        <f>IF($A182="","",IF($O182="Risc concentrare","Risc concentrare",IF($O182="Client pierdut","Recuperare client",IF($O182="Client dormant","Reactivare client",IF($O182="Scădere de venit","Recuperare client",IF($O182="Detractor activ","Recuperare NPS",IF($O182="Marjă sub referință","Marjă / preț",IF($O182="În creștere","Up-sell",IF($O182="Fără activitate","Reactivare client","Cross-sell")))))))))</f>
        <v/>
      </c>
      <c r="Q182" s="24">
        <f>IF($A182="","",IFERROR(IF($O182="Scădere de venit",MAX(0,$F182-$E182),IF(OR($O182="Client pierdut",$O182="Client dormant",$O182="Fără activitate"),$F182,IF($O182="Marjă sub referință",MAX(0,$E182*('09_PARAMETRI'!$B$15-$I182)),$E182*0.15))),""))</f>
        <v/>
      </c>
      <c r="R182" s="48">
        <f>IF(OR($A182="",$E182="",N($E182)&lt;=0),"",$E182+ROW()/1000000)</f>
        <v/>
      </c>
    </row>
    <row r="183">
      <c r="A183" s="39">
        <f>IF('10_CLIENTI'!$A183="","",'10_CLIENTI'!$A183)</f>
        <v/>
      </c>
      <c r="B183" s="39">
        <f>IF($A183="","",IFERROR(INDEX('10_CLIENTI'!$B$5:$B$204,MATCH($A183,'10_CLIENTI'!$A$5:$A$204,0)),""))</f>
        <v/>
      </c>
      <c r="C183" s="39">
        <f>IF($A183="","",IFERROR(INDEX('10_CLIENTI'!$C$5:$C$204,MATCH($A183,'10_CLIENTI'!$A$5:$A$204,0)),""))</f>
        <v/>
      </c>
      <c r="D183" s="39">
        <f>IF($A183="","",IFERROR(INDEX('10_CLIENTI'!$G$5:$G$204,MATCH($A183,'10_CLIENTI'!$A$5:$A$204,0)),""))</f>
        <v/>
      </c>
      <c r="E183" s="24">
        <f>IF($A183="","",SUMIFS('13_VANZARI'!$H$5:$H$1004,'13_VANZARI'!$D$5:$D$1004,$A183,'13_VANZARI'!$A$5:$A$1004,"&gt;="&amp;'09_PARAMETRI'!$B$5,'13_VANZARI'!$A$5:$A$1004,"&lt;="&amp;'09_PARAMETRI'!$B$6))</f>
        <v/>
      </c>
      <c r="F183" s="24">
        <f>IF($A183="","",SUMIFS('13_VANZARI'!$H$5:$H$1004,'13_VANZARI'!$D$5:$D$1004,$A183,'13_VANZARI'!$A$5:$A$1004,"&gt;="&amp;'09_PARAMETRI'!$B$7,'13_VANZARI'!$A$5:$A$1004,"&lt;="&amp;'09_PARAMETRI'!$B$8))</f>
        <v/>
      </c>
      <c r="G183" s="25">
        <f>IF($A183="","",IFERROR(IF($F183=0,"",($E183-$F183)/ABS($F183)),""))</f>
        <v/>
      </c>
      <c r="H183" s="24">
        <f>IF($A183="","",SUMIFS('13_VANZARI'!$K$5:$K$1004,'13_VANZARI'!$D$5:$D$1004,$A183,'13_VANZARI'!$A$5:$A$1004,"&gt;="&amp;'09_PARAMETRI'!$B$5,'13_VANZARI'!$A$5:$A$1004,"&lt;="&amp;'09_PARAMETRI'!$B$6))</f>
        <v/>
      </c>
      <c r="I183" s="25">
        <f>IF($A183="","",IFERROR($H183/$E183,""))</f>
        <v/>
      </c>
      <c r="J183" s="25">
        <f>IF($A183="","",IFERROR($E183/SUMIFS('13_VANZARI'!$H$5:$H$1004,'13_VANZARI'!$A$5:$A$1004,"&gt;="&amp;'09_PARAMETRI'!$B$5,'13_VANZARI'!$A$5:$A$1004,"&lt;="&amp;'09_PARAMETRI'!$B$6),""))</f>
        <v/>
      </c>
      <c r="K183" s="36">
        <f>IF($A183="","",IFERROR(IF(SUMPRODUCT(MAX(('13_VANZARI'!$D$5:$D$1004=$A183)*('13_VANZARI'!$H$5:$H$1004&lt;&gt;"")*'13_VANZARI'!$A$5:$A$1004))=0,"",SUMPRODUCT(MAX(('13_VANZARI'!$D$5:$D$1004=$A183)*('13_VANZARI'!$H$5:$H$1004&lt;&gt;"")*'13_VANZARI'!$A$5:$A$1004))),""))</f>
        <v/>
      </c>
      <c r="L183" s="24">
        <f>IF(OR($A183="",$K183=""),"",'09_PARAMETRI'!$B$9-$K183)</f>
        <v/>
      </c>
      <c r="M183" s="24">
        <f>IF($A183="","",SUMPRODUCT(('11_PRODUSE'!$A$5:$A$104&lt;&gt;"")*(SUMIFS('13_VANZARI'!$H$5:$H$1004,'13_VANZARI'!$D$5:$D$1004,$A183,'13_VANZARI'!$E$5:$E$1004,'11_PRODUSE'!$A$5:$A$104,'13_VANZARI'!$A$5:$A$1004,"&gt;="&amp;'09_PARAMETRI'!$B$5,'13_VANZARI'!$A$5:$A$1004,"&lt;="&amp;'09_PARAMETRI'!$B$6)&lt;&gt;0)))</f>
        <v/>
      </c>
      <c r="N183" s="50">
        <f>IF($A183="","",IFERROR(AVERAGEIFS('15_NPS'!$F$5:$F$504,'15_NPS'!$C$5:$C$504,$A183,'15_NPS'!$B$5:$B$504,"&gt;="&amp;'09_PARAMETRI'!$B$5,'15_NPS'!$B$5:$B$504,"&lt;="&amp;'09_PARAMETRI'!$B$6),""))</f>
        <v/>
      </c>
      <c r="O183" s="39">
        <f>IF($A183="","",IF(AND($F183&gt;0,$E183=0),"Client pierdut",IF(AND($L183&lt;&gt;"",$L183&gt;'09_PARAMETRI'!$B$16,$F183&gt;0),"Client dormant",IF(AND($G183&lt;&gt;"",$G183&lt;='09_PARAMETRI'!$B$13),"Scădere de venit",IF(AND($N183&lt;&gt;"",$N183&lt;7),"Detractor activ",IF(AND($E183&gt;0,$J183&gt;'09_PARAMETRI'!$B$19),"Risc concentrare",IF(AND($E183&gt;0,$I183&lt;&gt;"",$I183&lt;'09_PARAMETRI'!$B$15),"Marjă sub referință",IF(AND($G183&lt;&gt;"",$G183&gt;='09_PARAMETRI'!$B$14),"În creștere",IF($E183=0,"Fără activitate","Stabil")))))))))</f>
        <v/>
      </c>
      <c r="P183" s="39">
        <f>IF($A183="","",IF($O183="Risc concentrare","Risc concentrare",IF($O183="Client pierdut","Recuperare client",IF($O183="Client dormant","Reactivare client",IF($O183="Scădere de venit","Recuperare client",IF($O183="Detractor activ","Recuperare NPS",IF($O183="Marjă sub referință","Marjă / preț",IF($O183="În creștere","Up-sell",IF($O183="Fără activitate","Reactivare client","Cross-sell")))))))))</f>
        <v/>
      </c>
      <c r="Q183" s="24">
        <f>IF($A183="","",IFERROR(IF($O183="Scădere de venit",MAX(0,$F183-$E183),IF(OR($O183="Client pierdut",$O183="Client dormant",$O183="Fără activitate"),$F183,IF($O183="Marjă sub referință",MAX(0,$E183*('09_PARAMETRI'!$B$15-$I183)),$E183*0.15))),""))</f>
        <v/>
      </c>
      <c r="R183" s="48">
        <f>IF(OR($A183="",$E183="",N($E183)&lt;=0),"",$E183+ROW()/1000000)</f>
        <v/>
      </c>
    </row>
    <row r="184">
      <c r="A184" s="39">
        <f>IF('10_CLIENTI'!$A184="","",'10_CLIENTI'!$A184)</f>
        <v/>
      </c>
      <c r="B184" s="39">
        <f>IF($A184="","",IFERROR(INDEX('10_CLIENTI'!$B$5:$B$204,MATCH($A184,'10_CLIENTI'!$A$5:$A$204,0)),""))</f>
        <v/>
      </c>
      <c r="C184" s="39">
        <f>IF($A184="","",IFERROR(INDEX('10_CLIENTI'!$C$5:$C$204,MATCH($A184,'10_CLIENTI'!$A$5:$A$204,0)),""))</f>
        <v/>
      </c>
      <c r="D184" s="39">
        <f>IF($A184="","",IFERROR(INDEX('10_CLIENTI'!$G$5:$G$204,MATCH($A184,'10_CLIENTI'!$A$5:$A$204,0)),""))</f>
        <v/>
      </c>
      <c r="E184" s="24">
        <f>IF($A184="","",SUMIFS('13_VANZARI'!$H$5:$H$1004,'13_VANZARI'!$D$5:$D$1004,$A184,'13_VANZARI'!$A$5:$A$1004,"&gt;="&amp;'09_PARAMETRI'!$B$5,'13_VANZARI'!$A$5:$A$1004,"&lt;="&amp;'09_PARAMETRI'!$B$6))</f>
        <v/>
      </c>
      <c r="F184" s="24">
        <f>IF($A184="","",SUMIFS('13_VANZARI'!$H$5:$H$1004,'13_VANZARI'!$D$5:$D$1004,$A184,'13_VANZARI'!$A$5:$A$1004,"&gt;="&amp;'09_PARAMETRI'!$B$7,'13_VANZARI'!$A$5:$A$1004,"&lt;="&amp;'09_PARAMETRI'!$B$8))</f>
        <v/>
      </c>
      <c r="G184" s="25">
        <f>IF($A184="","",IFERROR(IF($F184=0,"",($E184-$F184)/ABS($F184)),""))</f>
        <v/>
      </c>
      <c r="H184" s="24">
        <f>IF($A184="","",SUMIFS('13_VANZARI'!$K$5:$K$1004,'13_VANZARI'!$D$5:$D$1004,$A184,'13_VANZARI'!$A$5:$A$1004,"&gt;="&amp;'09_PARAMETRI'!$B$5,'13_VANZARI'!$A$5:$A$1004,"&lt;="&amp;'09_PARAMETRI'!$B$6))</f>
        <v/>
      </c>
      <c r="I184" s="25">
        <f>IF($A184="","",IFERROR($H184/$E184,""))</f>
        <v/>
      </c>
      <c r="J184" s="25">
        <f>IF($A184="","",IFERROR($E184/SUMIFS('13_VANZARI'!$H$5:$H$1004,'13_VANZARI'!$A$5:$A$1004,"&gt;="&amp;'09_PARAMETRI'!$B$5,'13_VANZARI'!$A$5:$A$1004,"&lt;="&amp;'09_PARAMETRI'!$B$6),""))</f>
        <v/>
      </c>
      <c r="K184" s="36">
        <f>IF($A184="","",IFERROR(IF(SUMPRODUCT(MAX(('13_VANZARI'!$D$5:$D$1004=$A184)*('13_VANZARI'!$H$5:$H$1004&lt;&gt;"")*'13_VANZARI'!$A$5:$A$1004))=0,"",SUMPRODUCT(MAX(('13_VANZARI'!$D$5:$D$1004=$A184)*('13_VANZARI'!$H$5:$H$1004&lt;&gt;"")*'13_VANZARI'!$A$5:$A$1004))),""))</f>
        <v/>
      </c>
      <c r="L184" s="24">
        <f>IF(OR($A184="",$K184=""),"",'09_PARAMETRI'!$B$9-$K184)</f>
        <v/>
      </c>
      <c r="M184" s="24">
        <f>IF($A184="","",SUMPRODUCT(('11_PRODUSE'!$A$5:$A$104&lt;&gt;"")*(SUMIFS('13_VANZARI'!$H$5:$H$1004,'13_VANZARI'!$D$5:$D$1004,$A184,'13_VANZARI'!$E$5:$E$1004,'11_PRODUSE'!$A$5:$A$104,'13_VANZARI'!$A$5:$A$1004,"&gt;="&amp;'09_PARAMETRI'!$B$5,'13_VANZARI'!$A$5:$A$1004,"&lt;="&amp;'09_PARAMETRI'!$B$6)&lt;&gt;0)))</f>
        <v/>
      </c>
      <c r="N184" s="50">
        <f>IF($A184="","",IFERROR(AVERAGEIFS('15_NPS'!$F$5:$F$504,'15_NPS'!$C$5:$C$504,$A184,'15_NPS'!$B$5:$B$504,"&gt;="&amp;'09_PARAMETRI'!$B$5,'15_NPS'!$B$5:$B$504,"&lt;="&amp;'09_PARAMETRI'!$B$6),""))</f>
        <v/>
      </c>
      <c r="O184" s="39">
        <f>IF($A184="","",IF(AND($F184&gt;0,$E184=0),"Client pierdut",IF(AND($L184&lt;&gt;"",$L184&gt;'09_PARAMETRI'!$B$16,$F184&gt;0),"Client dormant",IF(AND($G184&lt;&gt;"",$G184&lt;='09_PARAMETRI'!$B$13),"Scădere de venit",IF(AND($N184&lt;&gt;"",$N184&lt;7),"Detractor activ",IF(AND($E184&gt;0,$J184&gt;'09_PARAMETRI'!$B$19),"Risc concentrare",IF(AND($E184&gt;0,$I184&lt;&gt;"",$I184&lt;'09_PARAMETRI'!$B$15),"Marjă sub referință",IF(AND($G184&lt;&gt;"",$G184&gt;='09_PARAMETRI'!$B$14),"În creștere",IF($E184=0,"Fără activitate","Stabil")))))))))</f>
        <v/>
      </c>
      <c r="P184" s="39">
        <f>IF($A184="","",IF($O184="Risc concentrare","Risc concentrare",IF($O184="Client pierdut","Recuperare client",IF($O184="Client dormant","Reactivare client",IF($O184="Scădere de venit","Recuperare client",IF($O184="Detractor activ","Recuperare NPS",IF($O184="Marjă sub referință","Marjă / preț",IF($O184="În creștere","Up-sell",IF($O184="Fără activitate","Reactivare client","Cross-sell")))))))))</f>
        <v/>
      </c>
      <c r="Q184" s="24">
        <f>IF($A184="","",IFERROR(IF($O184="Scădere de venit",MAX(0,$F184-$E184),IF(OR($O184="Client pierdut",$O184="Client dormant",$O184="Fără activitate"),$F184,IF($O184="Marjă sub referință",MAX(0,$E184*('09_PARAMETRI'!$B$15-$I184)),$E184*0.15))),""))</f>
        <v/>
      </c>
      <c r="R184" s="48">
        <f>IF(OR($A184="",$E184="",N($E184)&lt;=0),"",$E184+ROW()/1000000)</f>
        <v/>
      </c>
    </row>
    <row r="185">
      <c r="A185" s="39">
        <f>IF('10_CLIENTI'!$A185="","",'10_CLIENTI'!$A185)</f>
        <v/>
      </c>
      <c r="B185" s="39">
        <f>IF($A185="","",IFERROR(INDEX('10_CLIENTI'!$B$5:$B$204,MATCH($A185,'10_CLIENTI'!$A$5:$A$204,0)),""))</f>
        <v/>
      </c>
      <c r="C185" s="39">
        <f>IF($A185="","",IFERROR(INDEX('10_CLIENTI'!$C$5:$C$204,MATCH($A185,'10_CLIENTI'!$A$5:$A$204,0)),""))</f>
        <v/>
      </c>
      <c r="D185" s="39">
        <f>IF($A185="","",IFERROR(INDEX('10_CLIENTI'!$G$5:$G$204,MATCH($A185,'10_CLIENTI'!$A$5:$A$204,0)),""))</f>
        <v/>
      </c>
      <c r="E185" s="24">
        <f>IF($A185="","",SUMIFS('13_VANZARI'!$H$5:$H$1004,'13_VANZARI'!$D$5:$D$1004,$A185,'13_VANZARI'!$A$5:$A$1004,"&gt;="&amp;'09_PARAMETRI'!$B$5,'13_VANZARI'!$A$5:$A$1004,"&lt;="&amp;'09_PARAMETRI'!$B$6))</f>
        <v/>
      </c>
      <c r="F185" s="24">
        <f>IF($A185="","",SUMIFS('13_VANZARI'!$H$5:$H$1004,'13_VANZARI'!$D$5:$D$1004,$A185,'13_VANZARI'!$A$5:$A$1004,"&gt;="&amp;'09_PARAMETRI'!$B$7,'13_VANZARI'!$A$5:$A$1004,"&lt;="&amp;'09_PARAMETRI'!$B$8))</f>
        <v/>
      </c>
      <c r="G185" s="25">
        <f>IF($A185="","",IFERROR(IF($F185=0,"",($E185-$F185)/ABS($F185)),""))</f>
        <v/>
      </c>
      <c r="H185" s="24">
        <f>IF($A185="","",SUMIFS('13_VANZARI'!$K$5:$K$1004,'13_VANZARI'!$D$5:$D$1004,$A185,'13_VANZARI'!$A$5:$A$1004,"&gt;="&amp;'09_PARAMETRI'!$B$5,'13_VANZARI'!$A$5:$A$1004,"&lt;="&amp;'09_PARAMETRI'!$B$6))</f>
        <v/>
      </c>
      <c r="I185" s="25">
        <f>IF($A185="","",IFERROR($H185/$E185,""))</f>
        <v/>
      </c>
      <c r="J185" s="25">
        <f>IF($A185="","",IFERROR($E185/SUMIFS('13_VANZARI'!$H$5:$H$1004,'13_VANZARI'!$A$5:$A$1004,"&gt;="&amp;'09_PARAMETRI'!$B$5,'13_VANZARI'!$A$5:$A$1004,"&lt;="&amp;'09_PARAMETRI'!$B$6),""))</f>
        <v/>
      </c>
      <c r="K185" s="36">
        <f>IF($A185="","",IFERROR(IF(SUMPRODUCT(MAX(('13_VANZARI'!$D$5:$D$1004=$A185)*('13_VANZARI'!$H$5:$H$1004&lt;&gt;"")*'13_VANZARI'!$A$5:$A$1004))=0,"",SUMPRODUCT(MAX(('13_VANZARI'!$D$5:$D$1004=$A185)*('13_VANZARI'!$H$5:$H$1004&lt;&gt;"")*'13_VANZARI'!$A$5:$A$1004))),""))</f>
        <v/>
      </c>
      <c r="L185" s="24">
        <f>IF(OR($A185="",$K185=""),"",'09_PARAMETRI'!$B$9-$K185)</f>
        <v/>
      </c>
      <c r="M185" s="24">
        <f>IF($A185="","",SUMPRODUCT(('11_PRODUSE'!$A$5:$A$104&lt;&gt;"")*(SUMIFS('13_VANZARI'!$H$5:$H$1004,'13_VANZARI'!$D$5:$D$1004,$A185,'13_VANZARI'!$E$5:$E$1004,'11_PRODUSE'!$A$5:$A$104,'13_VANZARI'!$A$5:$A$1004,"&gt;="&amp;'09_PARAMETRI'!$B$5,'13_VANZARI'!$A$5:$A$1004,"&lt;="&amp;'09_PARAMETRI'!$B$6)&lt;&gt;0)))</f>
        <v/>
      </c>
      <c r="N185" s="50">
        <f>IF($A185="","",IFERROR(AVERAGEIFS('15_NPS'!$F$5:$F$504,'15_NPS'!$C$5:$C$504,$A185,'15_NPS'!$B$5:$B$504,"&gt;="&amp;'09_PARAMETRI'!$B$5,'15_NPS'!$B$5:$B$504,"&lt;="&amp;'09_PARAMETRI'!$B$6),""))</f>
        <v/>
      </c>
      <c r="O185" s="39">
        <f>IF($A185="","",IF(AND($F185&gt;0,$E185=0),"Client pierdut",IF(AND($L185&lt;&gt;"",$L185&gt;'09_PARAMETRI'!$B$16,$F185&gt;0),"Client dormant",IF(AND($G185&lt;&gt;"",$G185&lt;='09_PARAMETRI'!$B$13),"Scădere de venit",IF(AND($N185&lt;&gt;"",$N185&lt;7),"Detractor activ",IF(AND($E185&gt;0,$J185&gt;'09_PARAMETRI'!$B$19),"Risc concentrare",IF(AND($E185&gt;0,$I185&lt;&gt;"",$I185&lt;'09_PARAMETRI'!$B$15),"Marjă sub referință",IF(AND($G185&lt;&gt;"",$G185&gt;='09_PARAMETRI'!$B$14),"În creștere",IF($E185=0,"Fără activitate","Stabil")))))))))</f>
        <v/>
      </c>
      <c r="P185" s="39">
        <f>IF($A185="","",IF($O185="Risc concentrare","Risc concentrare",IF($O185="Client pierdut","Recuperare client",IF($O185="Client dormant","Reactivare client",IF($O185="Scădere de venit","Recuperare client",IF($O185="Detractor activ","Recuperare NPS",IF($O185="Marjă sub referință","Marjă / preț",IF($O185="În creștere","Up-sell",IF($O185="Fără activitate","Reactivare client","Cross-sell")))))))))</f>
        <v/>
      </c>
      <c r="Q185" s="24">
        <f>IF($A185="","",IFERROR(IF($O185="Scădere de venit",MAX(0,$F185-$E185),IF(OR($O185="Client pierdut",$O185="Client dormant",$O185="Fără activitate"),$F185,IF($O185="Marjă sub referință",MAX(0,$E185*('09_PARAMETRI'!$B$15-$I185)),$E185*0.15))),""))</f>
        <v/>
      </c>
      <c r="R185" s="48">
        <f>IF(OR($A185="",$E185="",N($E185)&lt;=0),"",$E185+ROW()/1000000)</f>
        <v/>
      </c>
    </row>
    <row r="186">
      <c r="A186" s="39">
        <f>IF('10_CLIENTI'!$A186="","",'10_CLIENTI'!$A186)</f>
        <v/>
      </c>
      <c r="B186" s="39">
        <f>IF($A186="","",IFERROR(INDEX('10_CLIENTI'!$B$5:$B$204,MATCH($A186,'10_CLIENTI'!$A$5:$A$204,0)),""))</f>
        <v/>
      </c>
      <c r="C186" s="39">
        <f>IF($A186="","",IFERROR(INDEX('10_CLIENTI'!$C$5:$C$204,MATCH($A186,'10_CLIENTI'!$A$5:$A$204,0)),""))</f>
        <v/>
      </c>
      <c r="D186" s="39">
        <f>IF($A186="","",IFERROR(INDEX('10_CLIENTI'!$G$5:$G$204,MATCH($A186,'10_CLIENTI'!$A$5:$A$204,0)),""))</f>
        <v/>
      </c>
      <c r="E186" s="24">
        <f>IF($A186="","",SUMIFS('13_VANZARI'!$H$5:$H$1004,'13_VANZARI'!$D$5:$D$1004,$A186,'13_VANZARI'!$A$5:$A$1004,"&gt;="&amp;'09_PARAMETRI'!$B$5,'13_VANZARI'!$A$5:$A$1004,"&lt;="&amp;'09_PARAMETRI'!$B$6))</f>
        <v/>
      </c>
      <c r="F186" s="24">
        <f>IF($A186="","",SUMIFS('13_VANZARI'!$H$5:$H$1004,'13_VANZARI'!$D$5:$D$1004,$A186,'13_VANZARI'!$A$5:$A$1004,"&gt;="&amp;'09_PARAMETRI'!$B$7,'13_VANZARI'!$A$5:$A$1004,"&lt;="&amp;'09_PARAMETRI'!$B$8))</f>
        <v/>
      </c>
      <c r="G186" s="25">
        <f>IF($A186="","",IFERROR(IF($F186=0,"",($E186-$F186)/ABS($F186)),""))</f>
        <v/>
      </c>
      <c r="H186" s="24">
        <f>IF($A186="","",SUMIFS('13_VANZARI'!$K$5:$K$1004,'13_VANZARI'!$D$5:$D$1004,$A186,'13_VANZARI'!$A$5:$A$1004,"&gt;="&amp;'09_PARAMETRI'!$B$5,'13_VANZARI'!$A$5:$A$1004,"&lt;="&amp;'09_PARAMETRI'!$B$6))</f>
        <v/>
      </c>
      <c r="I186" s="25">
        <f>IF($A186="","",IFERROR($H186/$E186,""))</f>
        <v/>
      </c>
      <c r="J186" s="25">
        <f>IF($A186="","",IFERROR($E186/SUMIFS('13_VANZARI'!$H$5:$H$1004,'13_VANZARI'!$A$5:$A$1004,"&gt;="&amp;'09_PARAMETRI'!$B$5,'13_VANZARI'!$A$5:$A$1004,"&lt;="&amp;'09_PARAMETRI'!$B$6),""))</f>
        <v/>
      </c>
      <c r="K186" s="36">
        <f>IF($A186="","",IFERROR(IF(SUMPRODUCT(MAX(('13_VANZARI'!$D$5:$D$1004=$A186)*('13_VANZARI'!$H$5:$H$1004&lt;&gt;"")*'13_VANZARI'!$A$5:$A$1004))=0,"",SUMPRODUCT(MAX(('13_VANZARI'!$D$5:$D$1004=$A186)*('13_VANZARI'!$H$5:$H$1004&lt;&gt;"")*'13_VANZARI'!$A$5:$A$1004))),""))</f>
        <v/>
      </c>
      <c r="L186" s="24">
        <f>IF(OR($A186="",$K186=""),"",'09_PARAMETRI'!$B$9-$K186)</f>
        <v/>
      </c>
      <c r="M186" s="24">
        <f>IF($A186="","",SUMPRODUCT(('11_PRODUSE'!$A$5:$A$104&lt;&gt;"")*(SUMIFS('13_VANZARI'!$H$5:$H$1004,'13_VANZARI'!$D$5:$D$1004,$A186,'13_VANZARI'!$E$5:$E$1004,'11_PRODUSE'!$A$5:$A$104,'13_VANZARI'!$A$5:$A$1004,"&gt;="&amp;'09_PARAMETRI'!$B$5,'13_VANZARI'!$A$5:$A$1004,"&lt;="&amp;'09_PARAMETRI'!$B$6)&lt;&gt;0)))</f>
        <v/>
      </c>
      <c r="N186" s="50">
        <f>IF($A186="","",IFERROR(AVERAGEIFS('15_NPS'!$F$5:$F$504,'15_NPS'!$C$5:$C$504,$A186,'15_NPS'!$B$5:$B$504,"&gt;="&amp;'09_PARAMETRI'!$B$5,'15_NPS'!$B$5:$B$504,"&lt;="&amp;'09_PARAMETRI'!$B$6),""))</f>
        <v/>
      </c>
      <c r="O186" s="39">
        <f>IF($A186="","",IF(AND($F186&gt;0,$E186=0),"Client pierdut",IF(AND($L186&lt;&gt;"",$L186&gt;'09_PARAMETRI'!$B$16,$F186&gt;0),"Client dormant",IF(AND($G186&lt;&gt;"",$G186&lt;='09_PARAMETRI'!$B$13),"Scădere de venit",IF(AND($N186&lt;&gt;"",$N186&lt;7),"Detractor activ",IF(AND($E186&gt;0,$J186&gt;'09_PARAMETRI'!$B$19),"Risc concentrare",IF(AND($E186&gt;0,$I186&lt;&gt;"",$I186&lt;'09_PARAMETRI'!$B$15),"Marjă sub referință",IF(AND($G186&lt;&gt;"",$G186&gt;='09_PARAMETRI'!$B$14),"În creștere",IF($E186=0,"Fără activitate","Stabil")))))))))</f>
        <v/>
      </c>
      <c r="P186" s="39">
        <f>IF($A186="","",IF($O186="Risc concentrare","Risc concentrare",IF($O186="Client pierdut","Recuperare client",IF($O186="Client dormant","Reactivare client",IF($O186="Scădere de venit","Recuperare client",IF($O186="Detractor activ","Recuperare NPS",IF($O186="Marjă sub referință","Marjă / preț",IF($O186="În creștere","Up-sell",IF($O186="Fără activitate","Reactivare client","Cross-sell")))))))))</f>
        <v/>
      </c>
      <c r="Q186" s="24">
        <f>IF($A186="","",IFERROR(IF($O186="Scădere de venit",MAX(0,$F186-$E186),IF(OR($O186="Client pierdut",$O186="Client dormant",$O186="Fără activitate"),$F186,IF($O186="Marjă sub referință",MAX(0,$E186*('09_PARAMETRI'!$B$15-$I186)),$E186*0.15))),""))</f>
        <v/>
      </c>
      <c r="R186" s="48">
        <f>IF(OR($A186="",$E186="",N($E186)&lt;=0),"",$E186+ROW()/1000000)</f>
        <v/>
      </c>
    </row>
    <row r="187">
      <c r="A187" s="39">
        <f>IF('10_CLIENTI'!$A187="","",'10_CLIENTI'!$A187)</f>
        <v/>
      </c>
      <c r="B187" s="39">
        <f>IF($A187="","",IFERROR(INDEX('10_CLIENTI'!$B$5:$B$204,MATCH($A187,'10_CLIENTI'!$A$5:$A$204,0)),""))</f>
        <v/>
      </c>
      <c r="C187" s="39">
        <f>IF($A187="","",IFERROR(INDEX('10_CLIENTI'!$C$5:$C$204,MATCH($A187,'10_CLIENTI'!$A$5:$A$204,0)),""))</f>
        <v/>
      </c>
      <c r="D187" s="39">
        <f>IF($A187="","",IFERROR(INDEX('10_CLIENTI'!$G$5:$G$204,MATCH($A187,'10_CLIENTI'!$A$5:$A$204,0)),""))</f>
        <v/>
      </c>
      <c r="E187" s="24">
        <f>IF($A187="","",SUMIFS('13_VANZARI'!$H$5:$H$1004,'13_VANZARI'!$D$5:$D$1004,$A187,'13_VANZARI'!$A$5:$A$1004,"&gt;="&amp;'09_PARAMETRI'!$B$5,'13_VANZARI'!$A$5:$A$1004,"&lt;="&amp;'09_PARAMETRI'!$B$6))</f>
        <v/>
      </c>
      <c r="F187" s="24">
        <f>IF($A187="","",SUMIFS('13_VANZARI'!$H$5:$H$1004,'13_VANZARI'!$D$5:$D$1004,$A187,'13_VANZARI'!$A$5:$A$1004,"&gt;="&amp;'09_PARAMETRI'!$B$7,'13_VANZARI'!$A$5:$A$1004,"&lt;="&amp;'09_PARAMETRI'!$B$8))</f>
        <v/>
      </c>
      <c r="G187" s="25">
        <f>IF($A187="","",IFERROR(IF($F187=0,"",($E187-$F187)/ABS($F187)),""))</f>
        <v/>
      </c>
      <c r="H187" s="24">
        <f>IF($A187="","",SUMIFS('13_VANZARI'!$K$5:$K$1004,'13_VANZARI'!$D$5:$D$1004,$A187,'13_VANZARI'!$A$5:$A$1004,"&gt;="&amp;'09_PARAMETRI'!$B$5,'13_VANZARI'!$A$5:$A$1004,"&lt;="&amp;'09_PARAMETRI'!$B$6))</f>
        <v/>
      </c>
      <c r="I187" s="25">
        <f>IF($A187="","",IFERROR($H187/$E187,""))</f>
        <v/>
      </c>
      <c r="J187" s="25">
        <f>IF($A187="","",IFERROR($E187/SUMIFS('13_VANZARI'!$H$5:$H$1004,'13_VANZARI'!$A$5:$A$1004,"&gt;="&amp;'09_PARAMETRI'!$B$5,'13_VANZARI'!$A$5:$A$1004,"&lt;="&amp;'09_PARAMETRI'!$B$6),""))</f>
        <v/>
      </c>
      <c r="K187" s="36">
        <f>IF($A187="","",IFERROR(IF(SUMPRODUCT(MAX(('13_VANZARI'!$D$5:$D$1004=$A187)*('13_VANZARI'!$H$5:$H$1004&lt;&gt;"")*'13_VANZARI'!$A$5:$A$1004))=0,"",SUMPRODUCT(MAX(('13_VANZARI'!$D$5:$D$1004=$A187)*('13_VANZARI'!$H$5:$H$1004&lt;&gt;"")*'13_VANZARI'!$A$5:$A$1004))),""))</f>
        <v/>
      </c>
      <c r="L187" s="24">
        <f>IF(OR($A187="",$K187=""),"",'09_PARAMETRI'!$B$9-$K187)</f>
        <v/>
      </c>
      <c r="M187" s="24">
        <f>IF($A187="","",SUMPRODUCT(('11_PRODUSE'!$A$5:$A$104&lt;&gt;"")*(SUMIFS('13_VANZARI'!$H$5:$H$1004,'13_VANZARI'!$D$5:$D$1004,$A187,'13_VANZARI'!$E$5:$E$1004,'11_PRODUSE'!$A$5:$A$104,'13_VANZARI'!$A$5:$A$1004,"&gt;="&amp;'09_PARAMETRI'!$B$5,'13_VANZARI'!$A$5:$A$1004,"&lt;="&amp;'09_PARAMETRI'!$B$6)&lt;&gt;0)))</f>
        <v/>
      </c>
      <c r="N187" s="50">
        <f>IF($A187="","",IFERROR(AVERAGEIFS('15_NPS'!$F$5:$F$504,'15_NPS'!$C$5:$C$504,$A187,'15_NPS'!$B$5:$B$504,"&gt;="&amp;'09_PARAMETRI'!$B$5,'15_NPS'!$B$5:$B$504,"&lt;="&amp;'09_PARAMETRI'!$B$6),""))</f>
        <v/>
      </c>
      <c r="O187" s="39">
        <f>IF($A187="","",IF(AND($F187&gt;0,$E187=0),"Client pierdut",IF(AND($L187&lt;&gt;"",$L187&gt;'09_PARAMETRI'!$B$16,$F187&gt;0),"Client dormant",IF(AND($G187&lt;&gt;"",$G187&lt;='09_PARAMETRI'!$B$13),"Scădere de venit",IF(AND($N187&lt;&gt;"",$N187&lt;7),"Detractor activ",IF(AND($E187&gt;0,$J187&gt;'09_PARAMETRI'!$B$19),"Risc concentrare",IF(AND($E187&gt;0,$I187&lt;&gt;"",$I187&lt;'09_PARAMETRI'!$B$15),"Marjă sub referință",IF(AND($G187&lt;&gt;"",$G187&gt;='09_PARAMETRI'!$B$14),"În creștere",IF($E187=0,"Fără activitate","Stabil")))))))))</f>
        <v/>
      </c>
      <c r="P187" s="39">
        <f>IF($A187="","",IF($O187="Risc concentrare","Risc concentrare",IF($O187="Client pierdut","Recuperare client",IF($O187="Client dormant","Reactivare client",IF($O187="Scădere de venit","Recuperare client",IF($O187="Detractor activ","Recuperare NPS",IF($O187="Marjă sub referință","Marjă / preț",IF($O187="În creștere","Up-sell",IF($O187="Fără activitate","Reactivare client","Cross-sell")))))))))</f>
        <v/>
      </c>
      <c r="Q187" s="24">
        <f>IF($A187="","",IFERROR(IF($O187="Scădere de venit",MAX(0,$F187-$E187),IF(OR($O187="Client pierdut",$O187="Client dormant",$O187="Fără activitate"),$F187,IF($O187="Marjă sub referință",MAX(0,$E187*('09_PARAMETRI'!$B$15-$I187)),$E187*0.15))),""))</f>
        <v/>
      </c>
      <c r="R187" s="48">
        <f>IF(OR($A187="",$E187="",N($E187)&lt;=0),"",$E187+ROW()/1000000)</f>
        <v/>
      </c>
    </row>
    <row r="188">
      <c r="A188" s="39">
        <f>IF('10_CLIENTI'!$A188="","",'10_CLIENTI'!$A188)</f>
        <v/>
      </c>
      <c r="B188" s="39">
        <f>IF($A188="","",IFERROR(INDEX('10_CLIENTI'!$B$5:$B$204,MATCH($A188,'10_CLIENTI'!$A$5:$A$204,0)),""))</f>
        <v/>
      </c>
      <c r="C188" s="39">
        <f>IF($A188="","",IFERROR(INDEX('10_CLIENTI'!$C$5:$C$204,MATCH($A188,'10_CLIENTI'!$A$5:$A$204,0)),""))</f>
        <v/>
      </c>
      <c r="D188" s="39">
        <f>IF($A188="","",IFERROR(INDEX('10_CLIENTI'!$G$5:$G$204,MATCH($A188,'10_CLIENTI'!$A$5:$A$204,0)),""))</f>
        <v/>
      </c>
      <c r="E188" s="24">
        <f>IF($A188="","",SUMIFS('13_VANZARI'!$H$5:$H$1004,'13_VANZARI'!$D$5:$D$1004,$A188,'13_VANZARI'!$A$5:$A$1004,"&gt;="&amp;'09_PARAMETRI'!$B$5,'13_VANZARI'!$A$5:$A$1004,"&lt;="&amp;'09_PARAMETRI'!$B$6))</f>
        <v/>
      </c>
      <c r="F188" s="24">
        <f>IF($A188="","",SUMIFS('13_VANZARI'!$H$5:$H$1004,'13_VANZARI'!$D$5:$D$1004,$A188,'13_VANZARI'!$A$5:$A$1004,"&gt;="&amp;'09_PARAMETRI'!$B$7,'13_VANZARI'!$A$5:$A$1004,"&lt;="&amp;'09_PARAMETRI'!$B$8))</f>
        <v/>
      </c>
      <c r="G188" s="25">
        <f>IF($A188="","",IFERROR(IF($F188=0,"",($E188-$F188)/ABS($F188)),""))</f>
        <v/>
      </c>
      <c r="H188" s="24">
        <f>IF($A188="","",SUMIFS('13_VANZARI'!$K$5:$K$1004,'13_VANZARI'!$D$5:$D$1004,$A188,'13_VANZARI'!$A$5:$A$1004,"&gt;="&amp;'09_PARAMETRI'!$B$5,'13_VANZARI'!$A$5:$A$1004,"&lt;="&amp;'09_PARAMETRI'!$B$6))</f>
        <v/>
      </c>
      <c r="I188" s="25">
        <f>IF($A188="","",IFERROR($H188/$E188,""))</f>
        <v/>
      </c>
      <c r="J188" s="25">
        <f>IF($A188="","",IFERROR($E188/SUMIFS('13_VANZARI'!$H$5:$H$1004,'13_VANZARI'!$A$5:$A$1004,"&gt;="&amp;'09_PARAMETRI'!$B$5,'13_VANZARI'!$A$5:$A$1004,"&lt;="&amp;'09_PARAMETRI'!$B$6),""))</f>
        <v/>
      </c>
      <c r="K188" s="36">
        <f>IF($A188="","",IFERROR(IF(SUMPRODUCT(MAX(('13_VANZARI'!$D$5:$D$1004=$A188)*('13_VANZARI'!$H$5:$H$1004&lt;&gt;"")*'13_VANZARI'!$A$5:$A$1004))=0,"",SUMPRODUCT(MAX(('13_VANZARI'!$D$5:$D$1004=$A188)*('13_VANZARI'!$H$5:$H$1004&lt;&gt;"")*'13_VANZARI'!$A$5:$A$1004))),""))</f>
        <v/>
      </c>
      <c r="L188" s="24">
        <f>IF(OR($A188="",$K188=""),"",'09_PARAMETRI'!$B$9-$K188)</f>
        <v/>
      </c>
      <c r="M188" s="24">
        <f>IF($A188="","",SUMPRODUCT(('11_PRODUSE'!$A$5:$A$104&lt;&gt;"")*(SUMIFS('13_VANZARI'!$H$5:$H$1004,'13_VANZARI'!$D$5:$D$1004,$A188,'13_VANZARI'!$E$5:$E$1004,'11_PRODUSE'!$A$5:$A$104,'13_VANZARI'!$A$5:$A$1004,"&gt;="&amp;'09_PARAMETRI'!$B$5,'13_VANZARI'!$A$5:$A$1004,"&lt;="&amp;'09_PARAMETRI'!$B$6)&lt;&gt;0)))</f>
        <v/>
      </c>
      <c r="N188" s="50">
        <f>IF($A188="","",IFERROR(AVERAGEIFS('15_NPS'!$F$5:$F$504,'15_NPS'!$C$5:$C$504,$A188,'15_NPS'!$B$5:$B$504,"&gt;="&amp;'09_PARAMETRI'!$B$5,'15_NPS'!$B$5:$B$504,"&lt;="&amp;'09_PARAMETRI'!$B$6),""))</f>
        <v/>
      </c>
      <c r="O188" s="39">
        <f>IF($A188="","",IF(AND($F188&gt;0,$E188=0),"Client pierdut",IF(AND($L188&lt;&gt;"",$L188&gt;'09_PARAMETRI'!$B$16,$F188&gt;0),"Client dormant",IF(AND($G188&lt;&gt;"",$G188&lt;='09_PARAMETRI'!$B$13),"Scădere de venit",IF(AND($N188&lt;&gt;"",$N188&lt;7),"Detractor activ",IF(AND($E188&gt;0,$J188&gt;'09_PARAMETRI'!$B$19),"Risc concentrare",IF(AND($E188&gt;0,$I188&lt;&gt;"",$I188&lt;'09_PARAMETRI'!$B$15),"Marjă sub referință",IF(AND($G188&lt;&gt;"",$G188&gt;='09_PARAMETRI'!$B$14),"În creștere",IF($E188=0,"Fără activitate","Stabil")))))))))</f>
        <v/>
      </c>
      <c r="P188" s="39">
        <f>IF($A188="","",IF($O188="Risc concentrare","Risc concentrare",IF($O188="Client pierdut","Recuperare client",IF($O188="Client dormant","Reactivare client",IF($O188="Scădere de venit","Recuperare client",IF($O188="Detractor activ","Recuperare NPS",IF($O188="Marjă sub referință","Marjă / preț",IF($O188="În creștere","Up-sell",IF($O188="Fără activitate","Reactivare client","Cross-sell")))))))))</f>
        <v/>
      </c>
      <c r="Q188" s="24">
        <f>IF($A188="","",IFERROR(IF($O188="Scădere de venit",MAX(0,$F188-$E188),IF(OR($O188="Client pierdut",$O188="Client dormant",$O188="Fără activitate"),$F188,IF($O188="Marjă sub referință",MAX(0,$E188*('09_PARAMETRI'!$B$15-$I188)),$E188*0.15))),""))</f>
        <v/>
      </c>
      <c r="R188" s="48">
        <f>IF(OR($A188="",$E188="",N($E188)&lt;=0),"",$E188+ROW()/1000000)</f>
        <v/>
      </c>
    </row>
    <row r="189">
      <c r="A189" s="39">
        <f>IF('10_CLIENTI'!$A189="","",'10_CLIENTI'!$A189)</f>
        <v/>
      </c>
      <c r="B189" s="39">
        <f>IF($A189="","",IFERROR(INDEX('10_CLIENTI'!$B$5:$B$204,MATCH($A189,'10_CLIENTI'!$A$5:$A$204,0)),""))</f>
        <v/>
      </c>
      <c r="C189" s="39">
        <f>IF($A189="","",IFERROR(INDEX('10_CLIENTI'!$C$5:$C$204,MATCH($A189,'10_CLIENTI'!$A$5:$A$204,0)),""))</f>
        <v/>
      </c>
      <c r="D189" s="39">
        <f>IF($A189="","",IFERROR(INDEX('10_CLIENTI'!$G$5:$G$204,MATCH($A189,'10_CLIENTI'!$A$5:$A$204,0)),""))</f>
        <v/>
      </c>
      <c r="E189" s="24">
        <f>IF($A189="","",SUMIFS('13_VANZARI'!$H$5:$H$1004,'13_VANZARI'!$D$5:$D$1004,$A189,'13_VANZARI'!$A$5:$A$1004,"&gt;="&amp;'09_PARAMETRI'!$B$5,'13_VANZARI'!$A$5:$A$1004,"&lt;="&amp;'09_PARAMETRI'!$B$6))</f>
        <v/>
      </c>
      <c r="F189" s="24">
        <f>IF($A189="","",SUMIFS('13_VANZARI'!$H$5:$H$1004,'13_VANZARI'!$D$5:$D$1004,$A189,'13_VANZARI'!$A$5:$A$1004,"&gt;="&amp;'09_PARAMETRI'!$B$7,'13_VANZARI'!$A$5:$A$1004,"&lt;="&amp;'09_PARAMETRI'!$B$8))</f>
        <v/>
      </c>
      <c r="G189" s="25">
        <f>IF($A189="","",IFERROR(IF($F189=0,"",($E189-$F189)/ABS($F189)),""))</f>
        <v/>
      </c>
      <c r="H189" s="24">
        <f>IF($A189="","",SUMIFS('13_VANZARI'!$K$5:$K$1004,'13_VANZARI'!$D$5:$D$1004,$A189,'13_VANZARI'!$A$5:$A$1004,"&gt;="&amp;'09_PARAMETRI'!$B$5,'13_VANZARI'!$A$5:$A$1004,"&lt;="&amp;'09_PARAMETRI'!$B$6))</f>
        <v/>
      </c>
      <c r="I189" s="25">
        <f>IF($A189="","",IFERROR($H189/$E189,""))</f>
        <v/>
      </c>
      <c r="J189" s="25">
        <f>IF($A189="","",IFERROR($E189/SUMIFS('13_VANZARI'!$H$5:$H$1004,'13_VANZARI'!$A$5:$A$1004,"&gt;="&amp;'09_PARAMETRI'!$B$5,'13_VANZARI'!$A$5:$A$1004,"&lt;="&amp;'09_PARAMETRI'!$B$6),""))</f>
        <v/>
      </c>
      <c r="K189" s="36">
        <f>IF($A189="","",IFERROR(IF(SUMPRODUCT(MAX(('13_VANZARI'!$D$5:$D$1004=$A189)*('13_VANZARI'!$H$5:$H$1004&lt;&gt;"")*'13_VANZARI'!$A$5:$A$1004))=0,"",SUMPRODUCT(MAX(('13_VANZARI'!$D$5:$D$1004=$A189)*('13_VANZARI'!$H$5:$H$1004&lt;&gt;"")*'13_VANZARI'!$A$5:$A$1004))),""))</f>
        <v/>
      </c>
      <c r="L189" s="24">
        <f>IF(OR($A189="",$K189=""),"",'09_PARAMETRI'!$B$9-$K189)</f>
        <v/>
      </c>
      <c r="M189" s="24">
        <f>IF($A189="","",SUMPRODUCT(('11_PRODUSE'!$A$5:$A$104&lt;&gt;"")*(SUMIFS('13_VANZARI'!$H$5:$H$1004,'13_VANZARI'!$D$5:$D$1004,$A189,'13_VANZARI'!$E$5:$E$1004,'11_PRODUSE'!$A$5:$A$104,'13_VANZARI'!$A$5:$A$1004,"&gt;="&amp;'09_PARAMETRI'!$B$5,'13_VANZARI'!$A$5:$A$1004,"&lt;="&amp;'09_PARAMETRI'!$B$6)&lt;&gt;0)))</f>
        <v/>
      </c>
      <c r="N189" s="50">
        <f>IF($A189="","",IFERROR(AVERAGEIFS('15_NPS'!$F$5:$F$504,'15_NPS'!$C$5:$C$504,$A189,'15_NPS'!$B$5:$B$504,"&gt;="&amp;'09_PARAMETRI'!$B$5,'15_NPS'!$B$5:$B$504,"&lt;="&amp;'09_PARAMETRI'!$B$6),""))</f>
        <v/>
      </c>
      <c r="O189" s="39">
        <f>IF($A189="","",IF(AND($F189&gt;0,$E189=0),"Client pierdut",IF(AND($L189&lt;&gt;"",$L189&gt;'09_PARAMETRI'!$B$16,$F189&gt;0),"Client dormant",IF(AND($G189&lt;&gt;"",$G189&lt;='09_PARAMETRI'!$B$13),"Scădere de venit",IF(AND($N189&lt;&gt;"",$N189&lt;7),"Detractor activ",IF(AND($E189&gt;0,$J189&gt;'09_PARAMETRI'!$B$19),"Risc concentrare",IF(AND($E189&gt;0,$I189&lt;&gt;"",$I189&lt;'09_PARAMETRI'!$B$15),"Marjă sub referință",IF(AND($G189&lt;&gt;"",$G189&gt;='09_PARAMETRI'!$B$14),"În creștere",IF($E189=0,"Fără activitate","Stabil")))))))))</f>
        <v/>
      </c>
      <c r="P189" s="39">
        <f>IF($A189="","",IF($O189="Risc concentrare","Risc concentrare",IF($O189="Client pierdut","Recuperare client",IF($O189="Client dormant","Reactivare client",IF($O189="Scădere de venit","Recuperare client",IF($O189="Detractor activ","Recuperare NPS",IF($O189="Marjă sub referință","Marjă / preț",IF($O189="În creștere","Up-sell",IF($O189="Fără activitate","Reactivare client","Cross-sell")))))))))</f>
        <v/>
      </c>
      <c r="Q189" s="24">
        <f>IF($A189="","",IFERROR(IF($O189="Scădere de venit",MAX(0,$F189-$E189),IF(OR($O189="Client pierdut",$O189="Client dormant",$O189="Fără activitate"),$F189,IF($O189="Marjă sub referință",MAX(0,$E189*('09_PARAMETRI'!$B$15-$I189)),$E189*0.15))),""))</f>
        <v/>
      </c>
      <c r="R189" s="48">
        <f>IF(OR($A189="",$E189="",N($E189)&lt;=0),"",$E189+ROW()/1000000)</f>
        <v/>
      </c>
    </row>
    <row r="190">
      <c r="A190" s="39">
        <f>IF('10_CLIENTI'!$A190="","",'10_CLIENTI'!$A190)</f>
        <v/>
      </c>
      <c r="B190" s="39">
        <f>IF($A190="","",IFERROR(INDEX('10_CLIENTI'!$B$5:$B$204,MATCH($A190,'10_CLIENTI'!$A$5:$A$204,0)),""))</f>
        <v/>
      </c>
      <c r="C190" s="39">
        <f>IF($A190="","",IFERROR(INDEX('10_CLIENTI'!$C$5:$C$204,MATCH($A190,'10_CLIENTI'!$A$5:$A$204,0)),""))</f>
        <v/>
      </c>
      <c r="D190" s="39">
        <f>IF($A190="","",IFERROR(INDEX('10_CLIENTI'!$G$5:$G$204,MATCH($A190,'10_CLIENTI'!$A$5:$A$204,0)),""))</f>
        <v/>
      </c>
      <c r="E190" s="24">
        <f>IF($A190="","",SUMIFS('13_VANZARI'!$H$5:$H$1004,'13_VANZARI'!$D$5:$D$1004,$A190,'13_VANZARI'!$A$5:$A$1004,"&gt;="&amp;'09_PARAMETRI'!$B$5,'13_VANZARI'!$A$5:$A$1004,"&lt;="&amp;'09_PARAMETRI'!$B$6))</f>
        <v/>
      </c>
      <c r="F190" s="24">
        <f>IF($A190="","",SUMIFS('13_VANZARI'!$H$5:$H$1004,'13_VANZARI'!$D$5:$D$1004,$A190,'13_VANZARI'!$A$5:$A$1004,"&gt;="&amp;'09_PARAMETRI'!$B$7,'13_VANZARI'!$A$5:$A$1004,"&lt;="&amp;'09_PARAMETRI'!$B$8))</f>
        <v/>
      </c>
      <c r="G190" s="25">
        <f>IF($A190="","",IFERROR(IF($F190=0,"",($E190-$F190)/ABS($F190)),""))</f>
        <v/>
      </c>
      <c r="H190" s="24">
        <f>IF($A190="","",SUMIFS('13_VANZARI'!$K$5:$K$1004,'13_VANZARI'!$D$5:$D$1004,$A190,'13_VANZARI'!$A$5:$A$1004,"&gt;="&amp;'09_PARAMETRI'!$B$5,'13_VANZARI'!$A$5:$A$1004,"&lt;="&amp;'09_PARAMETRI'!$B$6))</f>
        <v/>
      </c>
      <c r="I190" s="25">
        <f>IF($A190="","",IFERROR($H190/$E190,""))</f>
        <v/>
      </c>
      <c r="J190" s="25">
        <f>IF($A190="","",IFERROR($E190/SUMIFS('13_VANZARI'!$H$5:$H$1004,'13_VANZARI'!$A$5:$A$1004,"&gt;="&amp;'09_PARAMETRI'!$B$5,'13_VANZARI'!$A$5:$A$1004,"&lt;="&amp;'09_PARAMETRI'!$B$6),""))</f>
        <v/>
      </c>
      <c r="K190" s="36">
        <f>IF($A190="","",IFERROR(IF(SUMPRODUCT(MAX(('13_VANZARI'!$D$5:$D$1004=$A190)*('13_VANZARI'!$H$5:$H$1004&lt;&gt;"")*'13_VANZARI'!$A$5:$A$1004))=0,"",SUMPRODUCT(MAX(('13_VANZARI'!$D$5:$D$1004=$A190)*('13_VANZARI'!$H$5:$H$1004&lt;&gt;"")*'13_VANZARI'!$A$5:$A$1004))),""))</f>
        <v/>
      </c>
      <c r="L190" s="24">
        <f>IF(OR($A190="",$K190=""),"",'09_PARAMETRI'!$B$9-$K190)</f>
        <v/>
      </c>
      <c r="M190" s="24">
        <f>IF($A190="","",SUMPRODUCT(('11_PRODUSE'!$A$5:$A$104&lt;&gt;"")*(SUMIFS('13_VANZARI'!$H$5:$H$1004,'13_VANZARI'!$D$5:$D$1004,$A190,'13_VANZARI'!$E$5:$E$1004,'11_PRODUSE'!$A$5:$A$104,'13_VANZARI'!$A$5:$A$1004,"&gt;="&amp;'09_PARAMETRI'!$B$5,'13_VANZARI'!$A$5:$A$1004,"&lt;="&amp;'09_PARAMETRI'!$B$6)&lt;&gt;0)))</f>
        <v/>
      </c>
      <c r="N190" s="50">
        <f>IF($A190="","",IFERROR(AVERAGEIFS('15_NPS'!$F$5:$F$504,'15_NPS'!$C$5:$C$504,$A190,'15_NPS'!$B$5:$B$504,"&gt;="&amp;'09_PARAMETRI'!$B$5,'15_NPS'!$B$5:$B$504,"&lt;="&amp;'09_PARAMETRI'!$B$6),""))</f>
        <v/>
      </c>
      <c r="O190" s="39">
        <f>IF($A190="","",IF(AND($F190&gt;0,$E190=0),"Client pierdut",IF(AND($L190&lt;&gt;"",$L190&gt;'09_PARAMETRI'!$B$16,$F190&gt;0),"Client dormant",IF(AND($G190&lt;&gt;"",$G190&lt;='09_PARAMETRI'!$B$13),"Scădere de venit",IF(AND($N190&lt;&gt;"",$N190&lt;7),"Detractor activ",IF(AND($E190&gt;0,$J190&gt;'09_PARAMETRI'!$B$19),"Risc concentrare",IF(AND($E190&gt;0,$I190&lt;&gt;"",$I190&lt;'09_PARAMETRI'!$B$15),"Marjă sub referință",IF(AND($G190&lt;&gt;"",$G190&gt;='09_PARAMETRI'!$B$14),"În creștere",IF($E190=0,"Fără activitate","Stabil")))))))))</f>
        <v/>
      </c>
      <c r="P190" s="39">
        <f>IF($A190="","",IF($O190="Risc concentrare","Risc concentrare",IF($O190="Client pierdut","Recuperare client",IF($O190="Client dormant","Reactivare client",IF($O190="Scădere de venit","Recuperare client",IF($O190="Detractor activ","Recuperare NPS",IF($O190="Marjă sub referință","Marjă / preț",IF($O190="În creștere","Up-sell",IF($O190="Fără activitate","Reactivare client","Cross-sell")))))))))</f>
        <v/>
      </c>
      <c r="Q190" s="24">
        <f>IF($A190="","",IFERROR(IF($O190="Scădere de venit",MAX(0,$F190-$E190),IF(OR($O190="Client pierdut",$O190="Client dormant",$O190="Fără activitate"),$F190,IF($O190="Marjă sub referință",MAX(0,$E190*('09_PARAMETRI'!$B$15-$I190)),$E190*0.15))),""))</f>
        <v/>
      </c>
      <c r="R190" s="48">
        <f>IF(OR($A190="",$E190="",N($E190)&lt;=0),"",$E190+ROW()/1000000)</f>
        <v/>
      </c>
    </row>
    <row r="191">
      <c r="A191" s="39">
        <f>IF('10_CLIENTI'!$A191="","",'10_CLIENTI'!$A191)</f>
        <v/>
      </c>
      <c r="B191" s="39">
        <f>IF($A191="","",IFERROR(INDEX('10_CLIENTI'!$B$5:$B$204,MATCH($A191,'10_CLIENTI'!$A$5:$A$204,0)),""))</f>
        <v/>
      </c>
      <c r="C191" s="39">
        <f>IF($A191="","",IFERROR(INDEX('10_CLIENTI'!$C$5:$C$204,MATCH($A191,'10_CLIENTI'!$A$5:$A$204,0)),""))</f>
        <v/>
      </c>
      <c r="D191" s="39">
        <f>IF($A191="","",IFERROR(INDEX('10_CLIENTI'!$G$5:$G$204,MATCH($A191,'10_CLIENTI'!$A$5:$A$204,0)),""))</f>
        <v/>
      </c>
      <c r="E191" s="24">
        <f>IF($A191="","",SUMIFS('13_VANZARI'!$H$5:$H$1004,'13_VANZARI'!$D$5:$D$1004,$A191,'13_VANZARI'!$A$5:$A$1004,"&gt;="&amp;'09_PARAMETRI'!$B$5,'13_VANZARI'!$A$5:$A$1004,"&lt;="&amp;'09_PARAMETRI'!$B$6))</f>
        <v/>
      </c>
      <c r="F191" s="24">
        <f>IF($A191="","",SUMIFS('13_VANZARI'!$H$5:$H$1004,'13_VANZARI'!$D$5:$D$1004,$A191,'13_VANZARI'!$A$5:$A$1004,"&gt;="&amp;'09_PARAMETRI'!$B$7,'13_VANZARI'!$A$5:$A$1004,"&lt;="&amp;'09_PARAMETRI'!$B$8))</f>
        <v/>
      </c>
      <c r="G191" s="25">
        <f>IF($A191="","",IFERROR(IF($F191=0,"",($E191-$F191)/ABS($F191)),""))</f>
        <v/>
      </c>
      <c r="H191" s="24">
        <f>IF($A191="","",SUMIFS('13_VANZARI'!$K$5:$K$1004,'13_VANZARI'!$D$5:$D$1004,$A191,'13_VANZARI'!$A$5:$A$1004,"&gt;="&amp;'09_PARAMETRI'!$B$5,'13_VANZARI'!$A$5:$A$1004,"&lt;="&amp;'09_PARAMETRI'!$B$6))</f>
        <v/>
      </c>
      <c r="I191" s="25">
        <f>IF($A191="","",IFERROR($H191/$E191,""))</f>
        <v/>
      </c>
      <c r="J191" s="25">
        <f>IF($A191="","",IFERROR($E191/SUMIFS('13_VANZARI'!$H$5:$H$1004,'13_VANZARI'!$A$5:$A$1004,"&gt;="&amp;'09_PARAMETRI'!$B$5,'13_VANZARI'!$A$5:$A$1004,"&lt;="&amp;'09_PARAMETRI'!$B$6),""))</f>
        <v/>
      </c>
      <c r="K191" s="36">
        <f>IF($A191="","",IFERROR(IF(SUMPRODUCT(MAX(('13_VANZARI'!$D$5:$D$1004=$A191)*('13_VANZARI'!$H$5:$H$1004&lt;&gt;"")*'13_VANZARI'!$A$5:$A$1004))=0,"",SUMPRODUCT(MAX(('13_VANZARI'!$D$5:$D$1004=$A191)*('13_VANZARI'!$H$5:$H$1004&lt;&gt;"")*'13_VANZARI'!$A$5:$A$1004))),""))</f>
        <v/>
      </c>
      <c r="L191" s="24">
        <f>IF(OR($A191="",$K191=""),"",'09_PARAMETRI'!$B$9-$K191)</f>
        <v/>
      </c>
      <c r="M191" s="24">
        <f>IF($A191="","",SUMPRODUCT(('11_PRODUSE'!$A$5:$A$104&lt;&gt;"")*(SUMIFS('13_VANZARI'!$H$5:$H$1004,'13_VANZARI'!$D$5:$D$1004,$A191,'13_VANZARI'!$E$5:$E$1004,'11_PRODUSE'!$A$5:$A$104,'13_VANZARI'!$A$5:$A$1004,"&gt;="&amp;'09_PARAMETRI'!$B$5,'13_VANZARI'!$A$5:$A$1004,"&lt;="&amp;'09_PARAMETRI'!$B$6)&lt;&gt;0)))</f>
        <v/>
      </c>
      <c r="N191" s="50">
        <f>IF($A191="","",IFERROR(AVERAGEIFS('15_NPS'!$F$5:$F$504,'15_NPS'!$C$5:$C$504,$A191,'15_NPS'!$B$5:$B$504,"&gt;="&amp;'09_PARAMETRI'!$B$5,'15_NPS'!$B$5:$B$504,"&lt;="&amp;'09_PARAMETRI'!$B$6),""))</f>
        <v/>
      </c>
      <c r="O191" s="39">
        <f>IF($A191="","",IF(AND($F191&gt;0,$E191=0),"Client pierdut",IF(AND($L191&lt;&gt;"",$L191&gt;'09_PARAMETRI'!$B$16,$F191&gt;0),"Client dormant",IF(AND($G191&lt;&gt;"",$G191&lt;='09_PARAMETRI'!$B$13),"Scădere de venit",IF(AND($N191&lt;&gt;"",$N191&lt;7),"Detractor activ",IF(AND($E191&gt;0,$J191&gt;'09_PARAMETRI'!$B$19),"Risc concentrare",IF(AND($E191&gt;0,$I191&lt;&gt;"",$I191&lt;'09_PARAMETRI'!$B$15),"Marjă sub referință",IF(AND($G191&lt;&gt;"",$G191&gt;='09_PARAMETRI'!$B$14),"În creștere",IF($E191=0,"Fără activitate","Stabil")))))))))</f>
        <v/>
      </c>
      <c r="P191" s="39">
        <f>IF($A191="","",IF($O191="Risc concentrare","Risc concentrare",IF($O191="Client pierdut","Recuperare client",IF($O191="Client dormant","Reactivare client",IF($O191="Scădere de venit","Recuperare client",IF($O191="Detractor activ","Recuperare NPS",IF($O191="Marjă sub referință","Marjă / preț",IF($O191="În creștere","Up-sell",IF($O191="Fără activitate","Reactivare client","Cross-sell")))))))))</f>
        <v/>
      </c>
      <c r="Q191" s="24">
        <f>IF($A191="","",IFERROR(IF($O191="Scădere de venit",MAX(0,$F191-$E191),IF(OR($O191="Client pierdut",$O191="Client dormant",$O191="Fără activitate"),$F191,IF($O191="Marjă sub referință",MAX(0,$E191*('09_PARAMETRI'!$B$15-$I191)),$E191*0.15))),""))</f>
        <v/>
      </c>
      <c r="R191" s="48">
        <f>IF(OR($A191="",$E191="",N($E191)&lt;=0),"",$E191+ROW()/1000000)</f>
        <v/>
      </c>
    </row>
    <row r="192">
      <c r="A192" s="39">
        <f>IF('10_CLIENTI'!$A192="","",'10_CLIENTI'!$A192)</f>
        <v/>
      </c>
      <c r="B192" s="39">
        <f>IF($A192="","",IFERROR(INDEX('10_CLIENTI'!$B$5:$B$204,MATCH($A192,'10_CLIENTI'!$A$5:$A$204,0)),""))</f>
        <v/>
      </c>
      <c r="C192" s="39">
        <f>IF($A192="","",IFERROR(INDEX('10_CLIENTI'!$C$5:$C$204,MATCH($A192,'10_CLIENTI'!$A$5:$A$204,0)),""))</f>
        <v/>
      </c>
      <c r="D192" s="39">
        <f>IF($A192="","",IFERROR(INDEX('10_CLIENTI'!$G$5:$G$204,MATCH($A192,'10_CLIENTI'!$A$5:$A$204,0)),""))</f>
        <v/>
      </c>
      <c r="E192" s="24">
        <f>IF($A192="","",SUMIFS('13_VANZARI'!$H$5:$H$1004,'13_VANZARI'!$D$5:$D$1004,$A192,'13_VANZARI'!$A$5:$A$1004,"&gt;="&amp;'09_PARAMETRI'!$B$5,'13_VANZARI'!$A$5:$A$1004,"&lt;="&amp;'09_PARAMETRI'!$B$6))</f>
        <v/>
      </c>
      <c r="F192" s="24">
        <f>IF($A192="","",SUMIFS('13_VANZARI'!$H$5:$H$1004,'13_VANZARI'!$D$5:$D$1004,$A192,'13_VANZARI'!$A$5:$A$1004,"&gt;="&amp;'09_PARAMETRI'!$B$7,'13_VANZARI'!$A$5:$A$1004,"&lt;="&amp;'09_PARAMETRI'!$B$8))</f>
        <v/>
      </c>
      <c r="G192" s="25">
        <f>IF($A192="","",IFERROR(IF($F192=0,"",($E192-$F192)/ABS($F192)),""))</f>
        <v/>
      </c>
      <c r="H192" s="24">
        <f>IF($A192="","",SUMIFS('13_VANZARI'!$K$5:$K$1004,'13_VANZARI'!$D$5:$D$1004,$A192,'13_VANZARI'!$A$5:$A$1004,"&gt;="&amp;'09_PARAMETRI'!$B$5,'13_VANZARI'!$A$5:$A$1004,"&lt;="&amp;'09_PARAMETRI'!$B$6))</f>
        <v/>
      </c>
      <c r="I192" s="25">
        <f>IF($A192="","",IFERROR($H192/$E192,""))</f>
        <v/>
      </c>
      <c r="J192" s="25">
        <f>IF($A192="","",IFERROR($E192/SUMIFS('13_VANZARI'!$H$5:$H$1004,'13_VANZARI'!$A$5:$A$1004,"&gt;="&amp;'09_PARAMETRI'!$B$5,'13_VANZARI'!$A$5:$A$1004,"&lt;="&amp;'09_PARAMETRI'!$B$6),""))</f>
        <v/>
      </c>
      <c r="K192" s="36">
        <f>IF($A192="","",IFERROR(IF(SUMPRODUCT(MAX(('13_VANZARI'!$D$5:$D$1004=$A192)*('13_VANZARI'!$H$5:$H$1004&lt;&gt;"")*'13_VANZARI'!$A$5:$A$1004))=0,"",SUMPRODUCT(MAX(('13_VANZARI'!$D$5:$D$1004=$A192)*('13_VANZARI'!$H$5:$H$1004&lt;&gt;"")*'13_VANZARI'!$A$5:$A$1004))),""))</f>
        <v/>
      </c>
      <c r="L192" s="24">
        <f>IF(OR($A192="",$K192=""),"",'09_PARAMETRI'!$B$9-$K192)</f>
        <v/>
      </c>
      <c r="M192" s="24">
        <f>IF($A192="","",SUMPRODUCT(('11_PRODUSE'!$A$5:$A$104&lt;&gt;"")*(SUMIFS('13_VANZARI'!$H$5:$H$1004,'13_VANZARI'!$D$5:$D$1004,$A192,'13_VANZARI'!$E$5:$E$1004,'11_PRODUSE'!$A$5:$A$104,'13_VANZARI'!$A$5:$A$1004,"&gt;="&amp;'09_PARAMETRI'!$B$5,'13_VANZARI'!$A$5:$A$1004,"&lt;="&amp;'09_PARAMETRI'!$B$6)&lt;&gt;0)))</f>
        <v/>
      </c>
      <c r="N192" s="50">
        <f>IF($A192="","",IFERROR(AVERAGEIFS('15_NPS'!$F$5:$F$504,'15_NPS'!$C$5:$C$504,$A192,'15_NPS'!$B$5:$B$504,"&gt;="&amp;'09_PARAMETRI'!$B$5,'15_NPS'!$B$5:$B$504,"&lt;="&amp;'09_PARAMETRI'!$B$6),""))</f>
        <v/>
      </c>
      <c r="O192" s="39">
        <f>IF($A192="","",IF(AND($F192&gt;0,$E192=0),"Client pierdut",IF(AND($L192&lt;&gt;"",$L192&gt;'09_PARAMETRI'!$B$16,$F192&gt;0),"Client dormant",IF(AND($G192&lt;&gt;"",$G192&lt;='09_PARAMETRI'!$B$13),"Scădere de venit",IF(AND($N192&lt;&gt;"",$N192&lt;7),"Detractor activ",IF(AND($E192&gt;0,$J192&gt;'09_PARAMETRI'!$B$19),"Risc concentrare",IF(AND($E192&gt;0,$I192&lt;&gt;"",$I192&lt;'09_PARAMETRI'!$B$15),"Marjă sub referință",IF(AND($G192&lt;&gt;"",$G192&gt;='09_PARAMETRI'!$B$14),"În creștere",IF($E192=0,"Fără activitate","Stabil")))))))))</f>
        <v/>
      </c>
      <c r="P192" s="39">
        <f>IF($A192="","",IF($O192="Risc concentrare","Risc concentrare",IF($O192="Client pierdut","Recuperare client",IF($O192="Client dormant","Reactivare client",IF($O192="Scădere de venit","Recuperare client",IF($O192="Detractor activ","Recuperare NPS",IF($O192="Marjă sub referință","Marjă / preț",IF($O192="În creștere","Up-sell",IF($O192="Fără activitate","Reactivare client","Cross-sell")))))))))</f>
        <v/>
      </c>
      <c r="Q192" s="24">
        <f>IF($A192="","",IFERROR(IF($O192="Scădere de venit",MAX(0,$F192-$E192),IF(OR($O192="Client pierdut",$O192="Client dormant",$O192="Fără activitate"),$F192,IF($O192="Marjă sub referință",MAX(0,$E192*('09_PARAMETRI'!$B$15-$I192)),$E192*0.15))),""))</f>
        <v/>
      </c>
      <c r="R192" s="48">
        <f>IF(OR($A192="",$E192="",N($E192)&lt;=0),"",$E192+ROW()/1000000)</f>
        <v/>
      </c>
    </row>
    <row r="193">
      <c r="A193" s="39">
        <f>IF('10_CLIENTI'!$A193="","",'10_CLIENTI'!$A193)</f>
        <v/>
      </c>
      <c r="B193" s="39">
        <f>IF($A193="","",IFERROR(INDEX('10_CLIENTI'!$B$5:$B$204,MATCH($A193,'10_CLIENTI'!$A$5:$A$204,0)),""))</f>
        <v/>
      </c>
      <c r="C193" s="39">
        <f>IF($A193="","",IFERROR(INDEX('10_CLIENTI'!$C$5:$C$204,MATCH($A193,'10_CLIENTI'!$A$5:$A$204,0)),""))</f>
        <v/>
      </c>
      <c r="D193" s="39">
        <f>IF($A193="","",IFERROR(INDEX('10_CLIENTI'!$G$5:$G$204,MATCH($A193,'10_CLIENTI'!$A$5:$A$204,0)),""))</f>
        <v/>
      </c>
      <c r="E193" s="24">
        <f>IF($A193="","",SUMIFS('13_VANZARI'!$H$5:$H$1004,'13_VANZARI'!$D$5:$D$1004,$A193,'13_VANZARI'!$A$5:$A$1004,"&gt;="&amp;'09_PARAMETRI'!$B$5,'13_VANZARI'!$A$5:$A$1004,"&lt;="&amp;'09_PARAMETRI'!$B$6))</f>
        <v/>
      </c>
      <c r="F193" s="24">
        <f>IF($A193="","",SUMIFS('13_VANZARI'!$H$5:$H$1004,'13_VANZARI'!$D$5:$D$1004,$A193,'13_VANZARI'!$A$5:$A$1004,"&gt;="&amp;'09_PARAMETRI'!$B$7,'13_VANZARI'!$A$5:$A$1004,"&lt;="&amp;'09_PARAMETRI'!$B$8))</f>
        <v/>
      </c>
      <c r="G193" s="25">
        <f>IF($A193="","",IFERROR(IF($F193=0,"",($E193-$F193)/ABS($F193)),""))</f>
        <v/>
      </c>
      <c r="H193" s="24">
        <f>IF($A193="","",SUMIFS('13_VANZARI'!$K$5:$K$1004,'13_VANZARI'!$D$5:$D$1004,$A193,'13_VANZARI'!$A$5:$A$1004,"&gt;="&amp;'09_PARAMETRI'!$B$5,'13_VANZARI'!$A$5:$A$1004,"&lt;="&amp;'09_PARAMETRI'!$B$6))</f>
        <v/>
      </c>
      <c r="I193" s="25">
        <f>IF($A193="","",IFERROR($H193/$E193,""))</f>
        <v/>
      </c>
      <c r="J193" s="25">
        <f>IF($A193="","",IFERROR($E193/SUMIFS('13_VANZARI'!$H$5:$H$1004,'13_VANZARI'!$A$5:$A$1004,"&gt;="&amp;'09_PARAMETRI'!$B$5,'13_VANZARI'!$A$5:$A$1004,"&lt;="&amp;'09_PARAMETRI'!$B$6),""))</f>
        <v/>
      </c>
      <c r="K193" s="36">
        <f>IF($A193="","",IFERROR(IF(SUMPRODUCT(MAX(('13_VANZARI'!$D$5:$D$1004=$A193)*('13_VANZARI'!$H$5:$H$1004&lt;&gt;"")*'13_VANZARI'!$A$5:$A$1004))=0,"",SUMPRODUCT(MAX(('13_VANZARI'!$D$5:$D$1004=$A193)*('13_VANZARI'!$H$5:$H$1004&lt;&gt;"")*'13_VANZARI'!$A$5:$A$1004))),""))</f>
        <v/>
      </c>
      <c r="L193" s="24">
        <f>IF(OR($A193="",$K193=""),"",'09_PARAMETRI'!$B$9-$K193)</f>
        <v/>
      </c>
      <c r="M193" s="24">
        <f>IF($A193="","",SUMPRODUCT(('11_PRODUSE'!$A$5:$A$104&lt;&gt;"")*(SUMIFS('13_VANZARI'!$H$5:$H$1004,'13_VANZARI'!$D$5:$D$1004,$A193,'13_VANZARI'!$E$5:$E$1004,'11_PRODUSE'!$A$5:$A$104,'13_VANZARI'!$A$5:$A$1004,"&gt;="&amp;'09_PARAMETRI'!$B$5,'13_VANZARI'!$A$5:$A$1004,"&lt;="&amp;'09_PARAMETRI'!$B$6)&lt;&gt;0)))</f>
        <v/>
      </c>
      <c r="N193" s="50">
        <f>IF($A193="","",IFERROR(AVERAGEIFS('15_NPS'!$F$5:$F$504,'15_NPS'!$C$5:$C$504,$A193,'15_NPS'!$B$5:$B$504,"&gt;="&amp;'09_PARAMETRI'!$B$5,'15_NPS'!$B$5:$B$504,"&lt;="&amp;'09_PARAMETRI'!$B$6),""))</f>
        <v/>
      </c>
      <c r="O193" s="39">
        <f>IF($A193="","",IF(AND($F193&gt;0,$E193=0),"Client pierdut",IF(AND($L193&lt;&gt;"",$L193&gt;'09_PARAMETRI'!$B$16,$F193&gt;0),"Client dormant",IF(AND($G193&lt;&gt;"",$G193&lt;='09_PARAMETRI'!$B$13),"Scădere de venit",IF(AND($N193&lt;&gt;"",$N193&lt;7),"Detractor activ",IF(AND($E193&gt;0,$J193&gt;'09_PARAMETRI'!$B$19),"Risc concentrare",IF(AND($E193&gt;0,$I193&lt;&gt;"",$I193&lt;'09_PARAMETRI'!$B$15),"Marjă sub referință",IF(AND($G193&lt;&gt;"",$G193&gt;='09_PARAMETRI'!$B$14),"În creștere",IF($E193=0,"Fără activitate","Stabil")))))))))</f>
        <v/>
      </c>
      <c r="P193" s="39">
        <f>IF($A193="","",IF($O193="Risc concentrare","Risc concentrare",IF($O193="Client pierdut","Recuperare client",IF($O193="Client dormant","Reactivare client",IF($O193="Scădere de venit","Recuperare client",IF($O193="Detractor activ","Recuperare NPS",IF($O193="Marjă sub referință","Marjă / preț",IF($O193="În creștere","Up-sell",IF($O193="Fără activitate","Reactivare client","Cross-sell")))))))))</f>
        <v/>
      </c>
      <c r="Q193" s="24">
        <f>IF($A193="","",IFERROR(IF($O193="Scădere de venit",MAX(0,$F193-$E193),IF(OR($O193="Client pierdut",$O193="Client dormant",$O193="Fără activitate"),$F193,IF($O193="Marjă sub referință",MAX(0,$E193*('09_PARAMETRI'!$B$15-$I193)),$E193*0.15))),""))</f>
        <v/>
      </c>
      <c r="R193" s="48">
        <f>IF(OR($A193="",$E193="",N($E193)&lt;=0),"",$E193+ROW()/1000000)</f>
        <v/>
      </c>
    </row>
    <row r="194">
      <c r="A194" s="39">
        <f>IF('10_CLIENTI'!$A194="","",'10_CLIENTI'!$A194)</f>
        <v/>
      </c>
      <c r="B194" s="39">
        <f>IF($A194="","",IFERROR(INDEX('10_CLIENTI'!$B$5:$B$204,MATCH($A194,'10_CLIENTI'!$A$5:$A$204,0)),""))</f>
        <v/>
      </c>
      <c r="C194" s="39">
        <f>IF($A194="","",IFERROR(INDEX('10_CLIENTI'!$C$5:$C$204,MATCH($A194,'10_CLIENTI'!$A$5:$A$204,0)),""))</f>
        <v/>
      </c>
      <c r="D194" s="39">
        <f>IF($A194="","",IFERROR(INDEX('10_CLIENTI'!$G$5:$G$204,MATCH($A194,'10_CLIENTI'!$A$5:$A$204,0)),""))</f>
        <v/>
      </c>
      <c r="E194" s="24">
        <f>IF($A194="","",SUMIFS('13_VANZARI'!$H$5:$H$1004,'13_VANZARI'!$D$5:$D$1004,$A194,'13_VANZARI'!$A$5:$A$1004,"&gt;="&amp;'09_PARAMETRI'!$B$5,'13_VANZARI'!$A$5:$A$1004,"&lt;="&amp;'09_PARAMETRI'!$B$6))</f>
        <v/>
      </c>
      <c r="F194" s="24">
        <f>IF($A194="","",SUMIFS('13_VANZARI'!$H$5:$H$1004,'13_VANZARI'!$D$5:$D$1004,$A194,'13_VANZARI'!$A$5:$A$1004,"&gt;="&amp;'09_PARAMETRI'!$B$7,'13_VANZARI'!$A$5:$A$1004,"&lt;="&amp;'09_PARAMETRI'!$B$8))</f>
        <v/>
      </c>
      <c r="G194" s="25">
        <f>IF($A194="","",IFERROR(IF($F194=0,"",($E194-$F194)/ABS($F194)),""))</f>
        <v/>
      </c>
      <c r="H194" s="24">
        <f>IF($A194="","",SUMIFS('13_VANZARI'!$K$5:$K$1004,'13_VANZARI'!$D$5:$D$1004,$A194,'13_VANZARI'!$A$5:$A$1004,"&gt;="&amp;'09_PARAMETRI'!$B$5,'13_VANZARI'!$A$5:$A$1004,"&lt;="&amp;'09_PARAMETRI'!$B$6))</f>
        <v/>
      </c>
      <c r="I194" s="25">
        <f>IF($A194="","",IFERROR($H194/$E194,""))</f>
        <v/>
      </c>
      <c r="J194" s="25">
        <f>IF($A194="","",IFERROR($E194/SUMIFS('13_VANZARI'!$H$5:$H$1004,'13_VANZARI'!$A$5:$A$1004,"&gt;="&amp;'09_PARAMETRI'!$B$5,'13_VANZARI'!$A$5:$A$1004,"&lt;="&amp;'09_PARAMETRI'!$B$6),""))</f>
        <v/>
      </c>
      <c r="K194" s="36">
        <f>IF($A194="","",IFERROR(IF(SUMPRODUCT(MAX(('13_VANZARI'!$D$5:$D$1004=$A194)*('13_VANZARI'!$H$5:$H$1004&lt;&gt;"")*'13_VANZARI'!$A$5:$A$1004))=0,"",SUMPRODUCT(MAX(('13_VANZARI'!$D$5:$D$1004=$A194)*('13_VANZARI'!$H$5:$H$1004&lt;&gt;"")*'13_VANZARI'!$A$5:$A$1004))),""))</f>
        <v/>
      </c>
      <c r="L194" s="24">
        <f>IF(OR($A194="",$K194=""),"",'09_PARAMETRI'!$B$9-$K194)</f>
        <v/>
      </c>
      <c r="M194" s="24">
        <f>IF($A194="","",SUMPRODUCT(('11_PRODUSE'!$A$5:$A$104&lt;&gt;"")*(SUMIFS('13_VANZARI'!$H$5:$H$1004,'13_VANZARI'!$D$5:$D$1004,$A194,'13_VANZARI'!$E$5:$E$1004,'11_PRODUSE'!$A$5:$A$104,'13_VANZARI'!$A$5:$A$1004,"&gt;="&amp;'09_PARAMETRI'!$B$5,'13_VANZARI'!$A$5:$A$1004,"&lt;="&amp;'09_PARAMETRI'!$B$6)&lt;&gt;0)))</f>
        <v/>
      </c>
      <c r="N194" s="50">
        <f>IF($A194="","",IFERROR(AVERAGEIFS('15_NPS'!$F$5:$F$504,'15_NPS'!$C$5:$C$504,$A194,'15_NPS'!$B$5:$B$504,"&gt;="&amp;'09_PARAMETRI'!$B$5,'15_NPS'!$B$5:$B$504,"&lt;="&amp;'09_PARAMETRI'!$B$6),""))</f>
        <v/>
      </c>
      <c r="O194" s="39">
        <f>IF($A194="","",IF(AND($F194&gt;0,$E194=0),"Client pierdut",IF(AND($L194&lt;&gt;"",$L194&gt;'09_PARAMETRI'!$B$16,$F194&gt;0),"Client dormant",IF(AND($G194&lt;&gt;"",$G194&lt;='09_PARAMETRI'!$B$13),"Scădere de venit",IF(AND($N194&lt;&gt;"",$N194&lt;7),"Detractor activ",IF(AND($E194&gt;0,$J194&gt;'09_PARAMETRI'!$B$19),"Risc concentrare",IF(AND($E194&gt;0,$I194&lt;&gt;"",$I194&lt;'09_PARAMETRI'!$B$15),"Marjă sub referință",IF(AND($G194&lt;&gt;"",$G194&gt;='09_PARAMETRI'!$B$14),"În creștere",IF($E194=0,"Fără activitate","Stabil")))))))))</f>
        <v/>
      </c>
      <c r="P194" s="39">
        <f>IF($A194="","",IF($O194="Risc concentrare","Risc concentrare",IF($O194="Client pierdut","Recuperare client",IF($O194="Client dormant","Reactivare client",IF($O194="Scădere de venit","Recuperare client",IF($O194="Detractor activ","Recuperare NPS",IF($O194="Marjă sub referință","Marjă / preț",IF($O194="În creștere","Up-sell",IF($O194="Fără activitate","Reactivare client","Cross-sell")))))))))</f>
        <v/>
      </c>
      <c r="Q194" s="24">
        <f>IF($A194="","",IFERROR(IF($O194="Scădere de venit",MAX(0,$F194-$E194),IF(OR($O194="Client pierdut",$O194="Client dormant",$O194="Fără activitate"),$F194,IF($O194="Marjă sub referință",MAX(0,$E194*('09_PARAMETRI'!$B$15-$I194)),$E194*0.15))),""))</f>
        <v/>
      </c>
      <c r="R194" s="48">
        <f>IF(OR($A194="",$E194="",N($E194)&lt;=0),"",$E194+ROW()/1000000)</f>
        <v/>
      </c>
    </row>
    <row r="195">
      <c r="A195" s="39">
        <f>IF('10_CLIENTI'!$A195="","",'10_CLIENTI'!$A195)</f>
        <v/>
      </c>
      <c r="B195" s="39">
        <f>IF($A195="","",IFERROR(INDEX('10_CLIENTI'!$B$5:$B$204,MATCH($A195,'10_CLIENTI'!$A$5:$A$204,0)),""))</f>
        <v/>
      </c>
      <c r="C195" s="39">
        <f>IF($A195="","",IFERROR(INDEX('10_CLIENTI'!$C$5:$C$204,MATCH($A195,'10_CLIENTI'!$A$5:$A$204,0)),""))</f>
        <v/>
      </c>
      <c r="D195" s="39">
        <f>IF($A195="","",IFERROR(INDEX('10_CLIENTI'!$G$5:$G$204,MATCH($A195,'10_CLIENTI'!$A$5:$A$204,0)),""))</f>
        <v/>
      </c>
      <c r="E195" s="24">
        <f>IF($A195="","",SUMIFS('13_VANZARI'!$H$5:$H$1004,'13_VANZARI'!$D$5:$D$1004,$A195,'13_VANZARI'!$A$5:$A$1004,"&gt;="&amp;'09_PARAMETRI'!$B$5,'13_VANZARI'!$A$5:$A$1004,"&lt;="&amp;'09_PARAMETRI'!$B$6))</f>
        <v/>
      </c>
      <c r="F195" s="24">
        <f>IF($A195="","",SUMIFS('13_VANZARI'!$H$5:$H$1004,'13_VANZARI'!$D$5:$D$1004,$A195,'13_VANZARI'!$A$5:$A$1004,"&gt;="&amp;'09_PARAMETRI'!$B$7,'13_VANZARI'!$A$5:$A$1004,"&lt;="&amp;'09_PARAMETRI'!$B$8))</f>
        <v/>
      </c>
      <c r="G195" s="25">
        <f>IF($A195="","",IFERROR(IF($F195=0,"",($E195-$F195)/ABS($F195)),""))</f>
        <v/>
      </c>
      <c r="H195" s="24">
        <f>IF($A195="","",SUMIFS('13_VANZARI'!$K$5:$K$1004,'13_VANZARI'!$D$5:$D$1004,$A195,'13_VANZARI'!$A$5:$A$1004,"&gt;="&amp;'09_PARAMETRI'!$B$5,'13_VANZARI'!$A$5:$A$1004,"&lt;="&amp;'09_PARAMETRI'!$B$6))</f>
        <v/>
      </c>
      <c r="I195" s="25">
        <f>IF($A195="","",IFERROR($H195/$E195,""))</f>
        <v/>
      </c>
      <c r="J195" s="25">
        <f>IF($A195="","",IFERROR($E195/SUMIFS('13_VANZARI'!$H$5:$H$1004,'13_VANZARI'!$A$5:$A$1004,"&gt;="&amp;'09_PARAMETRI'!$B$5,'13_VANZARI'!$A$5:$A$1004,"&lt;="&amp;'09_PARAMETRI'!$B$6),""))</f>
        <v/>
      </c>
      <c r="K195" s="36">
        <f>IF($A195="","",IFERROR(IF(SUMPRODUCT(MAX(('13_VANZARI'!$D$5:$D$1004=$A195)*('13_VANZARI'!$H$5:$H$1004&lt;&gt;"")*'13_VANZARI'!$A$5:$A$1004))=0,"",SUMPRODUCT(MAX(('13_VANZARI'!$D$5:$D$1004=$A195)*('13_VANZARI'!$H$5:$H$1004&lt;&gt;"")*'13_VANZARI'!$A$5:$A$1004))),""))</f>
        <v/>
      </c>
      <c r="L195" s="24">
        <f>IF(OR($A195="",$K195=""),"",'09_PARAMETRI'!$B$9-$K195)</f>
        <v/>
      </c>
      <c r="M195" s="24">
        <f>IF($A195="","",SUMPRODUCT(('11_PRODUSE'!$A$5:$A$104&lt;&gt;"")*(SUMIFS('13_VANZARI'!$H$5:$H$1004,'13_VANZARI'!$D$5:$D$1004,$A195,'13_VANZARI'!$E$5:$E$1004,'11_PRODUSE'!$A$5:$A$104,'13_VANZARI'!$A$5:$A$1004,"&gt;="&amp;'09_PARAMETRI'!$B$5,'13_VANZARI'!$A$5:$A$1004,"&lt;="&amp;'09_PARAMETRI'!$B$6)&lt;&gt;0)))</f>
        <v/>
      </c>
      <c r="N195" s="50">
        <f>IF($A195="","",IFERROR(AVERAGEIFS('15_NPS'!$F$5:$F$504,'15_NPS'!$C$5:$C$504,$A195,'15_NPS'!$B$5:$B$504,"&gt;="&amp;'09_PARAMETRI'!$B$5,'15_NPS'!$B$5:$B$504,"&lt;="&amp;'09_PARAMETRI'!$B$6),""))</f>
        <v/>
      </c>
      <c r="O195" s="39">
        <f>IF($A195="","",IF(AND($F195&gt;0,$E195=0),"Client pierdut",IF(AND($L195&lt;&gt;"",$L195&gt;'09_PARAMETRI'!$B$16,$F195&gt;0),"Client dormant",IF(AND($G195&lt;&gt;"",$G195&lt;='09_PARAMETRI'!$B$13),"Scădere de venit",IF(AND($N195&lt;&gt;"",$N195&lt;7),"Detractor activ",IF(AND($E195&gt;0,$J195&gt;'09_PARAMETRI'!$B$19),"Risc concentrare",IF(AND($E195&gt;0,$I195&lt;&gt;"",$I195&lt;'09_PARAMETRI'!$B$15),"Marjă sub referință",IF(AND($G195&lt;&gt;"",$G195&gt;='09_PARAMETRI'!$B$14),"În creștere",IF($E195=0,"Fără activitate","Stabil")))))))))</f>
        <v/>
      </c>
      <c r="P195" s="39">
        <f>IF($A195="","",IF($O195="Risc concentrare","Risc concentrare",IF($O195="Client pierdut","Recuperare client",IF($O195="Client dormant","Reactivare client",IF($O195="Scădere de venit","Recuperare client",IF($O195="Detractor activ","Recuperare NPS",IF($O195="Marjă sub referință","Marjă / preț",IF($O195="În creștere","Up-sell",IF($O195="Fără activitate","Reactivare client","Cross-sell")))))))))</f>
        <v/>
      </c>
      <c r="Q195" s="24">
        <f>IF($A195="","",IFERROR(IF($O195="Scădere de venit",MAX(0,$F195-$E195),IF(OR($O195="Client pierdut",$O195="Client dormant",$O195="Fără activitate"),$F195,IF($O195="Marjă sub referință",MAX(0,$E195*('09_PARAMETRI'!$B$15-$I195)),$E195*0.15))),""))</f>
        <v/>
      </c>
      <c r="R195" s="48">
        <f>IF(OR($A195="",$E195="",N($E195)&lt;=0),"",$E195+ROW()/1000000)</f>
        <v/>
      </c>
    </row>
    <row r="196">
      <c r="A196" s="39">
        <f>IF('10_CLIENTI'!$A196="","",'10_CLIENTI'!$A196)</f>
        <v/>
      </c>
      <c r="B196" s="39">
        <f>IF($A196="","",IFERROR(INDEX('10_CLIENTI'!$B$5:$B$204,MATCH($A196,'10_CLIENTI'!$A$5:$A$204,0)),""))</f>
        <v/>
      </c>
      <c r="C196" s="39">
        <f>IF($A196="","",IFERROR(INDEX('10_CLIENTI'!$C$5:$C$204,MATCH($A196,'10_CLIENTI'!$A$5:$A$204,0)),""))</f>
        <v/>
      </c>
      <c r="D196" s="39">
        <f>IF($A196="","",IFERROR(INDEX('10_CLIENTI'!$G$5:$G$204,MATCH($A196,'10_CLIENTI'!$A$5:$A$204,0)),""))</f>
        <v/>
      </c>
      <c r="E196" s="24">
        <f>IF($A196="","",SUMIFS('13_VANZARI'!$H$5:$H$1004,'13_VANZARI'!$D$5:$D$1004,$A196,'13_VANZARI'!$A$5:$A$1004,"&gt;="&amp;'09_PARAMETRI'!$B$5,'13_VANZARI'!$A$5:$A$1004,"&lt;="&amp;'09_PARAMETRI'!$B$6))</f>
        <v/>
      </c>
      <c r="F196" s="24">
        <f>IF($A196="","",SUMIFS('13_VANZARI'!$H$5:$H$1004,'13_VANZARI'!$D$5:$D$1004,$A196,'13_VANZARI'!$A$5:$A$1004,"&gt;="&amp;'09_PARAMETRI'!$B$7,'13_VANZARI'!$A$5:$A$1004,"&lt;="&amp;'09_PARAMETRI'!$B$8))</f>
        <v/>
      </c>
      <c r="G196" s="25">
        <f>IF($A196="","",IFERROR(IF($F196=0,"",($E196-$F196)/ABS($F196)),""))</f>
        <v/>
      </c>
      <c r="H196" s="24">
        <f>IF($A196="","",SUMIFS('13_VANZARI'!$K$5:$K$1004,'13_VANZARI'!$D$5:$D$1004,$A196,'13_VANZARI'!$A$5:$A$1004,"&gt;="&amp;'09_PARAMETRI'!$B$5,'13_VANZARI'!$A$5:$A$1004,"&lt;="&amp;'09_PARAMETRI'!$B$6))</f>
        <v/>
      </c>
      <c r="I196" s="25">
        <f>IF($A196="","",IFERROR($H196/$E196,""))</f>
        <v/>
      </c>
      <c r="J196" s="25">
        <f>IF($A196="","",IFERROR($E196/SUMIFS('13_VANZARI'!$H$5:$H$1004,'13_VANZARI'!$A$5:$A$1004,"&gt;="&amp;'09_PARAMETRI'!$B$5,'13_VANZARI'!$A$5:$A$1004,"&lt;="&amp;'09_PARAMETRI'!$B$6),""))</f>
        <v/>
      </c>
      <c r="K196" s="36">
        <f>IF($A196="","",IFERROR(IF(SUMPRODUCT(MAX(('13_VANZARI'!$D$5:$D$1004=$A196)*('13_VANZARI'!$H$5:$H$1004&lt;&gt;"")*'13_VANZARI'!$A$5:$A$1004))=0,"",SUMPRODUCT(MAX(('13_VANZARI'!$D$5:$D$1004=$A196)*('13_VANZARI'!$H$5:$H$1004&lt;&gt;"")*'13_VANZARI'!$A$5:$A$1004))),""))</f>
        <v/>
      </c>
      <c r="L196" s="24">
        <f>IF(OR($A196="",$K196=""),"",'09_PARAMETRI'!$B$9-$K196)</f>
        <v/>
      </c>
      <c r="M196" s="24">
        <f>IF($A196="","",SUMPRODUCT(('11_PRODUSE'!$A$5:$A$104&lt;&gt;"")*(SUMIFS('13_VANZARI'!$H$5:$H$1004,'13_VANZARI'!$D$5:$D$1004,$A196,'13_VANZARI'!$E$5:$E$1004,'11_PRODUSE'!$A$5:$A$104,'13_VANZARI'!$A$5:$A$1004,"&gt;="&amp;'09_PARAMETRI'!$B$5,'13_VANZARI'!$A$5:$A$1004,"&lt;="&amp;'09_PARAMETRI'!$B$6)&lt;&gt;0)))</f>
        <v/>
      </c>
      <c r="N196" s="50">
        <f>IF($A196="","",IFERROR(AVERAGEIFS('15_NPS'!$F$5:$F$504,'15_NPS'!$C$5:$C$504,$A196,'15_NPS'!$B$5:$B$504,"&gt;="&amp;'09_PARAMETRI'!$B$5,'15_NPS'!$B$5:$B$504,"&lt;="&amp;'09_PARAMETRI'!$B$6),""))</f>
        <v/>
      </c>
      <c r="O196" s="39">
        <f>IF($A196="","",IF(AND($F196&gt;0,$E196=0),"Client pierdut",IF(AND($L196&lt;&gt;"",$L196&gt;'09_PARAMETRI'!$B$16,$F196&gt;0),"Client dormant",IF(AND($G196&lt;&gt;"",$G196&lt;='09_PARAMETRI'!$B$13),"Scădere de venit",IF(AND($N196&lt;&gt;"",$N196&lt;7),"Detractor activ",IF(AND($E196&gt;0,$J196&gt;'09_PARAMETRI'!$B$19),"Risc concentrare",IF(AND($E196&gt;0,$I196&lt;&gt;"",$I196&lt;'09_PARAMETRI'!$B$15),"Marjă sub referință",IF(AND($G196&lt;&gt;"",$G196&gt;='09_PARAMETRI'!$B$14),"În creștere",IF($E196=0,"Fără activitate","Stabil")))))))))</f>
        <v/>
      </c>
      <c r="P196" s="39">
        <f>IF($A196="","",IF($O196="Risc concentrare","Risc concentrare",IF($O196="Client pierdut","Recuperare client",IF($O196="Client dormant","Reactivare client",IF($O196="Scădere de venit","Recuperare client",IF($O196="Detractor activ","Recuperare NPS",IF($O196="Marjă sub referință","Marjă / preț",IF($O196="În creștere","Up-sell",IF($O196="Fără activitate","Reactivare client","Cross-sell")))))))))</f>
        <v/>
      </c>
      <c r="Q196" s="24">
        <f>IF($A196="","",IFERROR(IF($O196="Scădere de venit",MAX(0,$F196-$E196),IF(OR($O196="Client pierdut",$O196="Client dormant",$O196="Fără activitate"),$F196,IF($O196="Marjă sub referință",MAX(0,$E196*('09_PARAMETRI'!$B$15-$I196)),$E196*0.15))),""))</f>
        <v/>
      </c>
      <c r="R196" s="48">
        <f>IF(OR($A196="",$E196="",N($E196)&lt;=0),"",$E196+ROW()/1000000)</f>
        <v/>
      </c>
    </row>
    <row r="197">
      <c r="A197" s="39">
        <f>IF('10_CLIENTI'!$A197="","",'10_CLIENTI'!$A197)</f>
        <v/>
      </c>
      <c r="B197" s="39">
        <f>IF($A197="","",IFERROR(INDEX('10_CLIENTI'!$B$5:$B$204,MATCH($A197,'10_CLIENTI'!$A$5:$A$204,0)),""))</f>
        <v/>
      </c>
      <c r="C197" s="39">
        <f>IF($A197="","",IFERROR(INDEX('10_CLIENTI'!$C$5:$C$204,MATCH($A197,'10_CLIENTI'!$A$5:$A$204,0)),""))</f>
        <v/>
      </c>
      <c r="D197" s="39">
        <f>IF($A197="","",IFERROR(INDEX('10_CLIENTI'!$G$5:$G$204,MATCH($A197,'10_CLIENTI'!$A$5:$A$204,0)),""))</f>
        <v/>
      </c>
      <c r="E197" s="24">
        <f>IF($A197="","",SUMIFS('13_VANZARI'!$H$5:$H$1004,'13_VANZARI'!$D$5:$D$1004,$A197,'13_VANZARI'!$A$5:$A$1004,"&gt;="&amp;'09_PARAMETRI'!$B$5,'13_VANZARI'!$A$5:$A$1004,"&lt;="&amp;'09_PARAMETRI'!$B$6))</f>
        <v/>
      </c>
      <c r="F197" s="24">
        <f>IF($A197="","",SUMIFS('13_VANZARI'!$H$5:$H$1004,'13_VANZARI'!$D$5:$D$1004,$A197,'13_VANZARI'!$A$5:$A$1004,"&gt;="&amp;'09_PARAMETRI'!$B$7,'13_VANZARI'!$A$5:$A$1004,"&lt;="&amp;'09_PARAMETRI'!$B$8))</f>
        <v/>
      </c>
      <c r="G197" s="25">
        <f>IF($A197="","",IFERROR(IF($F197=0,"",($E197-$F197)/ABS($F197)),""))</f>
        <v/>
      </c>
      <c r="H197" s="24">
        <f>IF($A197="","",SUMIFS('13_VANZARI'!$K$5:$K$1004,'13_VANZARI'!$D$5:$D$1004,$A197,'13_VANZARI'!$A$5:$A$1004,"&gt;="&amp;'09_PARAMETRI'!$B$5,'13_VANZARI'!$A$5:$A$1004,"&lt;="&amp;'09_PARAMETRI'!$B$6))</f>
        <v/>
      </c>
      <c r="I197" s="25">
        <f>IF($A197="","",IFERROR($H197/$E197,""))</f>
        <v/>
      </c>
      <c r="J197" s="25">
        <f>IF($A197="","",IFERROR($E197/SUMIFS('13_VANZARI'!$H$5:$H$1004,'13_VANZARI'!$A$5:$A$1004,"&gt;="&amp;'09_PARAMETRI'!$B$5,'13_VANZARI'!$A$5:$A$1004,"&lt;="&amp;'09_PARAMETRI'!$B$6),""))</f>
        <v/>
      </c>
      <c r="K197" s="36">
        <f>IF($A197="","",IFERROR(IF(SUMPRODUCT(MAX(('13_VANZARI'!$D$5:$D$1004=$A197)*('13_VANZARI'!$H$5:$H$1004&lt;&gt;"")*'13_VANZARI'!$A$5:$A$1004))=0,"",SUMPRODUCT(MAX(('13_VANZARI'!$D$5:$D$1004=$A197)*('13_VANZARI'!$H$5:$H$1004&lt;&gt;"")*'13_VANZARI'!$A$5:$A$1004))),""))</f>
        <v/>
      </c>
      <c r="L197" s="24">
        <f>IF(OR($A197="",$K197=""),"",'09_PARAMETRI'!$B$9-$K197)</f>
        <v/>
      </c>
      <c r="M197" s="24">
        <f>IF($A197="","",SUMPRODUCT(('11_PRODUSE'!$A$5:$A$104&lt;&gt;"")*(SUMIFS('13_VANZARI'!$H$5:$H$1004,'13_VANZARI'!$D$5:$D$1004,$A197,'13_VANZARI'!$E$5:$E$1004,'11_PRODUSE'!$A$5:$A$104,'13_VANZARI'!$A$5:$A$1004,"&gt;="&amp;'09_PARAMETRI'!$B$5,'13_VANZARI'!$A$5:$A$1004,"&lt;="&amp;'09_PARAMETRI'!$B$6)&lt;&gt;0)))</f>
        <v/>
      </c>
      <c r="N197" s="50">
        <f>IF($A197="","",IFERROR(AVERAGEIFS('15_NPS'!$F$5:$F$504,'15_NPS'!$C$5:$C$504,$A197,'15_NPS'!$B$5:$B$504,"&gt;="&amp;'09_PARAMETRI'!$B$5,'15_NPS'!$B$5:$B$504,"&lt;="&amp;'09_PARAMETRI'!$B$6),""))</f>
        <v/>
      </c>
      <c r="O197" s="39">
        <f>IF($A197="","",IF(AND($F197&gt;0,$E197=0),"Client pierdut",IF(AND($L197&lt;&gt;"",$L197&gt;'09_PARAMETRI'!$B$16,$F197&gt;0),"Client dormant",IF(AND($G197&lt;&gt;"",$G197&lt;='09_PARAMETRI'!$B$13),"Scădere de venit",IF(AND($N197&lt;&gt;"",$N197&lt;7),"Detractor activ",IF(AND($E197&gt;0,$J197&gt;'09_PARAMETRI'!$B$19),"Risc concentrare",IF(AND($E197&gt;0,$I197&lt;&gt;"",$I197&lt;'09_PARAMETRI'!$B$15),"Marjă sub referință",IF(AND($G197&lt;&gt;"",$G197&gt;='09_PARAMETRI'!$B$14),"În creștere",IF($E197=0,"Fără activitate","Stabil")))))))))</f>
        <v/>
      </c>
      <c r="P197" s="39">
        <f>IF($A197="","",IF($O197="Risc concentrare","Risc concentrare",IF($O197="Client pierdut","Recuperare client",IF($O197="Client dormant","Reactivare client",IF($O197="Scădere de venit","Recuperare client",IF($O197="Detractor activ","Recuperare NPS",IF($O197="Marjă sub referință","Marjă / preț",IF($O197="În creștere","Up-sell",IF($O197="Fără activitate","Reactivare client","Cross-sell")))))))))</f>
        <v/>
      </c>
      <c r="Q197" s="24">
        <f>IF($A197="","",IFERROR(IF($O197="Scădere de venit",MAX(0,$F197-$E197),IF(OR($O197="Client pierdut",$O197="Client dormant",$O197="Fără activitate"),$F197,IF($O197="Marjă sub referință",MAX(0,$E197*('09_PARAMETRI'!$B$15-$I197)),$E197*0.15))),""))</f>
        <v/>
      </c>
      <c r="R197" s="48">
        <f>IF(OR($A197="",$E197="",N($E197)&lt;=0),"",$E197+ROW()/1000000)</f>
        <v/>
      </c>
    </row>
    <row r="198">
      <c r="A198" s="39">
        <f>IF('10_CLIENTI'!$A198="","",'10_CLIENTI'!$A198)</f>
        <v/>
      </c>
      <c r="B198" s="39">
        <f>IF($A198="","",IFERROR(INDEX('10_CLIENTI'!$B$5:$B$204,MATCH($A198,'10_CLIENTI'!$A$5:$A$204,0)),""))</f>
        <v/>
      </c>
      <c r="C198" s="39">
        <f>IF($A198="","",IFERROR(INDEX('10_CLIENTI'!$C$5:$C$204,MATCH($A198,'10_CLIENTI'!$A$5:$A$204,0)),""))</f>
        <v/>
      </c>
      <c r="D198" s="39">
        <f>IF($A198="","",IFERROR(INDEX('10_CLIENTI'!$G$5:$G$204,MATCH($A198,'10_CLIENTI'!$A$5:$A$204,0)),""))</f>
        <v/>
      </c>
      <c r="E198" s="24">
        <f>IF($A198="","",SUMIFS('13_VANZARI'!$H$5:$H$1004,'13_VANZARI'!$D$5:$D$1004,$A198,'13_VANZARI'!$A$5:$A$1004,"&gt;="&amp;'09_PARAMETRI'!$B$5,'13_VANZARI'!$A$5:$A$1004,"&lt;="&amp;'09_PARAMETRI'!$B$6))</f>
        <v/>
      </c>
      <c r="F198" s="24">
        <f>IF($A198="","",SUMIFS('13_VANZARI'!$H$5:$H$1004,'13_VANZARI'!$D$5:$D$1004,$A198,'13_VANZARI'!$A$5:$A$1004,"&gt;="&amp;'09_PARAMETRI'!$B$7,'13_VANZARI'!$A$5:$A$1004,"&lt;="&amp;'09_PARAMETRI'!$B$8))</f>
        <v/>
      </c>
      <c r="G198" s="25">
        <f>IF($A198="","",IFERROR(IF($F198=0,"",($E198-$F198)/ABS($F198)),""))</f>
        <v/>
      </c>
      <c r="H198" s="24">
        <f>IF($A198="","",SUMIFS('13_VANZARI'!$K$5:$K$1004,'13_VANZARI'!$D$5:$D$1004,$A198,'13_VANZARI'!$A$5:$A$1004,"&gt;="&amp;'09_PARAMETRI'!$B$5,'13_VANZARI'!$A$5:$A$1004,"&lt;="&amp;'09_PARAMETRI'!$B$6))</f>
        <v/>
      </c>
      <c r="I198" s="25">
        <f>IF($A198="","",IFERROR($H198/$E198,""))</f>
        <v/>
      </c>
      <c r="J198" s="25">
        <f>IF($A198="","",IFERROR($E198/SUMIFS('13_VANZARI'!$H$5:$H$1004,'13_VANZARI'!$A$5:$A$1004,"&gt;="&amp;'09_PARAMETRI'!$B$5,'13_VANZARI'!$A$5:$A$1004,"&lt;="&amp;'09_PARAMETRI'!$B$6),""))</f>
        <v/>
      </c>
      <c r="K198" s="36">
        <f>IF($A198="","",IFERROR(IF(SUMPRODUCT(MAX(('13_VANZARI'!$D$5:$D$1004=$A198)*('13_VANZARI'!$H$5:$H$1004&lt;&gt;"")*'13_VANZARI'!$A$5:$A$1004))=0,"",SUMPRODUCT(MAX(('13_VANZARI'!$D$5:$D$1004=$A198)*('13_VANZARI'!$H$5:$H$1004&lt;&gt;"")*'13_VANZARI'!$A$5:$A$1004))),""))</f>
        <v/>
      </c>
      <c r="L198" s="24">
        <f>IF(OR($A198="",$K198=""),"",'09_PARAMETRI'!$B$9-$K198)</f>
        <v/>
      </c>
      <c r="M198" s="24">
        <f>IF($A198="","",SUMPRODUCT(('11_PRODUSE'!$A$5:$A$104&lt;&gt;"")*(SUMIFS('13_VANZARI'!$H$5:$H$1004,'13_VANZARI'!$D$5:$D$1004,$A198,'13_VANZARI'!$E$5:$E$1004,'11_PRODUSE'!$A$5:$A$104,'13_VANZARI'!$A$5:$A$1004,"&gt;="&amp;'09_PARAMETRI'!$B$5,'13_VANZARI'!$A$5:$A$1004,"&lt;="&amp;'09_PARAMETRI'!$B$6)&lt;&gt;0)))</f>
        <v/>
      </c>
      <c r="N198" s="50">
        <f>IF($A198="","",IFERROR(AVERAGEIFS('15_NPS'!$F$5:$F$504,'15_NPS'!$C$5:$C$504,$A198,'15_NPS'!$B$5:$B$504,"&gt;="&amp;'09_PARAMETRI'!$B$5,'15_NPS'!$B$5:$B$504,"&lt;="&amp;'09_PARAMETRI'!$B$6),""))</f>
        <v/>
      </c>
      <c r="O198" s="39">
        <f>IF($A198="","",IF(AND($F198&gt;0,$E198=0),"Client pierdut",IF(AND($L198&lt;&gt;"",$L198&gt;'09_PARAMETRI'!$B$16,$F198&gt;0),"Client dormant",IF(AND($G198&lt;&gt;"",$G198&lt;='09_PARAMETRI'!$B$13),"Scădere de venit",IF(AND($N198&lt;&gt;"",$N198&lt;7),"Detractor activ",IF(AND($E198&gt;0,$J198&gt;'09_PARAMETRI'!$B$19),"Risc concentrare",IF(AND($E198&gt;0,$I198&lt;&gt;"",$I198&lt;'09_PARAMETRI'!$B$15),"Marjă sub referință",IF(AND($G198&lt;&gt;"",$G198&gt;='09_PARAMETRI'!$B$14),"În creștere",IF($E198=0,"Fără activitate","Stabil")))))))))</f>
        <v/>
      </c>
      <c r="P198" s="39">
        <f>IF($A198="","",IF($O198="Risc concentrare","Risc concentrare",IF($O198="Client pierdut","Recuperare client",IF($O198="Client dormant","Reactivare client",IF($O198="Scădere de venit","Recuperare client",IF($O198="Detractor activ","Recuperare NPS",IF($O198="Marjă sub referință","Marjă / preț",IF($O198="În creștere","Up-sell",IF($O198="Fără activitate","Reactivare client","Cross-sell")))))))))</f>
        <v/>
      </c>
      <c r="Q198" s="24">
        <f>IF($A198="","",IFERROR(IF($O198="Scădere de venit",MAX(0,$F198-$E198),IF(OR($O198="Client pierdut",$O198="Client dormant",$O198="Fără activitate"),$F198,IF($O198="Marjă sub referință",MAX(0,$E198*('09_PARAMETRI'!$B$15-$I198)),$E198*0.15))),""))</f>
        <v/>
      </c>
      <c r="R198" s="48">
        <f>IF(OR($A198="",$E198="",N($E198)&lt;=0),"",$E198+ROW()/1000000)</f>
        <v/>
      </c>
    </row>
    <row r="199">
      <c r="A199" s="39">
        <f>IF('10_CLIENTI'!$A199="","",'10_CLIENTI'!$A199)</f>
        <v/>
      </c>
      <c r="B199" s="39">
        <f>IF($A199="","",IFERROR(INDEX('10_CLIENTI'!$B$5:$B$204,MATCH($A199,'10_CLIENTI'!$A$5:$A$204,0)),""))</f>
        <v/>
      </c>
      <c r="C199" s="39">
        <f>IF($A199="","",IFERROR(INDEX('10_CLIENTI'!$C$5:$C$204,MATCH($A199,'10_CLIENTI'!$A$5:$A$204,0)),""))</f>
        <v/>
      </c>
      <c r="D199" s="39">
        <f>IF($A199="","",IFERROR(INDEX('10_CLIENTI'!$G$5:$G$204,MATCH($A199,'10_CLIENTI'!$A$5:$A$204,0)),""))</f>
        <v/>
      </c>
      <c r="E199" s="24">
        <f>IF($A199="","",SUMIFS('13_VANZARI'!$H$5:$H$1004,'13_VANZARI'!$D$5:$D$1004,$A199,'13_VANZARI'!$A$5:$A$1004,"&gt;="&amp;'09_PARAMETRI'!$B$5,'13_VANZARI'!$A$5:$A$1004,"&lt;="&amp;'09_PARAMETRI'!$B$6))</f>
        <v/>
      </c>
      <c r="F199" s="24">
        <f>IF($A199="","",SUMIFS('13_VANZARI'!$H$5:$H$1004,'13_VANZARI'!$D$5:$D$1004,$A199,'13_VANZARI'!$A$5:$A$1004,"&gt;="&amp;'09_PARAMETRI'!$B$7,'13_VANZARI'!$A$5:$A$1004,"&lt;="&amp;'09_PARAMETRI'!$B$8))</f>
        <v/>
      </c>
      <c r="G199" s="25">
        <f>IF($A199="","",IFERROR(IF($F199=0,"",($E199-$F199)/ABS($F199)),""))</f>
        <v/>
      </c>
      <c r="H199" s="24">
        <f>IF($A199="","",SUMIFS('13_VANZARI'!$K$5:$K$1004,'13_VANZARI'!$D$5:$D$1004,$A199,'13_VANZARI'!$A$5:$A$1004,"&gt;="&amp;'09_PARAMETRI'!$B$5,'13_VANZARI'!$A$5:$A$1004,"&lt;="&amp;'09_PARAMETRI'!$B$6))</f>
        <v/>
      </c>
      <c r="I199" s="25">
        <f>IF($A199="","",IFERROR($H199/$E199,""))</f>
        <v/>
      </c>
      <c r="J199" s="25">
        <f>IF($A199="","",IFERROR($E199/SUMIFS('13_VANZARI'!$H$5:$H$1004,'13_VANZARI'!$A$5:$A$1004,"&gt;="&amp;'09_PARAMETRI'!$B$5,'13_VANZARI'!$A$5:$A$1004,"&lt;="&amp;'09_PARAMETRI'!$B$6),""))</f>
        <v/>
      </c>
      <c r="K199" s="36">
        <f>IF($A199="","",IFERROR(IF(SUMPRODUCT(MAX(('13_VANZARI'!$D$5:$D$1004=$A199)*('13_VANZARI'!$H$5:$H$1004&lt;&gt;"")*'13_VANZARI'!$A$5:$A$1004))=0,"",SUMPRODUCT(MAX(('13_VANZARI'!$D$5:$D$1004=$A199)*('13_VANZARI'!$H$5:$H$1004&lt;&gt;"")*'13_VANZARI'!$A$5:$A$1004))),""))</f>
        <v/>
      </c>
      <c r="L199" s="24">
        <f>IF(OR($A199="",$K199=""),"",'09_PARAMETRI'!$B$9-$K199)</f>
        <v/>
      </c>
      <c r="M199" s="24">
        <f>IF($A199="","",SUMPRODUCT(('11_PRODUSE'!$A$5:$A$104&lt;&gt;"")*(SUMIFS('13_VANZARI'!$H$5:$H$1004,'13_VANZARI'!$D$5:$D$1004,$A199,'13_VANZARI'!$E$5:$E$1004,'11_PRODUSE'!$A$5:$A$104,'13_VANZARI'!$A$5:$A$1004,"&gt;="&amp;'09_PARAMETRI'!$B$5,'13_VANZARI'!$A$5:$A$1004,"&lt;="&amp;'09_PARAMETRI'!$B$6)&lt;&gt;0)))</f>
        <v/>
      </c>
      <c r="N199" s="50">
        <f>IF($A199="","",IFERROR(AVERAGEIFS('15_NPS'!$F$5:$F$504,'15_NPS'!$C$5:$C$504,$A199,'15_NPS'!$B$5:$B$504,"&gt;="&amp;'09_PARAMETRI'!$B$5,'15_NPS'!$B$5:$B$504,"&lt;="&amp;'09_PARAMETRI'!$B$6),""))</f>
        <v/>
      </c>
      <c r="O199" s="39">
        <f>IF($A199="","",IF(AND($F199&gt;0,$E199=0),"Client pierdut",IF(AND($L199&lt;&gt;"",$L199&gt;'09_PARAMETRI'!$B$16,$F199&gt;0),"Client dormant",IF(AND($G199&lt;&gt;"",$G199&lt;='09_PARAMETRI'!$B$13),"Scădere de venit",IF(AND($N199&lt;&gt;"",$N199&lt;7),"Detractor activ",IF(AND($E199&gt;0,$J199&gt;'09_PARAMETRI'!$B$19),"Risc concentrare",IF(AND($E199&gt;0,$I199&lt;&gt;"",$I199&lt;'09_PARAMETRI'!$B$15),"Marjă sub referință",IF(AND($G199&lt;&gt;"",$G199&gt;='09_PARAMETRI'!$B$14),"În creștere",IF($E199=0,"Fără activitate","Stabil")))))))))</f>
        <v/>
      </c>
      <c r="P199" s="39">
        <f>IF($A199="","",IF($O199="Risc concentrare","Risc concentrare",IF($O199="Client pierdut","Recuperare client",IF($O199="Client dormant","Reactivare client",IF($O199="Scădere de venit","Recuperare client",IF($O199="Detractor activ","Recuperare NPS",IF($O199="Marjă sub referință","Marjă / preț",IF($O199="În creștere","Up-sell",IF($O199="Fără activitate","Reactivare client","Cross-sell")))))))))</f>
        <v/>
      </c>
      <c r="Q199" s="24">
        <f>IF($A199="","",IFERROR(IF($O199="Scădere de venit",MAX(0,$F199-$E199),IF(OR($O199="Client pierdut",$O199="Client dormant",$O199="Fără activitate"),$F199,IF($O199="Marjă sub referință",MAX(0,$E199*('09_PARAMETRI'!$B$15-$I199)),$E199*0.15))),""))</f>
        <v/>
      </c>
      <c r="R199" s="48">
        <f>IF(OR($A199="",$E199="",N($E199)&lt;=0),"",$E199+ROW()/1000000)</f>
        <v/>
      </c>
    </row>
    <row r="200">
      <c r="A200" s="39">
        <f>IF('10_CLIENTI'!$A200="","",'10_CLIENTI'!$A200)</f>
        <v/>
      </c>
      <c r="B200" s="39">
        <f>IF($A200="","",IFERROR(INDEX('10_CLIENTI'!$B$5:$B$204,MATCH($A200,'10_CLIENTI'!$A$5:$A$204,0)),""))</f>
        <v/>
      </c>
      <c r="C200" s="39">
        <f>IF($A200="","",IFERROR(INDEX('10_CLIENTI'!$C$5:$C$204,MATCH($A200,'10_CLIENTI'!$A$5:$A$204,0)),""))</f>
        <v/>
      </c>
      <c r="D200" s="39">
        <f>IF($A200="","",IFERROR(INDEX('10_CLIENTI'!$G$5:$G$204,MATCH($A200,'10_CLIENTI'!$A$5:$A$204,0)),""))</f>
        <v/>
      </c>
      <c r="E200" s="24">
        <f>IF($A200="","",SUMIFS('13_VANZARI'!$H$5:$H$1004,'13_VANZARI'!$D$5:$D$1004,$A200,'13_VANZARI'!$A$5:$A$1004,"&gt;="&amp;'09_PARAMETRI'!$B$5,'13_VANZARI'!$A$5:$A$1004,"&lt;="&amp;'09_PARAMETRI'!$B$6))</f>
        <v/>
      </c>
      <c r="F200" s="24">
        <f>IF($A200="","",SUMIFS('13_VANZARI'!$H$5:$H$1004,'13_VANZARI'!$D$5:$D$1004,$A200,'13_VANZARI'!$A$5:$A$1004,"&gt;="&amp;'09_PARAMETRI'!$B$7,'13_VANZARI'!$A$5:$A$1004,"&lt;="&amp;'09_PARAMETRI'!$B$8))</f>
        <v/>
      </c>
      <c r="G200" s="25">
        <f>IF($A200="","",IFERROR(IF($F200=0,"",($E200-$F200)/ABS($F200)),""))</f>
        <v/>
      </c>
      <c r="H200" s="24">
        <f>IF($A200="","",SUMIFS('13_VANZARI'!$K$5:$K$1004,'13_VANZARI'!$D$5:$D$1004,$A200,'13_VANZARI'!$A$5:$A$1004,"&gt;="&amp;'09_PARAMETRI'!$B$5,'13_VANZARI'!$A$5:$A$1004,"&lt;="&amp;'09_PARAMETRI'!$B$6))</f>
        <v/>
      </c>
      <c r="I200" s="25">
        <f>IF($A200="","",IFERROR($H200/$E200,""))</f>
        <v/>
      </c>
      <c r="J200" s="25">
        <f>IF($A200="","",IFERROR($E200/SUMIFS('13_VANZARI'!$H$5:$H$1004,'13_VANZARI'!$A$5:$A$1004,"&gt;="&amp;'09_PARAMETRI'!$B$5,'13_VANZARI'!$A$5:$A$1004,"&lt;="&amp;'09_PARAMETRI'!$B$6),""))</f>
        <v/>
      </c>
      <c r="K200" s="36">
        <f>IF($A200="","",IFERROR(IF(SUMPRODUCT(MAX(('13_VANZARI'!$D$5:$D$1004=$A200)*('13_VANZARI'!$H$5:$H$1004&lt;&gt;"")*'13_VANZARI'!$A$5:$A$1004))=0,"",SUMPRODUCT(MAX(('13_VANZARI'!$D$5:$D$1004=$A200)*('13_VANZARI'!$H$5:$H$1004&lt;&gt;"")*'13_VANZARI'!$A$5:$A$1004))),""))</f>
        <v/>
      </c>
      <c r="L200" s="24">
        <f>IF(OR($A200="",$K200=""),"",'09_PARAMETRI'!$B$9-$K200)</f>
        <v/>
      </c>
      <c r="M200" s="24">
        <f>IF($A200="","",SUMPRODUCT(('11_PRODUSE'!$A$5:$A$104&lt;&gt;"")*(SUMIFS('13_VANZARI'!$H$5:$H$1004,'13_VANZARI'!$D$5:$D$1004,$A200,'13_VANZARI'!$E$5:$E$1004,'11_PRODUSE'!$A$5:$A$104,'13_VANZARI'!$A$5:$A$1004,"&gt;="&amp;'09_PARAMETRI'!$B$5,'13_VANZARI'!$A$5:$A$1004,"&lt;="&amp;'09_PARAMETRI'!$B$6)&lt;&gt;0)))</f>
        <v/>
      </c>
      <c r="N200" s="50">
        <f>IF($A200="","",IFERROR(AVERAGEIFS('15_NPS'!$F$5:$F$504,'15_NPS'!$C$5:$C$504,$A200,'15_NPS'!$B$5:$B$504,"&gt;="&amp;'09_PARAMETRI'!$B$5,'15_NPS'!$B$5:$B$504,"&lt;="&amp;'09_PARAMETRI'!$B$6),""))</f>
        <v/>
      </c>
      <c r="O200" s="39">
        <f>IF($A200="","",IF(AND($F200&gt;0,$E200=0),"Client pierdut",IF(AND($L200&lt;&gt;"",$L200&gt;'09_PARAMETRI'!$B$16,$F200&gt;0),"Client dormant",IF(AND($G200&lt;&gt;"",$G200&lt;='09_PARAMETRI'!$B$13),"Scădere de venit",IF(AND($N200&lt;&gt;"",$N200&lt;7),"Detractor activ",IF(AND($E200&gt;0,$J200&gt;'09_PARAMETRI'!$B$19),"Risc concentrare",IF(AND($E200&gt;0,$I200&lt;&gt;"",$I200&lt;'09_PARAMETRI'!$B$15),"Marjă sub referință",IF(AND($G200&lt;&gt;"",$G200&gt;='09_PARAMETRI'!$B$14),"În creștere",IF($E200=0,"Fără activitate","Stabil")))))))))</f>
        <v/>
      </c>
      <c r="P200" s="39">
        <f>IF($A200="","",IF($O200="Risc concentrare","Risc concentrare",IF($O200="Client pierdut","Recuperare client",IF($O200="Client dormant","Reactivare client",IF($O200="Scădere de venit","Recuperare client",IF($O200="Detractor activ","Recuperare NPS",IF($O200="Marjă sub referință","Marjă / preț",IF($O200="În creștere","Up-sell",IF($O200="Fără activitate","Reactivare client","Cross-sell")))))))))</f>
        <v/>
      </c>
      <c r="Q200" s="24">
        <f>IF($A200="","",IFERROR(IF($O200="Scădere de venit",MAX(0,$F200-$E200),IF(OR($O200="Client pierdut",$O200="Client dormant",$O200="Fără activitate"),$F200,IF($O200="Marjă sub referință",MAX(0,$E200*('09_PARAMETRI'!$B$15-$I200)),$E200*0.15))),""))</f>
        <v/>
      </c>
      <c r="R200" s="48">
        <f>IF(OR($A200="",$E200="",N($E200)&lt;=0),"",$E200+ROW()/1000000)</f>
        <v/>
      </c>
    </row>
    <row r="201">
      <c r="A201" s="39">
        <f>IF('10_CLIENTI'!$A201="","",'10_CLIENTI'!$A201)</f>
        <v/>
      </c>
      <c r="B201" s="39">
        <f>IF($A201="","",IFERROR(INDEX('10_CLIENTI'!$B$5:$B$204,MATCH($A201,'10_CLIENTI'!$A$5:$A$204,0)),""))</f>
        <v/>
      </c>
      <c r="C201" s="39">
        <f>IF($A201="","",IFERROR(INDEX('10_CLIENTI'!$C$5:$C$204,MATCH($A201,'10_CLIENTI'!$A$5:$A$204,0)),""))</f>
        <v/>
      </c>
      <c r="D201" s="39">
        <f>IF($A201="","",IFERROR(INDEX('10_CLIENTI'!$G$5:$G$204,MATCH($A201,'10_CLIENTI'!$A$5:$A$204,0)),""))</f>
        <v/>
      </c>
      <c r="E201" s="24">
        <f>IF($A201="","",SUMIFS('13_VANZARI'!$H$5:$H$1004,'13_VANZARI'!$D$5:$D$1004,$A201,'13_VANZARI'!$A$5:$A$1004,"&gt;="&amp;'09_PARAMETRI'!$B$5,'13_VANZARI'!$A$5:$A$1004,"&lt;="&amp;'09_PARAMETRI'!$B$6))</f>
        <v/>
      </c>
      <c r="F201" s="24">
        <f>IF($A201="","",SUMIFS('13_VANZARI'!$H$5:$H$1004,'13_VANZARI'!$D$5:$D$1004,$A201,'13_VANZARI'!$A$5:$A$1004,"&gt;="&amp;'09_PARAMETRI'!$B$7,'13_VANZARI'!$A$5:$A$1004,"&lt;="&amp;'09_PARAMETRI'!$B$8))</f>
        <v/>
      </c>
      <c r="G201" s="25">
        <f>IF($A201="","",IFERROR(IF($F201=0,"",($E201-$F201)/ABS($F201)),""))</f>
        <v/>
      </c>
      <c r="H201" s="24">
        <f>IF($A201="","",SUMIFS('13_VANZARI'!$K$5:$K$1004,'13_VANZARI'!$D$5:$D$1004,$A201,'13_VANZARI'!$A$5:$A$1004,"&gt;="&amp;'09_PARAMETRI'!$B$5,'13_VANZARI'!$A$5:$A$1004,"&lt;="&amp;'09_PARAMETRI'!$B$6))</f>
        <v/>
      </c>
      <c r="I201" s="25">
        <f>IF($A201="","",IFERROR($H201/$E201,""))</f>
        <v/>
      </c>
      <c r="J201" s="25">
        <f>IF($A201="","",IFERROR($E201/SUMIFS('13_VANZARI'!$H$5:$H$1004,'13_VANZARI'!$A$5:$A$1004,"&gt;="&amp;'09_PARAMETRI'!$B$5,'13_VANZARI'!$A$5:$A$1004,"&lt;="&amp;'09_PARAMETRI'!$B$6),""))</f>
        <v/>
      </c>
      <c r="K201" s="36">
        <f>IF($A201="","",IFERROR(IF(SUMPRODUCT(MAX(('13_VANZARI'!$D$5:$D$1004=$A201)*('13_VANZARI'!$H$5:$H$1004&lt;&gt;"")*'13_VANZARI'!$A$5:$A$1004))=0,"",SUMPRODUCT(MAX(('13_VANZARI'!$D$5:$D$1004=$A201)*('13_VANZARI'!$H$5:$H$1004&lt;&gt;"")*'13_VANZARI'!$A$5:$A$1004))),""))</f>
        <v/>
      </c>
      <c r="L201" s="24">
        <f>IF(OR($A201="",$K201=""),"",'09_PARAMETRI'!$B$9-$K201)</f>
        <v/>
      </c>
      <c r="M201" s="24">
        <f>IF($A201="","",SUMPRODUCT(('11_PRODUSE'!$A$5:$A$104&lt;&gt;"")*(SUMIFS('13_VANZARI'!$H$5:$H$1004,'13_VANZARI'!$D$5:$D$1004,$A201,'13_VANZARI'!$E$5:$E$1004,'11_PRODUSE'!$A$5:$A$104,'13_VANZARI'!$A$5:$A$1004,"&gt;="&amp;'09_PARAMETRI'!$B$5,'13_VANZARI'!$A$5:$A$1004,"&lt;="&amp;'09_PARAMETRI'!$B$6)&lt;&gt;0)))</f>
        <v/>
      </c>
      <c r="N201" s="50">
        <f>IF($A201="","",IFERROR(AVERAGEIFS('15_NPS'!$F$5:$F$504,'15_NPS'!$C$5:$C$504,$A201,'15_NPS'!$B$5:$B$504,"&gt;="&amp;'09_PARAMETRI'!$B$5,'15_NPS'!$B$5:$B$504,"&lt;="&amp;'09_PARAMETRI'!$B$6),""))</f>
        <v/>
      </c>
      <c r="O201" s="39">
        <f>IF($A201="","",IF(AND($F201&gt;0,$E201=0),"Client pierdut",IF(AND($L201&lt;&gt;"",$L201&gt;'09_PARAMETRI'!$B$16,$F201&gt;0),"Client dormant",IF(AND($G201&lt;&gt;"",$G201&lt;='09_PARAMETRI'!$B$13),"Scădere de venit",IF(AND($N201&lt;&gt;"",$N201&lt;7),"Detractor activ",IF(AND($E201&gt;0,$J201&gt;'09_PARAMETRI'!$B$19),"Risc concentrare",IF(AND($E201&gt;0,$I201&lt;&gt;"",$I201&lt;'09_PARAMETRI'!$B$15),"Marjă sub referință",IF(AND($G201&lt;&gt;"",$G201&gt;='09_PARAMETRI'!$B$14),"În creștere",IF($E201=0,"Fără activitate","Stabil")))))))))</f>
        <v/>
      </c>
      <c r="P201" s="39">
        <f>IF($A201="","",IF($O201="Risc concentrare","Risc concentrare",IF($O201="Client pierdut","Recuperare client",IF($O201="Client dormant","Reactivare client",IF($O201="Scădere de venit","Recuperare client",IF($O201="Detractor activ","Recuperare NPS",IF($O201="Marjă sub referință","Marjă / preț",IF($O201="În creștere","Up-sell",IF($O201="Fără activitate","Reactivare client","Cross-sell")))))))))</f>
        <v/>
      </c>
      <c r="Q201" s="24">
        <f>IF($A201="","",IFERROR(IF($O201="Scădere de venit",MAX(0,$F201-$E201),IF(OR($O201="Client pierdut",$O201="Client dormant",$O201="Fără activitate"),$F201,IF($O201="Marjă sub referință",MAX(0,$E201*('09_PARAMETRI'!$B$15-$I201)),$E201*0.15))),""))</f>
        <v/>
      </c>
      <c r="R201" s="48">
        <f>IF(OR($A201="",$E201="",N($E201)&lt;=0),"",$E201+ROW()/1000000)</f>
        <v/>
      </c>
    </row>
    <row r="202">
      <c r="A202" s="39">
        <f>IF('10_CLIENTI'!$A202="","",'10_CLIENTI'!$A202)</f>
        <v/>
      </c>
      <c r="B202" s="39">
        <f>IF($A202="","",IFERROR(INDEX('10_CLIENTI'!$B$5:$B$204,MATCH($A202,'10_CLIENTI'!$A$5:$A$204,0)),""))</f>
        <v/>
      </c>
      <c r="C202" s="39">
        <f>IF($A202="","",IFERROR(INDEX('10_CLIENTI'!$C$5:$C$204,MATCH($A202,'10_CLIENTI'!$A$5:$A$204,0)),""))</f>
        <v/>
      </c>
      <c r="D202" s="39">
        <f>IF($A202="","",IFERROR(INDEX('10_CLIENTI'!$G$5:$G$204,MATCH($A202,'10_CLIENTI'!$A$5:$A$204,0)),""))</f>
        <v/>
      </c>
      <c r="E202" s="24">
        <f>IF($A202="","",SUMIFS('13_VANZARI'!$H$5:$H$1004,'13_VANZARI'!$D$5:$D$1004,$A202,'13_VANZARI'!$A$5:$A$1004,"&gt;="&amp;'09_PARAMETRI'!$B$5,'13_VANZARI'!$A$5:$A$1004,"&lt;="&amp;'09_PARAMETRI'!$B$6))</f>
        <v/>
      </c>
      <c r="F202" s="24">
        <f>IF($A202="","",SUMIFS('13_VANZARI'!$H$5:$H$1004,'13_VANZARI'!$D$5:$D$1004,$A202,'13_VANZARI'!$A$5:$A$1004,"&gt;="&amp;'09_PARAMETRI'!$B$7,'13_VANZARI'!$A$5:$A$1004,"&lt;="&amp;'09_PARAMETRI'!$B$8))</f>
        <v/>
      </c>
      <c r="G202" s="25">
        <f>IF($A202="","",IFERROR(IF($F202=0,"",($E202-$F202)/ABS($F202)),""))</f>
        <v/>
      </c>
      <c r="H202" s="24">
        <f>IF($A202="","",SUMIFS('13_VANZARI'!$K$5:$K$1004,'13_VANZARI'!$D$5:$D$1004,$A202,'13_VANZARI'!$A$5:$A$1004,"&gt;="&amp;'09_PARAMETRI'!$B$5,'13_VANZARI'!$A$5:$A$1004,"&lt;="&amp;'09_PARAMETRI'!$B$6))</f>
        <v/>
      </c>
      <c r="I202" s="25">
        <f>IF($A202="","",IFERROR($H202/$E202,""))</f>
        <v/>
      </c>
      <c r="J202" s="25">
        <f>IF($A202="","",IFERROR($E202/SUMIFS('13_VANZARI'!$H$5:$H$1004,'13_VANZARI'!$A$5:$A$1004,"&gt;="&amp;'09_PARAMETRI'!$B$5,'13_VANZARI'!$A$5:$A$1004,"&lt;="&amp;'09_PARAMETRI'!$B$6),""))</f>
        <v/>
      </c>
      <c r="K202" s="36">
        <f>IF($A202="","",IFERROR(IF(SUMPRODUCT(MAX(('13_VANZARI'!$D$5:$D$1004=$A202)*('13_VANZARI'!$H$5:$H$1004&lt;&gt;"")*'13_VANZARI'!$A$5:$A$1004))=0,"",SUMPRODUCT(MAX(('13_VANZARI'!$D$5:$D$1004=$A202)*('13_VANZARI'!$H$5:$H$1004&lt;&gt;"")*'13_VANZARI'!$A$5:$A$1004))),""))</f>
        <v/>
      </c>
      <c r="L202" s="24">
        <f>IF(OR($A202="",$K202=""),"",'09_PARAMETRI'!$B$9-$K202)</f>
        <v/>
      </c>
      <c r="M202" s="24">
        <f>IF($A202="","",SUMPRODUCT(('11_PRODUSE'!$A$5:$A$104&lt;&gt;"")*(SUMIFS('13_VANZARI'!$H$5:$H$1004,'13_VANZARI'!$D$5:$D$1004,$A202,'13_VANZARI'!$E$5:$E$1004,'11_PRODUSE'!$A$5:$A$104,'13_VANZARI'!$A$5:$A$1004,"&gt;="&amp;'09_PARAMETRI'!$B$5,'13_VANZARI'!$A$5:$A$1004,"&lt;="&amp;'09_PARAMETRI'!$B$6)&lt;&gt;0)))</f>
        <v/>
      </c>
      <c r="N202" s="50">
        <f>IF($A202="","",IFERROR(AVERAGEIFS('15_NPS'!$F$5:$F$504,'15_NPS'!$C$5:$C$504,$A202,'15_NPS'!$B$5:$B$504,"&gt;="&amp;'09_PARAMETRI'!$B$5,'15_NPS'!$B$5:$B$504,"&lt;="&amp;'09_PARAMETRI'!$B$6),""))</f>
        <v/>
      </c>
      <c r="O202" s="39">
        <f>IF($A202="","",IF(AND($F202&gt;0,$E202=0),"Client pierdut",IF(AND($L202&lt;&gt;"",$L202&gt;'09_PARAMETRI'!$B$16,$F202&gt;0),"Client dormant",IF(AND($G202&lt;&gt;"",$G202&lt;='09_PARAMETRI'!$B$13),"Scădere de venit",IF(AND($N202&lt;&gt;"",$N202&lt;7),"Detractor activ",IF(AND($E202&gt;0,$J202&gt;'09_PARAMETRI'!$B$19),"Risc concentrare",IF(AND($E202&gt;0,$I202&lt;&gt;"",$I202&lt;'09_PARAMETRI'!$B$15),"Marjă sub referință",IF(AND($G202&lt;&gt;"",$G202&gt;='09_PARAMETRI'!$B$14),"În creștere",IF($E202=0,"Fără activitate","Stabil")))))))))</f>
        <v/>
      </c>
      <c r="P202" s="39">
        <f>IF($A202="","",IF($O202="Risc concentrare","Risc concentrare",IF($O202="Client pierdut","Recuperare client",IF($O202="Client dormant","Reactivare client",IF($O202="Scădere de venit","Recuperare client",IF($O202="Detractor activ","Recuperare NPS",IF($O202="Marjă sub referință","Marjă / preț",IF($O202="În creștere","Up-sell",IF($O202="Fără activitate","Reactivare client","Cross-sell")))))))))</f>
        <v/>
      </c>
      <c r="Q202" s="24">
        <f>IF($A202="","",IFERROR(IF($O202="Scădere de venit",MAX(0,$F202-$E202),IF(OR($O202="Client pierdut",$O202="Client dormant",$O202="Fără activitate"),$F202,IF($O202="Marjă sub referință",MAX(0,$E202*('09_PARAMETRI'!$B$15-$I202)),$E202*0.15))),""))</f>
        <v/>
      </c>
      <c r="R202" s="48">
        <f>IF(OR($A202="",$E202="",N($E202)&lt;=0),"",$E202+ROW()/1000000)</f>
        <v/>
      </c>
    </row>
    <row r="203">
      <c r="A203" s="39">
        <f>IF('10_CLIENTI'!$A203="","",'10_CLIENTI'!$A203)</f>
        <v/>
      </c>
      <c r="B203" s="39">
        <f>IF($A203="","",IFERROR(INDEX('10_CLIENTI'!$B$5:$B$204,MATCH($A203,'10_CLIENTI'!$A$5:$A$204,0)),""))</f>
        <v/>
      </c>
      <c r="C203" s="39">
        <f>IF($A203="","",IFERROR(INDEX('10_CLIENTI'!$C$5:$C$204,MATCH($A203,'10_CLIENTI'!$A$5:$A$204,0)),""))</f>
        <v/>
      </c>
      <c r="D203" s="39">
        <f>IF($A203="","",IFERROR(INDEX('10_CLIENTI'!$G$5:$G$204,MATCH($A203,'10_CLIENTI'!$A$5:$A$204,0)),""))</f>
        <v/>
      </c>
      <c r="E203" s="24">
        <f>IF($A203="","",SUMIFS('13_VANZARI'!$H$5:$H$1004,'13_VANZARI'!$D$5:$D$1004,$A203,'13_VANZARI'!$A$5:$A$1004,"&gt;="&amp;'09_PARAMETRI'!$B$5,'13_VANZARI'!$A$5:$A$1004,"&lt;="&amp;'09_PARAMETRI'!$B$6))</f>
        <v/>
      </c>
      <c r="F203" s="24">
        <f>IF($A203="","",SUMIFS('13_VANZARI'!$H$5:$H$1004,'13_VANZARI'!$D$5:$D$1004,$A203,'13_VANZARI'!$A$5:$A$1004,"&gt;="&amp;'09_PARAMETRI'!$B$7,'13_VANZARI'!$A$5:$A$1004,"&lt;="&amp;'09_PARAMETRI'!$B$8))</f>
        <v/>
      </c>
      <c r="G203" s="25">
        <f>IF($A203="","",IFERROR(IF($F203=0,"",($E203-$F203)/ABS($F203)),""))</f>
        <v/>
      </c>
      <c r="H203" s="24">
        <f>IF($A203="","",SUMIFS('13_VANZARI'!$K$5:$K$1004,'13_VANZARI'!$D$5:$D$1004,$A203,'13_VANZARI'!$A$5:$A$1004,"&gt;="&amp;'09_PARAMETRI'!$B$5,'13_VANZARI'!$A$5:$A$1004,"&lt;="&amp;'09_PARAMETRI'!$B$6))</f>
        <v/>
      </c>
      <c r="I203" s="25">
        <f>IF($A203="","",IFERROR($H203/$E203,""))</f>
        <v/>
      </c>
      <c r="J203" s="25">
        <f>IF($A203="","",IFERROR($E203/SUMIFS('13_VANZARI'!$H$5:$H$1004,'13_VANZARI'!$A$5:$A$1004,"&gt;="&amp;'09_PARAMETRI'!$B$5,'13_VANZARI'!$A$5:$A$1004,"&lt;="&amp;'09_PARAMETRI'!$B$6),""))</f>
        <v/>
      </c>
      <c r="K203" s="36">
        <f>IF($A203="","",IFERROR(IF(SUMPRODUCT(MAX(('13_VANZARI'!$D$5:$D$1004=$A203)*('13_VANZARI'!$H$5:$H$1004&lt;&gt;"")*'13_VANZARI'!$A$5:$A$1004))=0,"",SUMPRODUCT(MAX(('13_VANZARI'!$D$5:$D$1004=$A203)*('13_VANZARI'!$H$5:$H$1004&lt;&gt;"")*'13_VANZARI'!$A$5:$A$1004))),""))</f>
        <v/>
      </c>
      <c r="L203" s="24">
        <f>IF(OR($A203="",$K203=""),"",'09_PARAMETRI'!$B$9-$K203)</f>
        <v/>
      </c>
      <c r="M203" s="24">
        <f>IF($A203="","",SUMPRODUCT(('11_PRODUSE'!$A$5:$A$104&lt;&gt;"")*(SUMIFS('13_VANZARI'!$H$5:$H$1004,'13_VANZARI'!$D$5:$D$1004,$A203,'13_VANZARI'!$E$5:$E$1004,'11_PRODUSE'!$A$5:$A$104,'13_VANZARI'!$A$5:$A$1004,"&gt;="&amp;'09_PARAMETRI'!$B$5,'13_VANZARI'!$A$5:$A$1004,"&lt;="&amp;'09_PARAMETRI'!$B$6)&lt;&gt;0)))</f>
        <v/>
      </c>
      <c r="N203" s="50">
        <f>IF($A203="","",IFERROR(AVERAGEIFS('15_NPS'!$F$5:$F$504,'15_NPS'!$C$5:$C$504,$A203,'15_NPS'!$B$5:$B$504,"&gt;="&amp;'09_PARAMETRI'!$B$5,'15_NPS'!$B$5:$B$504,"&lt;="&amp;'09_PARAMETRI'!$B$6),""))</f>
        <v/>
      </c>
      <c r="O203" s="39">
        <f>IF($A203="","",IF(AND($F203&gt;0,$E203=0),"Client pierdut",IF(AND($L203&lt;&gt;"",$L203&gt;'09_PARAMETRI'!$B$16,$F203&gt;0),"Client dormant",IF(AND($G203&lt;&gt;"",$G203&lt;='09_PARAMETRI'!$B$13),"Scădere de venit",IF(AND($N203&lt;&gt;"",$N203&lt;7),"Detractor activ",IF(AND($E203&gt;0,$J203&gt;'09_PARAMETRI'!$B$19),"Risc concentrare",IF(AND($E203&gt;0,$I203&lt;&gt;"",$I203&lt;'09_PARAMETRI'!$B$15),"Marjă sub referință",IF(AND($G203&lt;&gt;"",$G203&gt;='09_PARAMETRI'!$B$14),"În creștere",IF($E203=0,"Fără activitate","Stabil")))))))))</f>
        <v/>
      </c>
      <c r="P203" s="39">
        <f>IF($A203="","",IF($O203="Risc concentrare","Risc concentrare",IF($O203="Client pierdut","Recuperare client",IF($O203="Client dormant","Reactivare client",IF($O203="Scădere de venit","Recuperare client",IF($O203="Detractor activ","Recuperare NPS",IF($O203="Marjă sub referință","Marjă / preț",IF($O203="În creștere","Up-sell",IF($O203="Fără activitate","Reactivare client","Cross-sell")))))))))</f>
        <v/>
      </c>
      <c r="Q203" s="24">
        <f>IF($A203="","",IFERROR(IF($O203="Scădere de venit",MAX(0,$F203-$E203),IF(OR($O203="Client pierdut",$O203="Client dormant",$O203="Fără activitate"),$F203,IF($O203="Marjă sub referință",MAX(0,$E203*('09_PARAMETRI'!$B$15-$I203)),$E203*0.15))),""))</f>
        <v/>
      </c>
      <c r="R203" s="48">
        <f>IF(OR($A203="",$E203="",N($E203)&lt;=0),"",$E203+ROW()/1000000)</f>
        <v/>
      </c>
    </row>
    <row r="204">
      <c r="A204" s="39">
        <f>IF('10_CLIENTI'!$A204="","",'10_CLIENTI'!$A204)</f>
        <v/>
      </c>
      <c r="B204" s="39">
        <f>IF($A204="","",IFERROR(INDEX('10_CLIENTI'!$B$5:$B$204,MATCH($A204,'10_CLIENTI'!$A$5:$A$204,0)),""))</f>
        <v/>
      </c>
      <c r="C204" s="39">
        <f>IF($A204="","",IFERROR(INDEX('10_CLIENTI'!$C$5:$C$204,MATCH($A204,'10_CLIENTI'!$A$5:$A$204,0)),""))</f>
        <v/>
      </c>
      <c r="D204" s="39">
        <f>IF($A204="","",IFERROR(INDEX('10_CLIENTI'!$G$5:$G$204,MATCH($A204,'10_CLIENTI'!$A$5:$A$204,0)),""))</f>
        <v/>
      </c>
      <c r="E204" s="24">
        <f>IF($A204="","",SUMIFS('13_VANZARI'!$H$5:$H$1004,'13_VANZARI'!$D$5:$D$1004,$A204,'13_VANZARI'!$A$5:$A$1004,"&gt;="&amp;'09_PARAMETRI'!$B$5,'13_VANZARI'!$A$5:$A$1004,"&lt;="&amp;'09_PARAMETRI'!$B$6))</f>
        <v/>
      </c>
      <c r="F204" s="24">
        <f>IF($A204="","",SUMIFS('13_VANZARI'!$H$5:$H$1004,'13_VANZARI'!$D$5:$D$1004,$A204,'13_VANZARI'!$A$5:$A$1004,"&gt;="&amp;'09_PARAMETRI'!$B$7,'13_VANZARI'!$A$5:$A$1004,"&lt;="&amp;'09_PARAMETRI'!$B$8))</f>
        <v/>
      </c>
      <c r="G204" s="25">
        <f>IF($A204="","",IFERROR(IF($F204=0,"",($E204-$F204)/ABS($F204)),""))</f>
        <v/>
      </c>
      <c r="H204" s="24">
        <f>IF($A204="","",SUMIFS('13_VANZARI'!$K$5:$K$1004,'13_VANZARI'!$D$5:$D$1004,$A204,'13_VANZARI'!$A$5:$A$1004,"&gt;="&amp;'09_PARAMETRI'!$B$5,'13_VANZARI'!$A$5:$A$1004,"&lt;="&amp;'09_PARAMETRI'!$B$6))</f>
        <v/>
      </c>
      <c r="I204" s="25">
        <f>IF($A204="","",IFERROR($H204/$E204,""))</f>
        <v/>
      </c>
      <c r="J204" s="25">
        <f>IF($A204="","",IFERROR($E204/SUMIFS('13_VANZARI'!$H$5:$H$1004,'13_VANZARI'!$A$5:$A$1004,"&gt;="&amp;'09_PARAMETRI'!$B$5,'13_VANZARI'!$A$5:$A$1004,"&lt;="&amp;'09_PARAMETRI'!$B$6),""))</f>
        <v/>
      </c>
      <c r="K204" s="36">
        <f>IF($A204="","",IFERROR(IF(SUMPRODUCT(MAX(('13_VANZARI'!$D$5:$D$1004=$A204)*('13_VANZARI'!$H$5:$H$1004&lt;&gt;"")*'13_VANZARI'!$A$5:$A$1004))=0,"",SUMPRODUCT(MAX(('13_VANZARI'!$D$5:$D$1004=$A204)*('13_VANZARI'!$H$5:$H$1004&lt;&gt;"")*'13_VANZARI'!$A$5:$A$1004))),""))</f>
        <v/>
      </c>
      <c r="L204" s="24">
        <f>IF(OR($A204="",$K204=""),"",'09_PARAMETRI'!$B$9-$K204)</f>
        <v/>
      </c>
      <c r="M204" s="24">
        <f>IF($A204="","",SUMPRODUCT(('11_PRODUSE'!$A$5:$A$104&lt;&gt;"")*(SUMIFS('13_VANZARI'!$H$5:$H$1004,'13_VANZARI'!$D$5:$D$1004,$A204,'13_VANZARI'!$E$5:$E$1004,'11_PRODUSE'!$A$5:$A$104,'13_VANZARI'!$A$5:$A$1004,"&gt;="&amp;'09_PARAMETRI'!$B$5,'13_VANZARI'!$A$5:$A$1004,"&lt;="&amp;'09_PARAMETRI'!$B$6)&lt;&gt;0)))</f>
        <v/>
      </c>
      <c r="N204" s="50">
        <f>IF($A204="","",IFERROR(AVERAGEIFS('15_NPS'!$F$5:$F$504,'15_NPS'!$C$5:$C$504,$A204,'15_NPS'!$B$5:$B$504,"&gt;="&amp;'09_PARAMETRI'!$B$5,'15_NPS'!$B$5:$B$504,"&lt;="&amp;'09_PARAMETRI'!$B$6),""))</f>
        <v/>
      </c>
      <c r="O204" s="39">
        <f>IF($A204="","",IF(AND($F204&gt;0,$E204=0),"Client pierdut",IF(AND($L204&lt;&gt;"",$L204&gt;'09_PARAMETRI'!$B$16,$F204&gt;0),"Client dormant",IF(AND($G204&lt;&gt;"",$G204&lt;='09_PARAMETRI'!$B$13),"Scădere de venit",IF(AND($N204&lt;&gt;"",$N204&lt;7),"Detractor activ",IF(AND($E204&gt;0,$J204&gt;'09_PARAMETRI'!$B$19),"Risc concentrare",IF(AND($E204&gt;0,$I204&lt;&gt;"",$I204&lt;'09_PARAMETRI'!$B$15),"Marjă sub referință",IF(AND($G204&lt;&gt;"",$G204&gt;='09_PARAMETRI'!$B$14),"În creștere",IF($E204=0,"Fără activitate","Stabil")))))))))</f>
        <v/>
      </c>
      <c r="P204" s="39">
        <f>IF($A204="","",IF($O204="Risc concentrare","Risc concentrare",IF($O204="Client pierdut","Recuperare client",IF($O204="Client dormant","Reactivare client",IF($O204="Scădere de venit","Recuperare client",IF($O204="Detractor activ","Recuperare NPS",IF($O204="Marjă sub referință","Marjă / preț",IF($O204="În creștere","Up-sell",IF($O204="Fără activitate","Reactivare client","Cross-sell")))))))))</f>
        <v/>
      </c>
      <c r="Q204" s="24">
        <f>IF($A204="","",IFERROR(IF($O204="Scădere de venit",MAX(0,$F204-$E204),IF(OR($O204="Client pierdut",$O204="Client dormant",$O204="Fără activitate"),$F204,IF($O204="Marjă sub referință",MAX(0,$E204*('09_PARAMETRI'!$B$15-$I204)),$E204*0.15))),""))</f>
        <v/>
      </c>
      <c r="R204" s="48">
        <f>IF(OR($A204="",$E204="",N($E204)&lt;=0),"",$E204+ROW()/1000000)</f>
        <v/>
      </c>
    </row>
  </sheetData>
  <autoFilter ref="A4:R204"/>
  <conditionalFormatting sqref="O5:O204">
    <cfRule type="cellIs" priority="1" operator="equal" dxfId="6">
      <formula>"Risc concentrare"</formula>
    </cfRule>
    <cfRule type="cellIs" priority="2" operator="equal" dxfId="1">
      <formula>"Client pierdut"</formula>
    </cfRule>
    <cfRule type="cellIs" priority="3" operator="equal" dxfId="7">
      <formula>"Client dormant"</formula>
    </cfRule>
    <cfRule type="cellIs" priority="4" operator="equal" dxfId="1">
      <formula>"Scădere de venit"</formula>
    </cfRule>
    <cfRule type="cellIs" priority="5" operator="equal" dxfId="1">
      <formula>"Detractor activ"</formula>
    </cfRule>
    <cfRule type="cellIs" priority="6" operator="equal" dxfId="8">
      <formula>"Marjă sub referință"</formula>
    </cfRule>
    <cfRule type="cellIs" priority="7" operator="equal" dxfId="0">
      <formula>"În creștere"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14" customWidth="1" min="5" max="5"/>
    <col width="11" customWidth="1" min="6" max="6"/>
    <col width="13" customWidth="1" min="7" max="7"/>
    <col width="10" customWidth="1" min="8" max="8"/>
    <col width="11" customWidth="1" min="9" max="9"/>
    <col width="11" customWidth="1" min="10" max="10"/>
    <col width="13" customWidth="1" min="11" max="11"/>
    <col width="13" customWidth="1" min="12" max="12"/>
    <col width="22" customWidth="1" min="13" max="13"/>
    <col width="24" customWidth="1" min="14" max="14"/>
    <col width="13" customWidth="1" min="15" max="15"/>
    <col hidden="1" width="13" customWidth="1" min="16" max="16"/>
  </cols>
  <sheetData>
    <row r="1" ht="26" customHeight="1">
      <c r="A1" s="1" t="inlineStr">
        <is>
          <t>22 — ANALIZA PRODUSELOR</t>
        </is>
      </c>
    </row>
    <row r="2" ht="16" customHeight="1">
      <c r="A2" s="2" t="inlineStr">
        <is>
          <t>Arată unde e marjă de recuperat și ce produse merg bine, dar ajung la prea puțini clienți.</t>
        </is>
      </c>
    </row>
    <row r="3"/>
    <row r="4" ht="36" customHeight="1">
      <c r="A4" s="15" t="inlineStr">
        <is>
          <t>ID produs</t>
        </is>
      </c>
      <c r="B4" s="15" t="inlineStr">
        <is>
          <t>Denumire produs</t>
        </is>
      </c>
      <c r="C4" s="15" t="inlineStr">
        <is>
          <t>Categorie</t>
        </is>
      </c>
      <c r="D4" s="15" t="inlineStr">
        <is>
          <t>Venit — curent</t>
        </is>
      </c>
      <c r="E4" s="15" t="inlineStr">
        <is>
          <t>Venit — comparativ</t>
        </is>
      </c>
      <c r="F4" s="15" t="inlineStr">
        <is>
          <t>Δ venit %</t>
        </is>
      </c>
      <c r="G4" s="15" t="inlineStr">
        <is>
          <t>Profit brut</t>
        </is>
      </c>
      <c r="H4" s="15" t="inlineStr">
        <is>
          <t>Marjă %</t>
        </is>
      </c>
      <c r="I4" s="15" t="inlineStr">
        <is>
          <t>Unități</t>
        </is>
      </c>
      <c r="J4" s="15" t="inlineStr">
        <is>
          <t>Preț mediu</t>
        </is>
      </c>
      <c r="K4" s="15" t="inlineStr">
        <is>
          <t>Nr. clienți care cumpără</t>
        </is>
      </c>
      <c r="L4" s="15" t="inlineStr">
        <is>
          <t>Penetrare în baza de clienți</t>
        </is>
      </c>
      <c r="M4" s="15" t="inlineStr">
        <is>
          <t>Semnal</t>
        </is>
      </c>
      <c r="N4" s="15" t="inlineStr">
        <is>
          <t>Oportunitate sugerată</t>
        </is>
      </c>
      <c r="O4" s="15" t="inlineStr">
        <is>
          <t>Potențial estimat</t>
        </is>
      </c>
      <c r="P4" s="15" t="inlineStr">
        <is>
          <t>Cheie clasament</t>
        </is>
      </c>
    </row>
    <row r="5">
      <c r="A5" s="39">
        <f>IF('11_PRODUSE'!$A5="","",'11_PRODUSE'!$A5)</f>
        <v/>
      </c>
      <c r="B5" s="39">
        <f>IF($A5="","",IFERROR(INDEX('11_PRODUSE'!$B$5:$B$104,MATCH($A5,'11_PRODUSE'!$A$5:$A$104,0)),""))</f>
        <v/>
      </c>
      <c r="C5" s="39">
        <f>IF($A5="","",IFERROR(INDEX('11_PRODUSE'!$C$5:$C$104,MATCH($A5,'11_PRODUSE'!$A$5:$A$104,0)),""))</f>
        <v/>
      </c>
      <c r="D5" s="24">
        <f>IF($A5="","",SUMIFS('13_VANZARI'!$H$5:$H$1004,'13_VANZARI'!$E$5:$E$1004,$A5,'13_VANZARI'!$A$5:$A$1004,"&gt;="&amp;'09_PARAMETRI'!$B$5,'13_VANZARI'!$A$5:$A$1004,"&lt;="&amp;'09_PARAMETRI'!$B$6))</f>
        <v/>
      </c>
      <c r="E5" s="24">
        <f>IF($A5="","",SUMIFS('13_VANZARI'!$H$5:$H$1004,'13_VANZARI'!$E$5:$E$1004,$A5,'13_VANZARI'!$A$5:$A$1004,"&gt;="&amp;'09_PARAMETRI'!$B$7,'13_VANZARI'!$A$5:$A$1004,"&lt;="&amp;'09_PARAMETRI'!$B$8))</f>
        <v/>
      </c>
      <c r="F5" s="25">
        <f>IF($A5="","",IFERROR(IF($E5=0,"",($D5-$E5)/ABS($E5)),""))</f>
        <v/>
      </c>
      <c r="G5" s="24">
        <f>IF($A5="","",SUMIFS('13_VANZARI'!$K$5:$K$1004,'13_VANZARI'!$E$5:$E$1004,$A5,'13_VANZARI'!$A$5:$A$1004,"&gt;="&amp;'09_PARAMETRI'!$B$5,'13_VANZARI'!$A$5:$A$1004,"&lt;="&amp;'09_PARAMETRI'!$B$6))</f>
        <v/>
      </c>
      <c r="H5" s="25">
        <f>IF($A5="","",IFERROR($G5/$D5,""))</f>
        <v/>
      </c>
      <c r="I5" s="24">
        <f>IF($A5="","",SUMIFS('13_VANZARI'!$G$5:$G$1004,'13_VANZARI'!$E$5:$E$1004,$A5,'13_VANZARI'!$A$5:$A$1004,"&gt;="&amp;'09_PARAMETRI'!$B$5,'13_VANZARI'!$A$5:$A$1004,"&lt;="&amp;'09_PARAMETRI'!$B$6))</f>
        <v/>
      </c>
      <c r="J5" s="48">
        <f>IF($A5="","",IFERROR($D5/$I5,""))</f>
        <v/>
      </c>
      <c r="K5" s="24">
        <f>IF($A5="","",SUMPRODUCT(('10_CLIENTI'!$A$5:$A$204&lt;&gt;"")*(SUMIFS('13_VANZARI'!$H$5:$H$1004,'13_VANZARI'!$E$5:$E$1004,$A5,'13_VANZARI'!$D$5:$D$1004,'10_CLIENTI'!$A$5:$A$204,'13_VANZARI'!$A$5:$A$1004,"&gt;="&amp;'09_PARAMETRI'!$B$5,'13_VANZARI'!$A$5:$A$1004,"&lt;="&amp;'09_PARAMETRI'!$B$6)&lt;&gt;0)))</f>
        <v/>
      </c>
      <c r="L5" s="25">
        <f>IF($A5="","",IFERROR($K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" s="39">
        <f>IF($A5="","",IF(AND($D5&gt;0,$H5&lt;&gt;"",$H5&lt;'09_PARAMETRI'!$B$15),"Marjă sub referință",IF(AND($F5&lt;&gt;"",$F5&gt;='09_PARAMETRI'!$B$14,$L5&lt;0.3),"Creștere + penetrare mică",IF(AND($F5&lt;&gt;"",$F5&lt;='09_PARAMETRI'!$B$13),"Produs în scădere",IF($D5=0,"Fără vânzări","Stabil")))))</f>
        <v/>
      </c>
      <c r="N5" s="39">
        <f>IF($A5="","",IF($M5="Marjă sub referință","Marjă / preț",IF($M5="Creștere + penetrare mică","Creștere produs",IF($M5="Produs în scădere","Cross-sell",IF($M5="Fără vânzări","Proces / operațional","Cross-sell")))))</f>
        <v/>
      </c>
      <c r="O5" s="24">
        <f>IF($A5="","",IFERROR(IF($M5="Marjă sub referință",MAX(0,$D5*('09_PARAMETRI'!$B$15-$H5)),IF($M5="Creștere + penetrare mică",$D5*0.5,IF($M5="Produs în scădere",MAX(0,$E5-$D5),$D5*0.1))),""))</f>
        <v/>
      </c>
      <c r="P5" s="48">
        <f>IF(OR($A5="",$D5="",N($D5)&lt;=0),"",$D5+ROW()/1000000)</f>
        <v/>
      </c>
    </row>
    <row r="6">
      <c r="A6" s="39">
        <f>IF('11_PRODUSE'!$A6="","",'11_PRODUSE'!$A6)</f>
        <v/>
      </c>
      <c r="B6" s="39">
        <f>IF($A6="","",IFERROR(INDEX('11_PRODUSE'!$B$5:$B$104,MATCH($A6,'11_PRODUSE'!$A$5:$A$104,0)),""))</f>
        <v/>
      </c>
      <c r="C6" s="39">
        <f>IF($A6="","",IFERROR(INDEX('11_PRODUSE'!$C$5:$C$104,MATCH($A6,'11_PRODUSE'!$A$5:$A$104,0)),""))</f>
        <v/>
      </c>
      <c r="D6" s="24">
        <f>IF($A6="","",SUMIFS('13_VANZARI'!$H$5:$H$1004,'13_VANZARI'!$E$5:$E$1004,$A6,'13_VANZARI'!$A$5:$A$1004,"&gt;="&amp;'09_PARAMETRI'!$B$5,'13_VANZARI'!$A$5:$A$1004,"&lt;="&amp;'09_PARAMETRI'!$B$6))</f>
        <v/>
      </c>
      <c r="E6" s="24">
        <f>IF($A6="","",SUMIFS('13_VANZARI'!$H$5:$H$1004,'13_VANZARI'!$E$5:$E$1004,$A6,'13_VANZARI'!$A$5:$A$1004,"&gt;="&amp;'09_PARAMETRI'!$B$7,'13_VANZARI'!$A$5:$A$1004,"&lt;="&amp;'09_PARAMETRI'!$B$8))</f>
        <v/>
      </c>
      <c r="F6" s="25">
        <f>IF($A6="","",IFERROR(IF($E6=0,"",($D6-$E6)/ABS($E6)),""))</f>
        <v/>
      </c>
      <c r="G6" s="24">
        <f>IF($A6="","",SUMIFS('13_VANZARI'!$K$5:$K$1004,'13_VANZARI'!$E$5:$E$1004,$A6,'13_VANZARI'!$A$5:$A$1004,"&gt;="&amp;'09_PARAMETRI'!$B$5,'13_VANZARI'!$A$5:$A$1004,"&lt;="&amp;'09_PARAMETRI'!$B$6))</f>
        <v/>
      </c>
      <c r="H6" s="25">
        <f>IF($A6="","",IFERROR($G6/$D6,""))</f>
        <v/>
      </c>
      <c r="I6" s="24">
        <f>IF($A6="","",SUMIFS('13_VANZARI'!$G$5:$G$1004,'13_VANZARI'!$E$5:$E$1004,$A6,'13_VANZARI'!$A$5:$A$1004,"&gt;="&amp;'09_PARAMETRI'!$B$5,'13_VANZARI'!$A$5:$A$1004,"&lt;="&amp;'09_PARAMETRI'!$B$6))</f>
        <v/>
      </c>
      <c r="J6" s="48">
        <f>IF($A6="","",IFERROR($D6/$I6,""))</f>
        <v/>
      </c>
      <c r="K6" s="24">
        <f>IF($A6="","",SUMPRODUCT(('10_CLIENTI'!$A$5:$A$204&lt;&gt;"")*(SUMIFS('13_VANZARI'!$H$5:$H$1004,'13_VANZARI'!$E$5:$E$1004,$A6,'13_VANZARI'!$D$5:$D$1004,'10_CLIENTI'!$A$5:$A$204,'13_VANZARI'!$A$5:$A$1004,"&gt;="&amp;'09_PARAMETRI'!$B$5,'13_VANZARI'!$A$5:$A$1004,"&lt;="&amp;'09_PARAMETRI'!$B$6)&lt;&gt;0)))</f>
        <v/>
      </c>
      <c r="L6" s="25">
        <f>IF($A6="","",IFERROR($K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" s="39">
        <f>IF($A6="","",IF(AND($D6&gt;0,$H6&lt;&gt;"",$H6&lt;'09_PARAMETRI'!$B$15),"Marjă sub referință",IF(AND($F6&lt;&gt;"",$F6&gt;='09_PARAMETRI'!$B$14,$L6&lt;0.3),"Creștere + penetrare mică",IF(AND($F6&lt;&gt;"",$F6&lt;='09_PARAMETRI'!$B$13),"Produs în scădere",IF($D6=0,"Fără vânzări","Stabil")))))</f>
        <v/>
      </c>
      <c r="N6" s="39">
        <f>IF($A6="","",IF($M6="Marjă sub referință","Marjă / preț",IF($M6="Creștere + penetrare mică","Creștere produs",IF($M6="Produs în scădere","Cross-sell",IF($M6="Fără vânzări","Proces / operațional","Cross-sell")))))</f>
        <v/>
      </c>
      <c r="O6" s="24">
        <f>IF($A6="","",IFERROR(IF($M6="Marjă sub referință",MAX(0,$D6*('09_PARAMETRI'!$B$15-$H6)),IF($M6="Creștere + penetrare mică",$D6*0.5,IF($M6="Produs în scădere",MAX(0,$E6-$D6),$D6*0.1))),""))</f>
        <v/>
      </c>
      <c r="P6" s="48">
        <f>IF(OR($A6="",$D6="",N($D6)&lt;=0),"",$D6+ROW()/1000000)</f>
        <v/>
      </c>
    </row>
    <row r="7">
      <c r="A7" s="39">
        <f>IF('11_PRODUSE'!$A7="","",'11_PRODUSE'!$A7)</f>
        <v/>
      </c>
      <c r="B7" s="39">
        <f>IF($A7="","",IFERROR(INDEX('11_PRODUSE'!$B$5:$B$104,MATCH($A7,'11_PRODUSE'!$A$5:$A$104,0)),""))</f>
        <v/>
      </c>
      <c r="C7" s="39">
        <f>IF($A7="","",IFERROR(INDEX('11_PRODUSE'!$C$5:$C$104,MATCH($A7,'11_PRODUSE'!$A$5:$A$104,0)),""))</f>
        <v/>
      </c>
      <c r="D7" s="24">
        <f>IF($A7="","",SUMIFS('13_VANZARI'!$H$5:$H$1004,'13_VANZARI'!$E$5:$E$1004,$A7,'13_VANZARI'!$A$5:$A$1004,"&gt;="&amp;'09_PARAMETRI'!$B$5,'13_VANZARI'!$A$5:$A$1004,"&lt;="&amp;'09_PARAMETRI'!$B$6))</f>
        <v/>
      </c>
      <c r="E7" s="24">
        <f>IF($A7="","",SUMIFS('13_VANZARI'!$H$5:$H$1004,'13_VANZARI'!$E$5:$E$1004,$A7,'13_VANZARI'!$A$5:$A$1004,"&gt;="&amp;'09_PARAMETRI'!$B$7,'13_VANZARI'!$A$5:$A$1004,"&lt;="&amp;'09_PARAMETRI'!$B$8))</f>
        <v/>
      </c>
      <c r="F7" s="25">
        <f>IF($A7="","",IFERROR(IF($E7=0,"",($D7-$E7)/ABS($E7)),""))</f>
        <v/>
      </c>
      <c r="G7" s="24">
        <f>IF($A7="","",SUMIFS('13_VANZARI'!$K$5:$K$1004,'13_VANZARI'!$E$5:$E$1004,$A7,'13_VANZARI'!$A$5:$A$1004,"&gt;="&amp;'09_PARAMETRI'!$B$5,'13_VANZARI'!$A$5:$A$1004,"&lt;="&amp;'09_PARAMETRI'!$B$6))</f>
        <v/>
      </c>
      <c r="H7" s="25">
        <f>IF($A7="","",IFERROR($G7/$D7,""))</f>
        <v/>
      </c>
      <c r="I7" s="24">
        <f>IF($A7="","",SUMIFS('13_VANZARI'!$G$5:$G$1004,'13_VANZARI'!$E$5:$E$1004,$A7,'13_VANZARI'!$A$5:$A$1004,"&gt;="&amp;'09_PARAMETRI'!$B$5,'13_VANZARI'!$A$5:$A$1004,"&lt;="&amp;'09_PARAMETRI'!$B$6))</f>
        <v/>
      </c>
      <c r="J7" s="48">
        <f>IF($A7="","",IFERROR($D7/$I7,""))</f>
        <v/>
      </c>
      <c r="K7" s="24">
        <f>IF($A7="","",SUMPRODUCT(('10_CLIENTI'!$A$5:$A$204&lt;&gt;"")*(SUMIFS('13_VANZARI'!$H$5:$H$1004,'13_VANZARI'!$E$5:$E$1004,$A7,'13_VANZARI'!$D$5:$D$1004,'10_CLIENTI'!$A$5:$A$204,'13_VANZARI'!$A$5:$A$1004,"&gt;="&amp;'09_PARAMETRI'!$B$5,'13_VANZARI'!$A$5:$A$1004,"&lt;="&amp;'09_PARAMETRI'!$B$6)&lt;&gt;0)))</f>
        <v/>
      </c>
      <c r="L7" s="25">
        <f>IF($A7="","",IFERROR($K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" s="39">
        <f>IF($A7="","",IF(AND($D7&gt;0,$H7&lt;&gt;"",$H7&lt;'09_PARAMETRI'!$B$15),"Marjă sub referință",IF(AND($F7&lt;&gt;"",$F7&gt;='09_PARAMETRI'!$B$14,$L7&lt;0.3),"Creștere + penetrare mică",IF(AND($F7&lt;&gt;"",$F7&lt;='09_PARAMETRI'!$B$13),"Produs în scădere",IF($D7=0,"Fără vânzări","Stabil")))))</f>
        <v/>
      </c>
      <c r="N7" s="39">
        <f>IF($A7="","",IF($M7="Marjă sub referință","Marjă / preț",IF($M7="Creștere + penetrare mică","Creștere produs",IF($M7="Produs în scădere","Cross-sell",IF($M7="Fără vânzări","Proces / operațional","Cross-sell")))))</f>
        <v/>
      </c>
      <c r="O7" s="24">
        <f>IF($A7="","",IFERROR(IF($M7="Marjă sub referință",MAX(0,$D7*('09_PARAMETRI'!$B$15-$H7)),IF($M7="Creștere + penetrare mică",$D7*0.5,IF($M7="Produs în scădere",MAX(0,$E7-$D7),$D7*0.1))),""))</f>
        <v/>
      </c>
      <c r="P7" s="48">
        <f>IF(OR($A7="",$D7="",N($D7)&lt;=0),"",$D7+ROW()/1000000)</f>
        <v/>
      </c>
    </row>
    <row r="8">
      <c r="A8" s="39">
        <f>IF('11_PRODUSE'!$A8="","",'11_PRODUSE'!$A8)</f>
        <v/>
      </c>
      <c r="B8" s="39">
        <f>IF($A8="","",IFERROR(INDEX('11_PRODUSE'!$B$5:$B$104,MATCH($A8,'11_PRODUSE'!$A$5:$A$104,0)),""))</f>
        <v/>
      </c>
      <c r="C8" s="39">
        <f>IF($A8="","",IFERROR(INDEX('11_PRODUSE'!$C$5:$C$104,MATCH($A8,'11_PRODUSE'!$A$5:$A$104,0)),""))</f>
        <v/>
      </c>
      <c r="D8" s="24">
        <f>IF($A8="","",SUMIFS('13_VANZARI'!$H$5:$H$1004,'13_VANZARI'!$E$5:$E$1004,$A8,'13_VANZARI'!$A$5:$A$1004,"&gt;="&amp;'09_PARAMETRI'!$B$5,'13_VANZARI'!$A$5:$A$1004,"&lt;="&amp;'09_PARAMETRI'!$B$6))</f>
        <v/>
      </c>
      <c r="E8" s="24">
        <f>IF($A8="","",SUMIFS('13_VANZARI'!$H$5:$H$1004,'13_VANZARI'!$E$5:$E$1004,$A8,'13_VANZARI'!$A$5:$A$1004,"&gt;="&amp;'09_PARAMETRI'!$B$7,'13_VANZARI'!$A$5:$A$1004,"&lt;="&amp;'09_PARAMETRI'!$B$8))</f>
        <v/>
      </c>
      <c r="F8" s="25">
        <f>IF($A8="","",IFERROR(IF($E8=0,"",($D8-$E8)/ABS($E8)),""))</f>
        <v/>
      </c>
      <c r="G8" s="24">
        <f>IF($A8="","",SUMIFS('13_VANZARI'!$K$5:$K$1004,'13_VANZARI'!$E$5:$E$1004,$A8,'13_VANZARI'!$A$5:$A$1004,"&gt;="&amp;'09_PARAMETRI'!$B$5,'13_VANZARI'!$A$5:$A$1004,"&lt;="&amp;'09_PARAMETRI'!$B$6))</f>
        <v/>
      </c>
      <c r="H8" s="25">
        <f>IF($A8="","",IFERROR($G8/$D8,""))</f>
        <v/>
      </c>
      <c r="I8" s="24">
        <f>IF($A8="","",SUMIFS('13_VANZARI'!$G$5:$G$1004,'13_VANZARI'!$E$5:$E$1004,$A8,'13_VANZARI'!$A$5:$A$1004,"&gt;="&amp;'09_PARAMETRI'!$B$5,'13_VANZARI'!$A$5:$A$1004,"&lt;="&amp;'09_PARAMETRI'!$B$6))</f>
        <v/>
      </c>
      <c r="J8" s="48">
        <f>IF($A8="","",IFERROR($D8/$I8,""))</f>
        <v/>
      </c>
      <c r="K8" s="24">
        <f>IF($A8="","",SUMPRODUCT(('10_CLIENTI'!$A$5:$A$204&lt;&gt;"")*(SUMIFS('13_VANZARI'!$H$5:$H$1004,'13_VANZARI'!$E$5:$E$1004,$A8,'13_VANZARI'!$D$5:$D$1004,'10_CLIENTI'!$A$5:$A$204,'13_VANZARI'!$A$5:$A$1004,"&gt;="&amp;'09_PARAMETRI'!$B$5,'13_VANZARI'!$A$5:$A$1004,"&lt;="&amp;'09_PARAMETRI'!$B$6)&lt;&gt;0)))</f>
        <v/>
      </c>
      <c r="L8" s="25">
        <f>IF($A8="","",IFERROR($K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" s="39">
        <f>IF($A8="","",IF(AND($D8&gt;0,$H8&lt;&gt;"",$H8&lt;'09_PARAMETRI'!$B$15),"Marjă sub referință",IF(AND($F8&lt;&gt;"",$F8&gt;='09_PARAMETRI'!$B$14,$L8&lt;0.3),"Creștere + penetrare mică",IF(AND($F8&lt;&gt;"",$F8&lt;='09_PARAMETRI'!$B$13),"Produs în scădere",IF($D8=0,"Fără vânzări","Stabil")))))</f>
        <v/>
      </c>
      <c r="N8" s="39">
        <f>IF($A8="","",IF($M8="Marjă sub referință","Marjă / preț",IF($M8="Creștere + penetrare mică","Creștere produs",IF($M8="Produs în scădere","Cross-sell",IF($M8="Fără vânzări","Proces / operațional","Cross-sell")))))</f>
        <v/>
      </c>
      <c r="O8" s="24">
        <f>IF($A8="","",IFERROR(IF($M8="Marjă sub referință",MAX(0,$D8*('09_PARAMETRI'!$B$15-$H8)),IF($M8="Creștere + penetrare mică",$D8*0.5,IF($M8="Produs în scădere",MAX(0,$E8-$D8),$D8*0.1))),""))</f>
        <v/>
      </c>
      <c r="P8" s="48">
        <f>IF(OR($A8="",$D8="",N($D8)&lt;=0),"",$D8+ROW()/1000000)</f>
        <v/>
      </c>
    </row>
    <row r="9">
      <c r="A9" s="39">
        <f>IF('11_PRODUSE'!$A9="","",'11_PRODUSE'!$A9)</f>
        <v/>
      </c>
      <c r="B9" s="39">
        <f>IF($A9="","",IFERROR(INDEX('11_PRODUSE'!$B$5:$B$104,MATCH($A9,'11_PRODUSE'!$A$5:$A$104,0)),""))</f>
        <v/>
      </c>
      <c r="C9" s="39">
        <f>IF($A9="","",IFERROR(INDEX('11_PRODUSE'!$C$5:$C$104,MATCH($A9,'11_PRODUSE'!$A$5:$A$104,0)),""))</f>
        <v/>
      </c>
      <c r="D9" s="24">
        <f>IF($A9="","",SUMIFS('13_VANZARI'!$H$5:$H$1004,'13_VANZARI'!$E$5:$E$1004,$A9,'13_VANZARI'!$A$5:$A$1004,"&gt;="&amp;'09_PARAMETRI'!$B$5,'13_VANZARI'!$A$5:$A$1004,"&lt;="&amp;'09_PARAMETRI'!$B$6))</f>
        <v/>
      </c>
      <c r="E9" s="24">
        <f>IF($A9="","",SUMIFS('13_VANZARI'!$H$5:$H$1004,'13_VANZARI'!$E$5:$E$1004,$A9,'13_VANZARI'!$A$5:$A$1004,"&gt;="&amp;'09_PARAMETRI'!$B$7,'13_VANZARI'!$A$5:$A$1004,"&lt;="&amp;'09_PARAMETRI'!$B$8))</f>
        <v/>
      </c>
      <c r="F9" s="25">
        <f>IF($A9="","",IFERROR(IF($E9=0,"",($D9-$E9)/ABS($E9)),""))</f>
        <v/>
      </c>
      <c r="G9" s="24">
        <f>IF($A9="","",SUMIFS('13_VANZARI'!$K$5:$K$1004,'13_VANZARI'!$E$5:$E$1004,$A9,'13_VANZARI'!$A$5:$A$1004,"&gt;="&amp;'09_PARAMETRI'!$B$5,'13_VANZARI'!$A$5:$A$1004,"&lt;="&amp;'09_PARAMETRI'!$B$6))</f>
        <v/>
      </c>
      <c r="H9" s="25">
        <f>IF($A9="","",IFERROR($G9/$D9,""))</f>
        <v/>
      </c>
      <c r="I9" s="24">
        <f>IF($A9="","",SUMIFS('13_VANZARI'!$G$5:$G$1004,'13_VANZARI'!$E$5:$E$1004,$A9,'13_VANZARI'!$A$5:$A$1004,"&gt;="&amp;'09_PARAMETRI'!$B$5,'13_VANZARI'!$A$5:$A$1004,"&lt;="&amp;'09_PARAMETRI'!$B$6))</f>
        <v/>
      </c>
      <c r="J9" s="48">
        <f>IF($A9="","",IFERROR($D9/$I9,""))</f>
        <v/>
      </c>
      <c r="K9" s="24">
        <f>IF($A9="","",SUMPRODUCT(('10_CLIENTI'!$A$5:$A$204&lt;&gt;"")*(SUMIFS('13_VANZARI'!$H$5:$H$1004,'13_VANZARI'!$E$5:$E$1004,$A9,'13_VANZARI'!$D$5:$D$1004,'10_CLIENTI'!$A$5:$A$204,'13_VANZARI'!$A$5:$A$1004,"&gt;="&amp;'09_PARAMETRI'!$B$5,'13_VANZARI'!$A$5:$A$1004,"&lt;="&amp;'09_PARAMETRI'!$B$6)&lt;&gt;0)))</f>
        <v/>
      </c>
      <c r="L9" s="25">
        <f>IF($A9="","",IFERROR($K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" s="39">
        <f>IF($A9="","",IF(AND($D9&gt;0,$H9&lt;&gt;"",$H9&lt;'09_PARAMETRI'!$B$15),"Marjă sub referință",IF(AND($F9&lt;&gt;"",$F9&gt;='09_PARAMETRI'!$B$14,$L9&lt;0.3),"Creștere + penetrare mică",IF(AND($F9&lt;&gt;"",$F9&lt;='09_PARAMETRI'!$B$13),"Produs în scădere",IF($D9=0,"Fără vânzări","Stabil")))))</f>
        <v/>
      </c>
      <c r="N9" s="39">
        <f>IF($A9="","",IF($M9="Marjă sub referință","Marjă / preț",IF($M9="Creștere + penetrare mică","Creștere produs",IF($M9="Produs în scădere","Cross-sell",IF($M9="Fără vânzări","Proces / operațional","Cross-sell")))))</f>
        <v/>
      </c>
      <c r="O9" s="24">
        <f>IF($A9="","",IFERROR(IF($M9="Marjă sub referință",MAX(0,$D9*('09_PARAMETRI'!$B$15-$H9)),IF($M9="Creștere + penetrare mică",$D9*0.5,IF($M9="Produs în scădere",MAX(0,$E9-$D9),$D9*0.1))),""))</f>
        <v/>
      </c>
      <c r="P9" s="48">
        <f>IF(OR($A9="",$D9="",N($D9)&lt;=0),"",$D9+ROW()/1000000)</f>
        <v/>
      </c>
    </row>
    <row r="10">
      <c r="A10" s="39">
        <f>IF('11_PRODUSE'!$A10="","",'11_PRODUSE'!$A10)</f>
        <v/>
      </c>
      <c r="B10" s="39">
        <f>IF($A10="","",IFERROR(INDEX('11_PRODUSE'!$B$5:$B$104,MATCH($A10,'11_PRODUSE'!$A$5:$A$104,0)),""))</f>
        <v/>
      </c>
      <c r="C10" s="39">
        <f>IF($A10="","",IFERROR(INDEX('11_PRODUSE'!$C$5:$C$104,MATCH($A10,'11_PRODUSE'!$A$5:$A$104,0)),""))</f>
        <v/>
      </c>
      <c r="D10" s="24">
        <f>IF($A10="","",SUMIFS('13_VANZARI'!$H$5:$H$1004,'13_VANZARI'!$E$5:$E$1004,$A10,'13_VANZARI'!$A$5:$A$1004,"&gt;="&amp;'09_PARAMETRI'!$B$5,'13_VANZARI'!$A$5:$A$1004,"&lt;="&amp;'09_PARAMETRI'!$B$6))</f>
        <v/>
      </c>
      <c r="E10" s="24">
        <f>IF($A10="","",SUMIFS('13_VANZARI'!$H$5:$H$1004,'13_VANZARI'!$E$5:$E$1004,$A10,'13_VANZARI'!$A$5:$A$1004,"&gt;="&amp;'09_PARAMETRI'!$B$7,'13_VANZARI'!$A$5:$A$1004,"&lt;="&amp;'09_PARAMETRI'!$B$8))</f>
        <v/>
      </c>
      <c r="F10" s="25">
        <f>IF($A10="","",IFERROR(IF($E10=0,"",($D10-$E10)/ABS($E10)),""))</f>
        <v/>
      </c>
      <c r="G10" s="24">
        <f>IF($A10="","",SUMIFS('13_VANZARI'!$K$5:$K$1004,'13_VANZARI'!$E$5:$E$1004,$A10,'13_VANZARI'!$A$5:$A$1004,"&gt;="&amp;'09_PARAMETRI'!$B$5,'13_VANZARI'!$A$5:$A$1004,"&lt;="&amp;'09_PARAMETRI'!$B$6))</f>
        <v/>
      </c>
      <c r="H10" s="25">
        <f>IF($A10="","",IFERROR($G10/$D10,""))</f>
        <v/>
      </c>
      <c r="I10" s="24">
        <f>IF($A10="","",SUMIFS('13_VANZARI'!$G$5:$G$1004,'13_VANZARI'!$E$5:$E$1004,$A10,'13_VANZARI'!$A$5:$A$1004,"&gt;="&amp;'09_PARAMETRI'!$B$5,'13_VANZARI'!$A$5:$A$1004,"&lt;="&amp;'09_PARAMETRI'!$B$6))</f>
        <v/>
      </c>
      <c r="J10" s="48">
        <f>IF($A10="","",IFERROR($D10/$I10,""))</f>
        <v/>
      </c>
      <c r="K10" s="24">
        <f>IF($A10="","",SUMPRODUCT(('10_CLIENTI'!$A$5:$A$204&lt;&gt;"")*(SUMIFS('13_VANZARI'!$H$5:$H$1004,'13_VANZARI'!$E$5:$E$1004,$A10,'13_VANZARI'!$D$5:$D$1004,'10_CLIENTI'!$A$5:$A$204,'13_VANZARI'!$A$5:$A$1004,"&gt;="&amp;'09_PARAMETRI'!$B$5,'13_VANZARI'!$A$5:$A$1004,"&lt;="&amp;'09_PARAMETRI'!$B$6)&lt;&gt;0)))</f>
        <v/>
      </c>
      <c r="L10" s="25">
        <f>IF($A10="","",IFERROR($K10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0" s="39">
        <f>IF($A10="","",IF(AND($D10&gt;0,$H10&lt;&gt;"",$H10&lt;'09_PARAMETRI'!$B$15),"Marjă sub referință",IF(AND($F10&lt;&gt;"",$F10&gt;='09_PARAMETRI'!$B$14,$L10&lt;0.3),"Creștere + penetrare mică",IF(AND($F10&lt;&gt;"",$F10&lt;='09_PARAMETRI'!$B$13),"Produs în scădere",IF($D10=0,"Fără vânzări","Stabil")))))</f>
        <v/>
      </c>
      <c r="N10" s="39">
        <f>IF($A10="","",IF($M10="Marjă sub referință","Marjă / preț",IF($M10="Creștere + penetrare mică","Creștere produs",IF($M10="Produs în scădere","Cross-sell",IF($M10="Fără vânzări","Proces / operațional","Cross-sell")))))</f>
        <v/>
      </c>
      <c r="O10" s="24">
        <f>IF($A10="","",IFERROR(IF($M10="Marjă sub referință",MAX(0,$D10*('09_PARAMETRI'!$B$15-$H10)),IF($M10="Creștere + penetrare mică",$D10*0.5,IF($M10="Produs în scădere",MAX(0,$E10-$D10),$D10*0.1))),""))</f>
        <v/>
      </c>
      <c r="P10" s="48">
        <f>IF(OR($A10="",$D10="",N($D10)&lt;=0),"",$D10+ROW()/1000000)</f>
        <v/>
      </c>
    </row>
    <row r="11">
      <c r="A11" s="39">
        <f>IF('11_PRODUSE'!$A11="","",'11_PRODUSE'!$A11)</f>
        <v/>
      </c>
      <c r="B11" s="39">
        <f>IF($A11="","",IFERROR(INDEX('11_PRODUSE'!$B$5:$B$104,MATCH($A11,'11_PRODUSE'!$A$5:$A$104,0)),""))</f>
        <v/>
      </c>
      <c r="C11" s="39">
        <f>IF($A11="","",IFERROR(INDEX('11_PRODUSE'!$C$5:$C$104,MATCH($A11,'11_PRODUSE'!$A$5:$A$104,0)),""))</f>
        <v/>
      </c>
      <c r="D11" s="24">
        <f>IF($A11="","",SUMIFS('13_VANZARI'!$H$5:$H$1004,'13_VANZARI'!$E$5:$E$1004,$A11,'13_VANZARI'!$A$5:$A$1004,"&gt;="&amp;'09_PARAMETRI'!$B$5,'13_VANZARI'!$A$5:$A$1004,"&lt;="&amp;'09_PARAMETRI'!$B$6))</f>
        <v/>
      </c>
      <c r="E11" s="24">
        <f>IF($A11="","",SUMIFS('13_VANZARI'!$H$5:$H$1004,'13_VANZARI'!$E$5:$E$1004,$A11,'13_VANZARI'!$A$5:$A$1004,"&gt;="&amp;'09_PARAMETRI'!$B$7,'13_VANZARI'!$A$5:$A$1004,"&lt;="&amp;'09_PARAMETRI'!$B$8))</f>
        <v/>
      </c>
      <c r="F11" s="25">
        <f>IF($A11="","",IFERROR(IF($E11=0,"",($D11-$E11)/ABS($E11)),""))</f>
        <v/>
      </c>
      <c r="G11" s="24">
        <f>IF($A11="","",SUMIFS('13_VANZARI'!$K$5:$K$1004,'13_VANZARI'!$E$5:$E$1004,$A11,'13_VANZARI'!$A$5:$A$1004,"&gt;="&amp;'09_PARAMETRI'!$B$5,'13_VANZARI'!$A$5:$A$1004,"&lt;="&amp;'09_PARAMETRI'!$B$6))</f>
        <v/>
      </c>
      <c r="H11" s="25">
        <f>IF($A11="","",IFERROR($G11/$D11,""))</f>
        <v/>
      </c>
      <c r="I11" s="24">
        <f>IF($A11="","",SUMIFS('13_VANZARI'!$G$5:$G$1004,'13_VANZARI'!$E$5:$E$1004,$A11,'13_VANZARI'!$A$5:$A$1004,"&gt;="&amp;'09_PARAMETRI'!$B$5,'13_VANZARI'!$A$5:$A$1004,"&lt;="&amp;'09_PARAMETRI'!$B$6))</f>
        <v/>
      </c>
      <c r="J11" s="48">
        <f>IF($A11="","",IFERROR($D11/$I11,""))</f>
        <v/>
      </c>
      <c r="K11" s="24">
        <f>IF($A11="","",SUMPRODUCT(('10_CLIENTI'!$A$5:$A$204&lt;&gt;"")*(SUMIFS('13_VANZARI'!$H$5:$H$1004,'13_VANZARI'!$E$5:$E$1004,$A11,'13_VANZARI'!$D$5:$D$1004,'10_CLIENTI'!$A$5:$A$204,'13_VANZARI'!$A$5:$A$1004,"&gt;="&amp;'09_PARAMETRI'!$B$5,'13_VANZARI'!$A$5:$A$1004,"&lt;="&amp;'09_PARAMETRI'!$B$6)&lt;&gt;0)))</f>
        <v/>
      </c>
      <c r="L11" s="25">
        <f>IF($A11="","",IFERROR($K11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1" s="39">
        <f>IF($A11="","",IF(AND($D11&gt;0,$H11&lt;&gt;"",$H11&lt;'09_PARAMETRI'!$B$15),"Marjă sub referință",IF(AND($F11&lt;&gt;"",$F11&gt;='09_PARAMETRI'!$B$14,$L11&lt;0.3),"Creștere + penetrare mică",IF(AND($F11&lt;&gt;"",$F11&lt;='09_PARAMETRI'!$B$13),"Produs în scădere",IF($D11=0,"Fără vânzări","Stabil")))))</f>
        <v/>
      </c>
      <c r="N11" s="39">
        <f>IF($A11="","",IF($M11="Marjă sub referință","Marjă / preț",IF($M11="Creștere + penetrare mică","Creștere produs",IF($M11="Produs în scădere","Cross-sell",IF($M11="Fără vânzări","Proces / operațional","Cross-sell")))))</f>
        <v/>
      </c>
      <c r="O11" s="24">
        <f>IF($A11="","",IFERROR(IF($M11="Marjă sub referință",MAX(0,$D11*('09_PARAMETRI'!$B$15-$H11)),IF($M11="Creștere + penetrare mică",$D11*0.5,IF($M11="Produs în scădere",MAX(0,$E11-$D11),$D11*0.1))),""))</f>
        <v/>
      </c>
      <c r="P11" s="48">
        <f>IF(OR($A11="",$D11="",N($D11)&lt;=0),"",$D11+ROW()/1000000)</f>
        <v/>
      </c>
    </row>
    <row r="12">
      <c r="A12" s="39">
        <f>IF('11_PRODUSE'!$A12="","",'11_PRODUSE'!$A12)</f>
        <v/>
      </c>
      <c r="B12" s="39">
        <f>IF($A12="","",IFERROR(INDEX('11_PRODUSE'!$B$5:$B$104,MATCH($A12,'11_PRODUSE'!$A$5:$A$104,0)),""))</f>
        <v/>
      </c>
      <c r="C12" s="39">
        <f>IF($A12="","",IFERROR(INDEX('11_PRODUSE'!$C$5:$C$104,MATCH($A12,'11_PRODUSE'!$A$5:$A$104,0)),""))</f>
        <v/>
      </c>
      <c r="D12" s="24">
        <f>IF($A12="","",SUMIFS('13_VANZARI'!$H$5:$H$1004,'13_VANZARI'!$E$5:$E$1004,$A12,'13_VANZARI'!$A$5:$A$1004,"&gt;="&amp;'09_PARAMETRI'!$B$5,'13_VANZARI'!$A$5:$A$1004,"&lt;="&amp;'09_PARAMETRI'!$B$6))</f>
        <v/>
      </c>
      <c r="E12" s="24">
        <f>IF($A12="","",SUMIFS('13_VANZARI'!$H$5:$H$1004,'13_VANZARI'!$E$5:$E$1004,$A12,'13_VANZARI'!$A$5:$A$1004,"&gt;="&amp;'09_PARAMETRI'!$B$7,'13_VANZARI'!$A$5:$A$1004,"&lt;="&amp;'09_PARAMETRI'!$B$8))</f>
        <v/>
      </c>
      <c r="F12" s="25">
        <f>IF($A12="","",IFERROR(IF($E12=0,"",($D12-$E12)/ABS($E12)),""))</f>
        <v/>
      </c>
      <c r="G12" s="24">
        <f>IF($A12="","",SUMIFS('13_VANZARI'!$K$5:$K$1004,'13_VANZARI'!$E$5:$E$1004,$A12,'13_VANZARI'!$A$5:$A$1004,"&gt;="&amp;'09_PARAMETRI'!$B$5,'13_VANZARI'!$A$5:$A$1004,"&lt;="&amp;'09_PARAMETRI'!$B$6))</f>
        <v/>
      </c>
      <c r="H12" s="25">
        <f>IF($A12="","",IFERROR($G12/$D12,""))</f>
        <v/>
      </c>
      <c r="I12" s="24">
        <f>IF($A12="","",SUMIFS('13_VANZARI'!$G$5:$G$1004,'13_VANZARI'!$E$5:$E$1004,$A12,'13_VANZARI'!$A$5:$A$1004,"&gt;="&amp;'09_PARAMETRI'!$B$5,'13_VANZARI'!$A$5:$A$1004,"&lt;="&amp;'09_PARAMETRI'!$B$6))</f>
        <v/>
      </c>
      <c r="J12" s="48">
        <f>IF($A12="","",IFERROR($D12/$I12,""))</f>
        <v/>
      </c>
      <c r="K12" s="24">
        <f>IF($A12="","",SUMPRODUCT(('10_CLIENTI'!$A$5:$A$204&lt;&gt;"")*(SUMIFS('13_VANZARI'!$H$5:$H$1004,'13_VANZARI'!$E$5:$E$1004,$A12,'13_VANZARI'!$D$5:$D$1004,'10_CLIENTI'!$A$5:$A$204,'13_VANZARI'!$A$5:$A$1004,"&gt;="&amp;'09_PARAMETRI'!$B$5,'13_VANZARI'!$A$5:$A$1004,"&lt;="&amp;'09_PARAMETRI'!$B$6)&lt;&gt;0)))</f>
        <v/>
      </c>
      <c r="L12" s="25">
        <f>IF($A12="","",IFERROR($K12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2" s="39">
        <f>IF($A12="","",IF(AND($D12&gt;0,$H12&lt;&gt;"",$H12&lt;'09_PARAMETRI'!$B$15),"Marjă sub referință",IF(AND($F12&lt;&gt;"",$F12&gt;='09_PARAMETRI'!$B$14,$L12&lt;0.3),"Creștere + penetrare mică",IF(AND($F12&lt;&gt;"",$F12&lt;='09_PARAMETRI'!$B$13),"Produs în scădere",IF($D12=0,"Fără vânzări","Stabil")))))</f>
        <v/>
      </c>
      <c r="N12" s="39">
        <f>IF($A12="","",IF($M12="Marjă sub referință","Marjă / preț",IF($M12="Creștere + penetrare mică","Creștere produs",IF($M12="Produs în scădere","Cross-sell",IF($M12="Fără vânzări","Proces / operațional","Cross-sell")))))</f>
        <v/>
      </c>
      <c r="O12" s="24">
        <f>IF($A12="","",IFERROR(IF($M12="Marjă sub referință",MAX(0,$D12*('09_PARAMETRI'!$B$15-$H12)),IF($M12="Creștere + penetrare mică",$D12*0.5,IF($M12="Produs în scădere",MAX(0,$E12-$D12),$D12*0.1))),""))</f>
        <v/>
      </c>
      <c r="P12" s="48">
        <f>IF(OR($A12="",$D12="",N($D12)&lt;=0),"",$D12+ROW()/1000000)</f>
        <v/>
      </c>
    </row>
    <row r="13">
      <c r="A13" s="39">
        <f>IF('11_PRODUSE'!$A13="","",'11_PRODUSE'!$A13)</f>
        <v/>
      </c>
      <c r="B13" s="39">
        <f>IF($A13="","",IFERROR(INDEX('11_PRODUSE'!$B$5:$B$104,MATCH($A13,'11_PRODUSE'!$A$5:$A$104,0)),""))</f>
        <v/>
      </c>
      <c r="C13" s="39">
        <f>IF($A13="","",IFERROR(INDEX('11_PRODUSE'!$C$5:$C$104,MATCH($A13,'11_PRODUSE'!$A$5:$A$104,0)),""))</f>
        <v/>
      </c>
      <c r="D13" s="24">
        <f>IF($A13="","",SUMIFS('13_VANZARI'!$H$5:$H$1004,'13_VANZARI'!$E$5:$E$1004,$A13,'13_VANZARI'!$A$5:$A$1004,"&gt;="&amp;'09_PARAMETRI'!$B$5,'13_VANZARI'!$A$5:$A$1004,"&lt;="&amp;'09_PARAMETRI'!$B$6))</f>
        <v/>
      </c>
      <c r="E13" s="24">
        <f>IF($A13="","",SUMIFS('13_VANZARI'!$H$5:$H$1004,'13_VANZARI'!$E$5:$E$1004,$A13,'13_VANZARI'!$A$5:$A$1004,"&gt;="&amp;'09_PARAMETRI'!$B$7,'13_VANZARI'!$A$5:$A$1004,"&lt;="&amp;'09_PARAMETRI'!$B$8))</f>
        <v/>
      </c>
      <c r="F13" s="25">
        <f>IF($A13="","",IFERROR(IF($E13=0,"",($D13-$E13)/ABS($E13)),""))</f>
        <v/>
      </c>
      <c r="G13" s="24">
        <f>IF($A13="","",SUMIFS('13_VANZARI'!$K$5:$K$1004,'13_VANZARI'!$E$5:$E$1004,$A13,'13_VANZARI'!$A$5:$A$1004,"&gt;="&amp;'09_PARAMETRI'!$B$5,'13_VANZARI'!$A$5:$A$1004,"&lt;="&amp;'09_PARAMETRI'!$B$6))</f>
        <v/>
      </c>
      <c r="H13" s="25">
        <f>IF($A13="","",IFERROR($G13/$D13,""))</f>
        <v/>
      </c>
      <c r="I13" s="24">
        <f>IF($A13="","",SUMIFS('13_VANZARI'!$G$5:$G$1004,'13_VANZARI'!$E$5:$E$1004,$A13,'13_VANZARI'!$A$5:$A$1004,"&gt;="&amp;'09_PARAMETRI'!$B$5,'13_VANZARI'!$A$5:$A$1004,"&lt;="&amp;'09_PARAMETRI'!$B$6))</f>
        <v/>
      </c>
      <c r="J13" s="48">
        <f>IF($A13="","",IFERROR($D13/$I13,""))</f>
        <v/>
      </c>
      <c r="K13" s="24">
        <f>IF($A13="","",SUMPRODUCT(('10_CLIENTI'!$A$5:$A$204&lt;&gt;"")*(SUMIFS('13_VANZARI'!$H$5:$H$1004,'13_VANZARI'!$E$5:$E$1004,$A13,'13_VANZARI'!$D$5:$D$1004,'10_CLIENTI'!$A$5:$A$204,'13_VANZARI'!$A$5:$A$1004,"&gt;="&amp;'09_PARAMETRI'!$B$5,'13_VANZARI'!$A$5:$A$1004,"&lt;="&amp;'09_PARAMETRI'!$B$6)&lt;&gt;0)))</f>
        <v/>
      </c>
      <c r="L13" s="25">
        <f>IF($A13="","",IFERROR($K13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3" s="39">
        <f>IF($A13="","",IF(AND($D13&gt;0,$H13&lt;&gt;"",$H13&lt;'09_PARAMETRI'!$B$15),"Marjă sub referință",IF(AND($F13&lt;&gt;"",$F13&gt;='09_PARAMETRI'!$B$14,$L13&lt;0.3),"Creștere + penetrare mică",IF(AND($F13&lt;&gt;"",$F13&lt;='09_PARAMETRI'!$B$13),"Produs în scădere",IF($D13=0,"Fără vânzări","Stabil")))))</f>
        <v/>
      </c>
      <c r="N13" s="39">
        <f>IF($A13="","",IF($M13="Marjă sub referință","Marjă / preț",IF($M13="Creștere + penetrare mică","Creștere produs",IF($M13="Produs în scădere","Cross-sell",IF($M13="Fără vânzări","Proces / operațional","Cross-sell")))))</f>
        <v/>
      </c>
      <c r="O13" s="24">
        <f>IF($A13="","",IFERROR(IF($M13="Marjă sub referință",MAX(0,$D13*('09_PARAMETRI'!$B$15-$H13)),IF($M13="Creștere + penetrare mică",$D13*0.5,IF($M13="Produs în scădere",MAX(0,$E13-$D13),$D13*0.1))),""))</f>
        <v/>
      </c>
      <c r="P13" s="48">
        <f>IF(OR($A13="",$D13="",N($D13)&lt;=0),"",$D13+ROW()/1000000)</f>
        <v/>
      </c>
    </row>
    <row r="14">
      <c r="A14" s="39">
        <f>IF('11_PRODUSE'!$A14="","",'11_PRODUSE'!$A14)</f>
        <v/>
      </c>
      <c r="B14" s="39">
        <f>IF($A14="","",IFERROR(INDEX('11_PRODUSE'!$B$5:$B$104,MATCH($A14,'11_PRODUSE'!$A$5:$A$104,0)),""))</f>
        <v/>
      </c>
      <c r="C14" s="39">
        <f>IF($A14="","",IFERROR(INDEX('11_PRODUSE'!$C$5:$C$104,MATCH($A14,'11_PRODUSE'!$A$5:$A$104,0)),""))</f>
        <v/>
      </c>
      <c r="D14" s="24">
        <f>IF($A14="","",SUMIFS('13_VANZARI'!$H$5:$H$1004,'13_VANZARI'!$E$5:$E$1004,$A14,'13_VANZARI'!$A$5:$A$1004,"&gt;="&amp;'09_PARAMETRI'!$B$5,'13_VANZARI'!$A$5:$A$1004,"&lt;="&amp;'09_PARAMETRI'!$B$6))</f>
        <v/>
      </c>
      <c r="E14" s="24">
        <f>IF($A14="","",SUMIFS('13_VANZARI'!$H$5:$H$1004,'13_VANZARI'!$E$5:$E$1004,$A14,'13_VANZARI'!$A$5:$A$1004,"&gt;="&amp;'09_PARAMETRI'!$B$7,'13_VANZARI'!$A$5:$A$1004,"&lt;="&amp;'09_PARAMETRI'!$B$8))</f>
        <v/>
      </c>
      <c r="F14" s="25">
        <f>IF($A14="","",IFERROR(IF($E14=0,"",($D14-$E14)/ABS($E14)),""))</f>
        <v/>
      </c>
      <c r="G14" s="24">
        <f>IF($A14="","",SUMIFS('13_VANZARI'!$K$5:$K$1004,'13_VANZARI'!$E$5:$E$1004,$A14,'13_VANZARI'!$A$5:$A$1004,"&gt;="&amp;'09_PARAMETRI'!$B$5,'13_VANZARI'!$A$5:$A$1004,"&lt;="&amp;'09_PARAMETRI'!$B$6))</f>
        <v/>
      </c>
      <c r="H14" s="25">
        <f>IF($A14="","",IFERROR($G14/$D14,""))</f>
        <v/>
      </c>
      <c r="I14" s="24">
        <f>IF($A14="","",SUMIFS('13_VANZARI'!$G$5:$G$1004,'13_VANZARI'!$E$5:$E$1004,$A14,'13_VANZARI'!$A$5:$A$1004,"&gt;="&amp;'09_PARAMETRI'!$B$5,'13_VANZARI'!$A$5:$A$1004,"&lt;="&amp;'09_PARAMETRI'!$B$6))</f>
        <v/>
      </c>
      <c r="J14" s="48">
        <f>IF($A14="","",IFERROR($D14/$I14,""))</f>
        <v/>
      </c>
      <c r="K14" s="24">
        <f>IF($A14="","",SUMPRODUCT(('10_CLIENTI'!$A$5:$A$204&lt;&gt;"")*(SUMIFS('13_VANZARI'!$H$5:$H$1004,'13_VANZARI'!$E$5:$E$1004,$A14,'13_VANZARI'!$D$5:$D$1004,'10_CLIENTI'!$A$5:$A$204,'13_VANZARI'!$A$5:$A$1004,"&gt;="&amp;'09_PARAMETRI'!$B$5,'13_VANZARI'!$A$5:$A$1004,"&lt;="&amp;'09_PARAMETRI'!$B$6)&lt;&gt;0)))</f>
        <v/>
      </c>
      <c r="L14" s="25">
        <f>IF($A14="","",IFERROR($K14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4" s="39">
        <f>IF($A14="","",IF(AND($D14&gt;0,$H14&lt;&gt;"",$H14&lt;'09_PARAMETRI'!$B$15),"Marjă sub referință",IF(AND($F14&lt;&gt;"",$F14&gt;='09_PARAMETRI'!$B$14,$L14&lt;0.3),"Creștere + penetrare mică",IF(AND($F14&lt;&gt;"",$F14&lt;='09_PARAMETRI'!$B$13),"Produs în scădere",IF($D14=0,"Fără vânzări","Stabil")))))</f>
        <v/>
      </c>
      <c r="N14" s="39">
        <f>IF($A14="","",IF($M14="Marjă sub referință","Marjă / preț",IF($M14="Creștere + penetrare mică","Creștere produs",IF($M14="Produs în scădere","Cross-sell",IF($M14="Fără vânzări","Proces / operațional","Cross-sell")))))</f>
        <v/>
      </c>
      <c r="O14" s="24">
        <f>IF($A14="","",IFERROR(IF($M14="Marjă sub referință",MAX(0,$D14*('09_PARAMETRI'!$B$15-$H14)),IF($M14="Creștere + penetrare mică",$D14*0.5,IF($M14="Produs în scădere",MAX(0,$E14-$D14),$D14*0.1))),""))</f>
        <v/>
      </c>
      <c r="P14" s="48">
        <f>IF(OR($A14="",$D14="",N($D14)&lt;=0),"",$D14+ROW()/1000000)</f>
        <v/>
      </c>
    </row>
    <row r="15">
      <c r="A15" s="39">
        <f>IF('11_PRODUSE'!$A15="","",'11_PRODUSE'!$A15)</f>
        <v/>
      </c>
      <c r="B15" s="39">
        <f>IF($A15="","",IFERROR(INDEX('11_PRODUSE'!$B$5:$B$104,MATCH($A15,'11_PRODUSE'!$A$5:$A$104,0)),""))</f>
        <v/>
      </c>
      <c r="C15" s="39">
        <f>IF($A15="","",IFERROR(INDEX('11_PRODUSE'!$C$5:$C$104,MATCH($A15,'11_PRODUSE'!$A$5:$A$104,0)),""))</f>
        <v/>
      </c>
      <c r="D15" s="24">
        <f>IF($A15="","",SUMIFS('13_VANZARI'!$H$5:$H$1004,'13_VANZARI'!$E$5:$E$1004,$A15,'13_VANZARI'!$A$5:$A$1004,"&gt;="&amp;'09_PARAMETRI'!$B$5,'13_VANZARI'!$A$5:$A$1004,"&lt;="&amp;'09_PARAMETRI'!$B$6))</f>
        <v/>
      </c>
      <c r="E15" s="24">
        <f>IF($A15="","",SUMIFS('13_VANZARI'!$H$5:$H$1004,'13_VANZARI'!$E$5:$E$1004,$A15,'13_VANZARI'!$A$5:$A$1004,"&gt;="&amp;'09_PARAMETRI'!$B$7,'13_VANZARI'!$A$5:$A$1004,"&lt;="&amp;'09_PARAMETRI'!$B$8))</f>
        <v/>
      </c>
      <c r="F15" s="25">
        <f>IF($A15="","",IFERROR(IF($E15=0,"",($D15-$E15)/ABS($E15)),""))</f>
        <v/>
      </c>
      <c r="G15" s="24">
        <f>IF($A15="","",SUMIFS('13_VANZARI'!$K$5:$K$1004,'13_VANZARI'!$E$5:$E$1004,$A15,'13_VANZARI'!$A$5:$A$1004,"&gt;="&amp;'09_PARAMETRI'!$B$5,'13_VANZARI'!$A$5:$A$1004,"&lt;="&amp;'09_PARAMETRI'!$B$6))</f>
        <v/>
      </c>
      <c r="H15" s="25">
        <f>IF($A15="","",IFERROR($G15/$D15,""))</f>
        <v/>
      </c>
      <c r="I15" s="24">
        <f>IF($A15="","",SUMIFS('13_VANZARI'!$G$5:$G$1004,'13_VANZARI'!$E$5:$E$1004,$A15,'13_VANZARI'!$A$5:$A$1004,"&gt;="&amp;'09_PARAMETRI'!$B$5,'13_VANZARI'!$A$5:$A$1004,"&lt;="&amp;'09_PARAMETRI'!$B$6))</f>
        <v/>
      </c>
      <c r="J15" s="48">
        <f>IF($A15="","",IFERROR($D15/$I15,""))</f>
        <v/>
      </c>
      <c r="K15" s="24">
        <f>IF($A15="","",SUMPRODUCT(('10_CLIENTI'!$A$5:$A$204&lt;&gt;"")*(SUMIFS('13_VANZARI'!$H$5:$H$1004,'13_VANZARI'!$E$5:$E$1004,$A15,'13_VANZARI'!$D$5:$D$1004,'10_CLIENTI'!$A$5:$A$204,'13_VANZARI'!$A$5:$A$1004,"&gt;="&amp;'09_PARAMETRI'!$B$5,'13_VANZARI'!$A$5:$A$1004,"&lt;="&amp;'09_PARAMETRI'!$B$6)&lt;&gt;0)))</f>
        <v/>
      </c>
      <c r="L15" s="25">
        <f>IF($A15="","",IFERROR($K15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5" s="39">
        <f>IF($A15="","",IF(AND($D15&gt;0,$H15&lt;&gt;"",$H15&lt;'09_PARAMETRI'!$B$15),"Marjă sub referință",IF(AND($F15&lt;&gt;"",$F15&gt;='09_PARAMETRI'!$B$14,$L15&lt;0.3),"Creștere + penetrare mică",IF(AND($F15&lt;&gt;"",$F15&lt;='09_PARAMETRI'!$B$13),"Produs în scădere",IF($D15=0,"Fără vânzări","Stabil")))))</f>
        <v/>
      </c>
      <c r="N15" s="39">
        <f>IF($A15="","",IF($M15="Marjă sub referință","Marjă / preț",IF($M15="Creștere + penetrare mică","Creștere produs",IF($M15="Produs în scădere","Cross-sell",IF($M15="Fără vânzări","Proces / operațional","Cross-sell")))))</f>
        <v/>
      </c>
      <c r="O15" s="24">
        <f>IF($A15="","",IFERROR(IF($M15="Marjă sub referință",MAX(0,$D15*('09_PARAMETRI'!$B$15-$H15)),IF($M15="Creștere + penetrare mică",$D15*0.5,IF($M15="Produs în scădere",MAX(0,$E15-$D15),$D15*0.1))),""))</f>
        <v/>
      </c>
      <c r="P15" s="48">
        <f>IF(OR($A15="",$D15="",N($D15)&lt;=0),"",$D15+ROW()/1000000)</f>
        <v/>
      </c>
    </row>
    <row r="16">
      <c r="A16" s="39">
        <f>IF('11_PRODUSE'!$A16="","",'11_PRODUSE'!$A16)</f>
        <v/>
      </c>
      <c r="B16" s="39">
        <f>IF($A16="","",IFERROR(INDEX('11_PRODUSE'!$B$5:$B$104,MATCH($A16,'11_PRODUSE'!$A$5:$A$104,0)),""))</f>
        <v/>
      </c>
      <c r="C16" s="39">
        <f>IF($A16="","",IFERROR(INDEX('11_PRODUSE'!$C$5:$C$104,MATCH($A16,'11_PRODUSE'!$A$5:$A$104,0)),""))</f>
        <v/>
      </c>
      <c r="D16" s="24">
        <f>IF($A16="","",SUMIFS('13_VANZARI'!$H$5:$H$1004,'13_VANZARI'!$E$5:$E$1004,$A16,'13_VANZARI'!$A$5:$A$1004,"&gt;="&amp;'09_PARAMETRI'!$B$5,'13_VANZARI'!$A$5:$A$1004,"&lt;="&amp;'09_PARAMETRI'!$B$6))</f>
        <v/>
      </c>
      <c r="E16" s="24">
        <f>IF($A16="","",SUMIFS('13_VANZARI'!$H$5:$H$1004,'13_VANZARI'!$E$5:$E$1004,$A16,'13_VANZARI'!$A$5:$A$1004,"&gt;="&amp;'09_PARAMETRI'!$B$7,'13_VANZARI'!$A$5:$A$1004,"&lt;="&amp;'09_PARAMETRI'!$B$8))</f>
        <v/>
      </c>
      <c r="F16" s="25">
        <f>IF($A16="","",IFERROR(IF($E16=0,"",($D16-$E16)/ABS($E16)),""))</f>
        <v/>
      </c>
      <c r="G16" s="24">
        <f>IF($A16="","",SUMIFS('13_VANZARI'!$K$5:$K$1004,'13_VANZARI'!$E$5:$E$1004,$A16,'13_VANZARI'!$A$5:$A$1004,"&gt;="&amp;'09_PARAMETRI'!$B$5,'13_VANZARI'!$A$5:$A$1004,"&lt;="&amp;'09_PARAMETRI'!$B$6))</f>
        <v/>
      </c>
      <c r="H16" s="25">
        <f>IF($A16="","",IFERROR($G16/$D16,""))</f>
        <v/>
      </c>
      <c r="I16" s="24">
        <f>IF($A16="","",SUMIFS('13_VANZARI'!$G$5:$G$1004,'13_VANZARI'!$E$5:$E$1004,$A16,'13_VANZARI'!$A$5:$A$1004,"&gt;="&amp;'09_PARAMETRI'!$B$5,'13_VANZARI'!$A$5:$A$1004,"&lt;="&amp;'09_PARAMETRI'!$B$6))</f>
        <v/>
      </c>
      <c r="J16" s="48">
        <f>IF($A16="","",IFERROR($D16/$I16,""))</f>
        <v/>
      </c>
      <c r="K16" s="24">
        <f>IF($A16="","",SUMPRODUCT(('10_CLIENTI'!$A$5:$A$204&lt;&gt;"")*(SUMIFS('13_VANZARI'!$H$5:$H$1004,'13_VANZARI'!$E$5:$E$1004,$A16,'13_VANZARI'!$D$5:$D$1004,'10_CLIENTI'!$A$5:$A$204,'13_VANZARI'!$A$5:$A$1004,"&gt;="&amp;'09_PARAMETRI'!$B$5,'13_VANZARI'!$A$5:$A$1004,"&lt;="&amp;'09_PARAMETRI'!$B$6)&lt;&gt;0)))</f>
        <v/>
      </c>
      <c r="L16" s="25">
        <f>IF($A16="","",IFERROR($K16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6" s="39">
        <f>IF($A16="","",IF(AND($D16&gt;0,$H16&lt;&gt;"",$H16&lt;'09_PARAMETRI'!$B$15),"Marjă sub referință",IF(AND($F16&lt;&gt;"",$F16&gt;='09_PARAMETRI'!$B$14,$L16&lt;0.3),"Creștere + penetrare mică",IF(AND($F16&lt;&gt;"",$F16&lt;='09_PARAMETRI'!$B$13),"Produs în scădere",IF($D16=0,"Fără vânzări","Stabil")))))</f>
        <v/>
      </c>
      <c r="N16" s="39">
        <f>IF($A16="","",IF($M16="Marjă sub referință","Marjă / preț",IF($M16="Creștere + penetrare mică","Creștere produs",IF($M16="Produs în scădere","Cross-sell",IF($M16="Fără vânzări","Proces / operațional","Cross-sell")))))</f>
        <v/>
      </c>
      <c r="O16" s="24">
        <f>IF($A16="","",IFERROR(IF($M16="Marjă sub referință",MAX(0,$D16*('09_PARAMETRI'!$B$15-$H16)),IF($M16="Creștere + penetrare mică",$D16*0.5,IF($M16="Produs în scădere",MAX(0,$E16-$D16),$D16*0.1))),""))</f>
        <v/>
      </c>
      <c r="P16" s="48">
        <f>IF(OR($A16="",$D16="",N($D16)&lt;=0),"",$D16+ROW()/1000000)</f>
        <v/>
      </c>
    </row>
    <row r="17">
      <c r="A17" s="39">
        <f>IF('11_PRODUSE'!$A17="","",'11_PRODUSE'!$A17)</f>
        <v/>
      </c>
      <c r="B17" s="39">
        <f>IF($A17="","",IFERROR(INDEX('11_PRODUSE'!$B$5:$B$104,MATCH($A17,'11_PRODUSE'!$A$5:$A$104,0)),""))</f>
        <v/>
      </c>
      <c r="C17" s="39">
        <f>IF($A17="","",IFERROR(INDEX('11_PRODUSE'!$C$5:$C$104,MATCH($A17,'11_PRODUSE'!$A$5:$A$104,0)),""))</f>
        <v/>
      </c>
      <c r="D17" s="24">
        <f>IF($A17="","",SUMIFS('13_VANZARI'!$H$5:$H$1004,'13_VANZARI'!$E$5:$E$1004,$A17,'13_VANZARI'!$A$5:$A$1004,"&gt;="&amp;'09_PARAMETRI'!$B$5,'13_VANZARI'!$A$5:$A$1004,"&lt;="&amp;'09_PARAMETRI'!$B$6))</f>
        <v/>
      </c>
      <c r="E17" s="24">
        <f>IF($A17="","",SUMIFS('13_VANZARI'!$H$5:$H$1004,'13_VANZARI'!$E$5:$E$1004,$A17,'13_VANZARI'!$A$5:$A$1004,"&gt;="&amp;'09_PARAMETRI'!$B$7,'13_VANZARI'!$A$5:$A$1004,"&lt;="&amp;'09_PARAMETRI'!$B$8))</f>
        <v/>
      </c>
      <c r="F17" s="25">
        <f>IF($A17="","",IFERROR(IF($E17=0,"",($D17-$E17)/ABS($E17)),""))</f>
        <v/>
      </c>
      <c r="G17" s="24">
        <f>IF($A17="","",SUMIFS('13_VANZARI'!$K$5:$K$1004,'13_VANZARI'!$E$5:$E$1004,$A17,'13_VANZARI'!$A$5:$A$1004,"&gt;="&amp;'09_PARAMETRI'!$B$5,'13_VANZARI'!$A$5:$A$1004,"&lt;="&amp;'09_PARAMETRI'!$B$6))</f>
        <v/>
      </c>
      <c r="H17" s="25">
        <f>IF($A17="","",IFERROR($G17/$D17,""))</f>
        <v/>
      </c>
      <c r="I17" s="24">
        <f>IF($A17="","",SUMIFS('13_VANZARI'!$G$5:$G$1004,'13_VANZARI'!$E$5:$E$1004,$A17,'13_VANZARI'!$A$5:$A$1004,"&gt;="&amp;'09_PARAMETRI'!$B$5,'13_VANZARI'!$A$5:$A$1004,"&lt;="&amp;'09_PARAMETRI'!$B$6))</f>
        <v/>
      </c>
      <c r="J17" s="48">
        <f>IF($A17="","",IFERROR($D17/$I17,""))</f>
        <v/>
      </c>
      <c r="K17" s="24">
        <f>IF($A17="","",SUMPRODUCT(('10_CLIENTI'!$A$5:$A$204&lt;&gt;"")*(SUMIFS('13_VANZARI'!$H$5:$H$1004,'13_VANZARI'!$E$5:$E$1004,$A17,'13_VANZARI'!$D$5:$D$1004,'10_CLIENTI'!$A$5:$A$204,'13_VANZARI'!$A$5:$A$1004,"&gt;="&amp;'09_PARAMETRI'!$B$5,'13_VANZARI'!$A$5:$A$1004,"&lt;="&amp;'09_PARAMETRI'!$B$6)&lt;&gt;0)))</f>
        <v/>
      </c>
      <c r="L17" s="25">
        <f>IF($A17="","",IFERROR($K17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7" s="39">
        <f>IF($A17="","",IF(AND($D17&gt;0,$H17&lt;&gt;"",$H17&lt;'09_PARAMETRI'!$B$15),"Marjă sub referință",IF(AND($F17&lt;&gt;"",$F17&gt;='09_PARAMETRI'!$B$14,$L17&lt;0.3),"Creștere + penetrare mică",IF(AND($F17&lt;&gt;"",$F17&lt;='09_PARAMETRI'!$B$13),"Produs în scădere",IF($D17=0,"Fără vânzări","Stabil")))))</f>
        <v/>
      </c>
      <c r="N17" s="39">
        <f>IF($A17="","",IF($M17="Marjă sub referință","Marjă / preț",IF($M17="Creștere + penetrare mică","Creștere produs",IF($M17="Produs în scădere","Cross-sell",IF($M17="Fără vânzări","Proces / operațional","Cross-sell")))))</f>
        <v/>
      </c>
      <c r="O17" s="24">
        <f>IF($A17="","",IFERROR(IF($M17="Marjă sub referință",MAX(0,$D17*('09_PARAMETRI'!$B$15-$H17)),IF($M17="Creștere + penetrare mică",$D17*0.5,IF($M17="Produs în scădere",MAX(0,$E17-$D17),$D17*0.1))),""))</f>
        <v/>
      </c>
      <c r="P17" s="48">
        <f>IF(OR($A17="",$D17="",N($D17)&lt;=0),"",$D17+ROW()/1000000)</f>
        <v/>
      </c>
    </row>
    <row r="18">
      <c r="A18" s="39">
        <f>IF('11_PRODUSE'!$A18="","",'11_PRODUSE'!$A18)</f>
        <v/>
      </c>
      <c r="B18" s="39">
        <f>IF($A18="","",IFERROR(INDEX('11_PRODUSE'!$B$5:$B$104,MATCH($A18,'11_PRODUSE'!$A$5:$A$104,0)),""))</f>
        <v/>
      </c>
      <c r="C18" s="39">
        <f>IF($A18="","",IFERROR(INDEX('11_PRODUSE'!$C$5:$C$104,MATCH($A18,'11_PRODUSE'!$A$5:$A$104,0)),""))</f>
        <v/>
      </c>
      <c r="D18" s="24">
        <f>IF($A18="","",SUMIFS('13_VANZARI'!$H$5:$H$1004,'13_VANZARI'!$E$5:$E$1004,$A18,'13_VANZARI'!$A$5:$A$1004,"&gt;="&amp;'09_PARAMETRI'!$B$5,'13_VANZARI'!$A$5:$A$1004,"&lt;="&amp;'09_PARAMETRI'!$B$6))</f>
        <v/>
      </c>
      <c r="E18" s="24">
        <f>IF($A18="","",SUMIFS('13_VANZARI'!$H$5:$H$1004,'13_VANZARI'!$E$5:$E$1004,$A18,'13_VANZARI'!$A$5:$A$1004,"&gt;="&amp;'09_PARAMETRI'!$B$7,'13_VANZARI'!$A$5:$A$1004,"&lt;="&amp;'09_PARAMETRI'!$B$8))</f>
        <v/>
      </c>
      <c r="F18" s="25">
        <f>IF($A18="","",IFERROR(IF($E18=0,"",($D18-$E18)/ABS($E18)),""))</f>
        <v/>
      </c>
      <c r="G18" s="24">
        <f>IF($A18="","",SUMIFS('13_VANZARI'!$K$5:$K$1004,'13_VANZARI'!$E$5:$E$1004,$A18,'13_VANZARI'!$A$5:$A$1004,"&gt;="&amp;'09_PARAMETRI'!$B$5,'13_VANZARI'!$A$5:$A$1004,"&lt;="&amp;'09_PARAMETRI'!$B$6))</f>
        <v/>
      </c>
      <c r="H18" s="25">
        <f>IF($A18="","",IFERROR($G18/$D18,""))</f>
        <v/>
      </c>
      <c r="I18" s="24">
        <f>IF($A18="","",SUMIFS('13_VANZARI'!$G$5:$G$1004,'13_VANZARI'!$E$5:$E$1004,$A18,'13_VANZARI'!$A$5:$A$1004,"&gt;="&amp;'09_PARAMETRI'!$B$5,'13_VANZARI'!$A$5:$A$1004,"&lt;="&amp;'09_PARAMETRI'!$B$6))</f>
        <v/>
      </c>
      <c r="J18" s="48">
        <f>IF($A18="","",IFERROR($D18/$I18,""))</f>
        <v/>
      </c>
      <c r="K18" s="24">
        <f>IF($A18="","",SUMPRODUCT(('10_CLIENTI'!$A$5:$A$204&lt;&gt;"")*(SUMIFS('13_VANZARI'!$H$5:$H$1004,'13_VANZARI'!$E$5:$E$1004,$A18,'13_VANZARI'!$D$5:$D$1004,'10_CLIENTI'!$A$5:$A$204,'13_VANZARI'!$A$5:$A$1004,"&gt;="&amp;'09_PARAMETRI'!$B$5,'13_VANZARI'!$A$5:$A$1004,"&lt;="&amp;'09_PARAMETRI'!$B$6)&lt;&gt;0)))</f>
        <v/>
      </c>
      <c r="L18" s="25">
        <f>IF($A18="","",IFERROR($K18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8" s="39">
        <f>IF($A18="","",IF(AND($D18&gt;0,$H18&lt;&gt;"",$H18&lt;'09_PARAMETRI'!$B$15),"Marjă sub referință",IF(AND($F18&lt;&gt;"",$F18&gt;='09_PARAMETRI'!$B$14,$L18&lt;0.3),"Creștere + penetrare mică",IF(AND($F18&lt;&gt;"",$F18&lt;='09_PARAMETRI'!$B$13),"Produs în scădere",IF($D18=0,"Fără vânzări","Stabil")))))</f>
        <v/>
      </c>
      <c r="N18" s="39">
        <f>IF($A18="","",IF($M18="Marjă sub referință","Marjă / preț",IF($M18="Creștere + penetrare mică","Creștere produs",IF($M18="Produs în scădere","Cross-sell",IF($M18="Fără vânzări","Proces / operațional","Cross-sell")))))</f>
        <v/>
      </c>
      <c r="O18" s="24">
        <f>IF($A18="","",IFERROR(IF($M18="Marjă sub referință",MAX(0,$D18*('09_PARAMETRI'!$B$15-$H18)),IF($M18="Creștere + penetrare mică",$D18*0.5,IF($M18="Produs în scădere",MAX(0,$E18-$D18),$D18*0.1))),""))</f>
        <v/>
      </c>
      <c r="P18" s="48">
        <f>IF(OR($A18="",$D18="",N($D18)&lt;=0),"",$D18+ROW()/1000000)</f>
        <v/>
      </c>
    </row>
    <row r="19">
      <c r="A19" s="39">
        <f>IF('11_PRODUSE'!$A19="","",'11_PRODUSE'!$A19)</f>
        <v/>
      </c>
      <c r="B19" s="39">
        <f>IF($A19="","",IFERROR(INDEX('11_PRODUSE'!$B$5:$B$104,MATCH($A19,'11_PRODUSE'!$A$5:$A$104,0)),""))</f>
        <v/>
      </c>
      <c r="C19" s="39">
        <f>IF($A19="","",IFERROR(INDEX('11_PRODUSE'!$C$5:$C$104,MATCH($A19,'11_PRODUSE'!$A$5:$A$104,0)),""))</f>
        <v/>
      </c>
      <c r="D19" s="24">
        <f>IF($A19="","",SUMIFS('13_VANZARI'!$H$5:$H$1004,'13_VANZARI'!$E$5:$E$1004,$A19,'13_VANZARI'!$A$5:$A$1004,"&gt;="&amp;'09_PARAMETRI'!$B$5,'13_VANZARI'!$A$5:$A$1004,"&lt;="&amp;'09_PARAMETRI'!$B$6))</f>
        <v/>
      </c>
      <c r="E19" s="24">
        <f>IF($A19="","",SUMIFS('13_VANZARI'!$H$5:$H$1004,'13_VANZARI'!$E$5:$E$1004,$A19,'13_VANZARI'!$A$5:$A$1004,"&gt;="&amp;'09_PARAMETRI'!$B$7,'13_VANZARI'!$A$5:$A$1004,"&lt;="&amp;'09_PARAMETRI'!$B$8))</f>
        <v/>
      </c>
      <c r="F19" s="25">
        <f>IF($A19="","",IFERROR(IF($E19=0,"",($D19-$E19)/ABS($E19)),""))</f>
        <v/>
      </c>
      <c r="G19" s="24">
        <f>IF($A19="","",SUMIFS('13_VANZARI'!$K$5:$K$1004,'13_VANZARI'!$E$5:$E$1004,$A19,'13_VANZARI'!$A$5:$A$1004,"&gt;="&amp;'09_PARAMETRI'!$B$5,'13_VANZARI'!$A$5:$A$1004,"&lt;="&amp;'09_PARAMETRI'!$B$6))</f>
        <v/>
      </c>
      <c r="H19" s="25">
        <f>IF($A19="","",IFERROR($G19/$D19,""))</f>
        <v/>
      </c>
      <c r="I19" s="24">
        <f>IF($A19="","",SUMIFS('13_VANZARI'!$G$5:$G$1004,'13_VANZARI'!$E$5:$E$1004,$A19,'13_VANZARI'!$A$5:$A$1004,"&gt;="&amp;'09_PARAMETRI'!$B$5,'13_VANZARI'!$A$5:$A$1004,"&lt;="&amp;'09_PARAMETRI'!$B$6))</f>
        <v/>
      </c>
      <c r="J19" s="48">
        <f>IF($A19="","",IFERROR($D19/$I19,""))</f>
        <v/>
      </c>
      <c r="K19" s="24">
        <f>IF($A19="","",SUMPRODUCT(('10_CLIENTI'!$A$5:$A$204&lt;&gt;"")*(SUMIFS('13_VANZARI'!$H$5:$H$1004,'13_VANZARI'!$E$5:$E$1004,$A19,'13_VANZARI'!$D$5:$D$1004,'10_CLIENTI'!$A$5:$A$204,'13_VANZARI'!$A$5:$A$1004,"&gt;="&amp;'09_PARAMETRI'!$B$5,'13_VANZARI'!$A$5:$A$1004,"&lt;="&amp;'09_PARAMETRI'!$B$6)&lt;&gt;0)))</f>
        <v/>
      </c>
      <c r="L19" s="25">
        <f>IF($A19="","",IFERROR($K19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9" s="39">
        <f>IF($A19="","",IF(AND($D19&gt;0,$H19&lt;&gt;"",$H19&lt;'09_PARAMETRI'!$B$15),"Marjă sub referință",IF(AND($F19&lt;&gt;"",$F19&gt;='09_PARAMETRI'!$B$14,$L19&lt;0.3),"Creștere + penetrare mică",IF(AND($F19&lt;&gt;"",$F19&lt;='09_PARAMETRI'!$B$13),"Produs în scădere",IF($D19=0,"Fără vânzări","Stabil")))))</f>
        <v/>
      </c>
      <c r="N19" s="39">
        <f>IF($A19="","",IF($M19="Marjă sub referință","Marjă / preț",IF($M19="Creștere + penetrare mică","Creștere produs",IF($M19="Produs în scădere","Cross-sell",IF($M19="Fără vânzări","Proces / operațional","Cross-sell")))))</f>
        <v/>
      </c>
      <c r="O19" s="24">
        <f>IF($A19="","",IFERROR(IF($M19="Marjă sub referință",MAX(0,$D19*('09_PARAMETRI'!$B$15-$H19)),IF($M19="Creștere + penetrare mică",$D19*0.5,IF($M19="Produs în scădere",MAX(0,$E19-$D19),$D19*0.1))),""))</f>
        <v/>
      </c>
      <c r="P19" s="48">
        <f>IF(OR($A19="",$D19="",N($D19)&lt;=0),"",$D19+ROW()/1000000)</f>
        <v/>
      </c>
    </row>
    <row r="20">
      <c r="A20" s="39">
        <f>IF('11_PRODUSE'!$A20="","",'11_PRODUSE'!$A20)</f>
        <v/>
      </c>
      <c r="B20" s="39">
        <f>IF($A20="","",IFERROR(INDEX('11_PRODUSE'!$B$5:$B$104,MATCH($A20,'11_PRODUSE'!$A$5:$A$104,0)),""))</f>
        <v/>
      </c>
      <c r="C20" s="39">
        <f>IF($A20="","",IFERROR(INDEX('11_PRODUSE'!$C$5:$C$104,MATCH($A20,'11_PRODUSE'!$A$5:$A$104,0)),""))</f>
        <v/>
      </c>
      <c r="D20" s="24">
        <f>IF($A20="","",SUMIFS('13_VANZARI'!$H$5:$H$1004,'13_VANZARI'!$E$5:$E$1004,$A20,'13_VANZARI'!$A$5:$A$1004,"&gt;="&amp;'09_PARAMETRI'!$B$5,'13_VANZARI'!$A$5:$A$1004,"&lt;="&amp;'09_PARAMETRI'!$B$6))</f>
        <v/>
      </c>
      <c r="E20" s="24">
        <f>IF($A20="","",SUMIFS('13_VANZARI'!$H$5:$H$1004,'13_VANZARI'!$E$5:$E$1004,$A20,'13_VANZARI'!$A$5:$A$1004,"&gt;="&amp;'09_PARAMETRI'!$B$7,'13_VANZARI'!$A$5:$A$1004,"&lt;="&amp;'09_PARAMETRI'!$B$8))</f>
        <v/>
      </c>
      <c r="F20" s="25">
        <f>IF($A20="","",IFERROR(IF($E20=0,"",($D20-$E20)/ABS($E20)),""))</f>
        <v/>
      </c>
      <c r="G20" s="24">
        <f>IF($A20="","",SUMIFS('13_VANZARI'!$K$5:$K$1004,'13_VANZARI'!$E$5:$E$1004,$A20,'13_VANZARI'!$A$5:$A$1004,"&gt;="&amp;'09_PARAMETRI'!$B$5,'13_VANZARI'!$A$5:$A$1004,"&lt;="&amp;'09_PARAMETRI'!$B$6))</f>
        <v/>
      </c>
      <c r="H20" s="25">
        <f>IF($A20="","",IFERROR($G20/$D20,""))</f>
        <v/>
      </c>
      <c r="I20" s="24">
        <f>IF($A20="","",SUMIFS('13_VANZARI'!$G$5:$G$1004,'13_VANZARI'!$E$5:$E$1004,$A20,'13_VANZARI'!$A$5:$A$1004,"&gt;="&amp;'09_PARAMETRI'!$B$5,'13_VANZARI'!$A$5:$A$1004,"&lt;="&amp;'09_PARAMETRI'!$B$6))</f>
        <v/>
      </c>
      <c r="J20" s="48">
        <f>IF($A20="","",IFERROR($D20/$I20,""))</f>
        <v/>
      </c>
      <c r="K20" s="24">
        <f>IF($A20="","",SUMPRODUCT(('10_CLIENTI'!$A$5:$A$204&lt;&gt;"")*(SUMIFS('13_VANZARI'!$H$5:$H$1004,'13_VANZARI'!$E$5:$E$1004,$A20,'13_VANZARI'!$D$5:$D$1004,'10_CLIENTI'!$A$5:$A$204,'13_VANZARI'!$A$5:$A$1004,"&gt;="&amp;'09_PARAMETRI'!$B$5,'13_VANZARI'!$A$5:$A$1004,"&lt;="&amp;'09_PARAMETRI'!$B$6)&lt;&gt;0)))</f>
        <v/>
      </c>
      <c r="L20" s="25">
        <f>IF($A20="","",IFERROR($K20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0" s="39">
        <f>IF($A20="","",IF(AND($D20&gt;0,$H20&lt;&gt;"",$H20&lt;'09_PARAMETRI'!$B$15),"Marjă sub referință",IF(AND($F20&lt;&gt;"",$F20&gt;='09_PARAMETRI'!$B$14,$L20&lt;0.3),"Creștere + penetrare mică",IF(AND($F20&lt;&gt;"",$F20&lt;='09_PARAMETRI'!$B$13),"Produs în scădere",IF($D20=0,"Fără vânzări","Stabil")))))</f>
        <v/>
      </c>
      <c r="N20" s="39">
        <f>IF($A20="","",IF($M20="Marjă sub referință","Marjă / preț",IF($M20="Creștere + penetrare mică","Creștere produs",IF($M20="Produs în scădere","Cross-sell",IF($M20="Fără vânzări","Proces / operațional","Cross-sell")))))</f>
        <v/>
      </c>
      <c r="O20" s="24">
        <f>IF($A20="","",IFERROR(IF($M20="Marjă sub referință",MAX(0,$D20*('09_PARAMETRI'!$B$15-$H20)),IF($M20="Creștere + penetrare mică",$D20*0.5,IF($M20="Produs în scădere",MAX(0,$E20-$D20),$D20*0.1))),""))</f>
        <v/>
      </c>
      <c r="P20" s="48">
        <f>IF(OR($A20="",$D20="",N($D20)&lt;=0),"",$D20+ROW()/1000000)</f>
        <v/>
      </c>
    </row>
    <row r="21">
      <c r="A21" s="39">
        <f>IF('11_PRODUSE'!$A21="","",'11_PRODUSE'!$A21)</f>
        <v/>
      </c>
      <c r="B21" s="39">
        <f>IF($A21="","",IFERROR(INDEX('11_PRODUSE'!$B$5:$B$104,MATCH($A21,'11_PRODUSE'!$A$5:$A$104,0)),""))</f>
        <v/>
      </c>
      <c r="C21" s="39">
        <f>IF($A21="","",IFERROR(INDEX('11_PRODUSE'!$C$5:$C$104,MATCH($A21,'11_PRODUSE'!$A$5:$A$104,0)),""))</f>
        <v/>
      </c>
      <c r="D21" s="24">
        <f>IF($A21="","",SUMIFS('13_VANZARI'!$H$5:$H$1004,'13_VANZARI'!$E$5:$E$1004,$A21,'13_VANZARI'!$A$5:$A$1004,"&gt;="&amp;'09_PARAMETRI'!$B$5,'13_VANZARI'!$A$5:$A$1004,"&lt;="&amp;'09_PARAMETRI'!$B$6))</f>
        <v/>
      </c>
      <c r="E21" s="24">
        <f>IF($A21="","",SUMIFS('13_VANZARI'!$H$5:$H$1004,'13_VANZARI'!$E$5:$E$1004,$A21,'13_VANZARI'!$A$5:$A$1004,"&gt;="&amp;'09_PARAMETRI'!$B$7,'13_VANZARI'!$A$5:$A$1004,"&lt;="&amp;'09_PARAMETRI'!$B$8))</f>
        <v/>
      </c>
      <c r="F21" s="25">
        <f>IF($A21="","",IFERROR(IF($E21=0,"",($D21-$E21)/ABS($E21)),""))</f>
        <v/>
      </c>
      <c r="G21" s="24">
        <f>IF($A21="","",SUMIFS('13_VANZARI'!$K$5:$K$1004,'13_VANZARI'!$E$5:$E$1004,$A21,'13_VANZARI'!$A$5:$A$1004,"&gt;="&amp;'09_PARAMETRI'!$B$5,'13_VANZARI'!$A$5:$A$1004,"&lt;="&amp;'09_PARAMETRI'!$B$6))</f>
        <v/>
      </c>
      <c r="H21" s="25">
        <f>IF($A21="","",IFERROR($G21/$D21,""))</f>
        <v/>
      </c>
      <c r="I21" s="24">
        <f>IF($A21="","",SUMIFS('13_VANZARI'!$G$5:$G$1004,'13_VANZARI'!$E$5:$E$1004,$A21,'13_VANZARI'!$A$5:$A$1004,"&gt;="&amp;'09_PARAMETRI'!$B$5,'13_VANZARI'!$A$5:$A$1004,"&lt;="&amp;'09_PARAMETRI'!$B$6))</f>
        <v/>
      </c>
      <c r="J21" s="48">
        <f>IF($A21="","",IFERROR($D21/$I21,""))</f>
        <v/>
      </c>
      <c r="K21" s="24">
        <f>IF($A21="","",SUMPRODUCT(('10_CLIENTI'!$A$5:$A$204&lt;&gt;"")*(SUMIFS('13_VANZARI'!$H$5:$H$1004,'13_VANZARI'!$E$5:$E$1004,$A21,'13_VANZARI'!$D$5:$D$1004,'10_CLIENTI'!$A$5:$A$204,'13_VANZARI'!$A$5:$A$1004,"&gt;="&amp;'09_PARAMETRI'!$B$5,'13_VANZARI'!$A$5:$A$1004,"&lt;="&amp;'09_PARAMETRI'!$B$6)&lt;&gt;0)))</f>
        <v/>
      </c>
      <c r="L21" s="25">
        <f>IF($A21="","",IFERROR($K21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1" s="39">
        <f>IF($A21="","",IF(AND($D21&gt;0,$H21&lt;&gt;"",$H21&lt;'09_PARAMETRI'!$B$15),"Marjă sub referință",IF(AND($F21&lt;&gt;"",$F21&gt;='09_PARAMETRI'!$B$14,$L21&lt;0.3),"Creștere + penetrare mică",IF(AND($F21&lt;&gt;"",$F21&lt;='09_PARAMETRI'!$B$13),"Produs în scădere",IF($D21=0,"Fără vânzări","Stabil")))))</f>
        <v/>
      </c>
      <c r="N21" s="39">
        <f>IF($A21="","",IF($M21="Marjă sub referință","Marjă / preț",IF($M21="Creștere + penetrare mică","Creștere produs",IF($M21="Produs în scădere","Cross-sell",IF($M21="Fără vânzări","Proces / operațional","Cross-sell")))))</f>
        <v/>
      </c>
      <c r="O21" s="24">
        <f>IF($A21="","",IFERROR(IF($M21="Marjă sub referință",MAX(0,$D21*('09_PARAMETRI'!$B$15-$H21)),IF($M21="Creștere + penetrare mică",$D21*0.5,IF($M21="Produs în scădere",MAX(0,$E21-$D21),$D21*0.1))),""))</f>
        <v/>
      </c>
      <c r="P21" s="48">
        <f>IF(OR($A21="",$D21="",N($D21)&lt;=0),"",$D21+ROW()/1000000)</f>
        <v/>
      </c>
    </row>
    <row r="22">
      <c r="A22" s="39">
        <f>IF('11_PRODUSE'!$A22="","",'11_PRODUSE'!$A22)</f>
        <v/>
      </c>
      <c r="B22" s="39">
        <f>IF($A22="","",IFERROR(INDEX('11_PRODUSE'!$B$5:$B$104,MATCH($A22,'11_PRODUSE'!$A$5:$A$104,0)),""))</f>
        <v/>
      </c>
      <c r="C22" s="39">
        <f>IF($A22="","",IFERROR(INDEX('11_PRODUSE'!$C$5:$C$104,MATCH($A22,'11_PRODUSE'!$A$5:$A$104,0)),""))</f>
        <v/>
      </c>
      <c r="D22" s="24">
        <f>IF($A22="","",SUMIFS('13_VANZARI'!$H$5:$H$1004,'13_VANZARI'!$E$5:$E$1004,$A22,'13_VANZARI'!$A$5:$A$1004,"&gt;="&amp;'09_PARAMETRI'!$B$5,'13_VANZARI'!$A$5:$A$1004,"&lt;="&amp;'09_PARAMETRI'!$B$6))</f>
        <v/>
      </c>
      <c r="E22" s="24">
        <f>IF($A22="","",SUMIFS('13_VANZARI'!$H$5:$H$1004,'13_VANZARI'!$E$5:$E$1004,$A22,'13_VANZARI'!$A$5:$A$1004,"&gt;="&amp;'09_PARAMETRI'!$B$7,'13_VANZARI'!$A$5:$A$1004,"&lt;="&amp;'09_PARAMETRI'!$B$8))</f>
        <v/>
      </c>
      <c r="F22" s="25">
        <f>IF($A22="","",IFERROR(IF($E22=0,"",($D22-$E22)/ABS($E22)),""))</f>
        <v/>
      </c>
      <c r="G22" s="24">
        <f>IF($A22="","",SUMIFS('13_VANZARI'!$K$5:$K$1004,'13_VANZARI'!$E$5:$E$1004,$A22,'13_VANZARI'!$A$5:$A$1004,"&gt;="&amp;'09_PARAMETRI'!$B$5,'13_VANZARI'!$A$5:$A$1004,"&lt;="&amp;'09_PARAMETRI'!$B$6))</f>
        <v/>
      </c>
      <c r="H22" s="25">
        <f>IF($A22="","",IFERROR($G22/$D22,""))</f>
        <v/>
      </c>
      <c r="I22" s="24">
        <f>IF($A22="","",SUMIFS('13_VANZARI'!$G$5:$G$1004,'13_VANZARI'!$E$5:$E$1004,$A22,'13_VANZARI'!$A$5:$A$1004,"&gt;="&amp;'09_PARAMETRI'!$B$5,'13_VANZARI'!$A$5:$A$1004,"&lt;="&amp;'09_PARAMETRI'!$B$6))</f>
        <v/>
      </c>
      <c r="J22" s="48">
        <f>IF($A22="","",IFERROR($D22/$I22,""))</f>
        <v/>
      </c>
      <c r="K22" s="24">
        <f>IF($A22="","",SUMPRODUCT(('10_CLIENTI'!$A$5:$A$204&lt;&gt;"")*(SUMIFS('13_VANZARI'!$H$5:$H$1004,'13_VANZARI'!$E$5:$E$1004,$A22,'13_VANZARI'!$D$5:$D$1004,'10_CLIENTI'!$A$5:$A$204,'13_VANZARI'!$A$5:$A$1004,"&gt;="&amp;'09_PARAMETRI'!$B$5,'13_VANZARI'!$A$5:$A$1004,"&lt;="&amp;'09_PARAMETRI'!$B$6)&lt;&gt;0)))</f>
        <v/>
      </c>
      <c r="L22" s="25">
        <f>IF($A22="","",IFERROR($K22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2" s="39">
        <f>IF($A22="","",IF(AND($D22&gt;0,$H22&lt;&gt;"",$H22&lt;'09_PARAMETRI'!$B$15),"Marjă sub referință",IF(AND($F22&lt;&gt;"",$F22&gt;='09_PARAMETRI'!$B$14,$L22&lt;0.3),"Creștere + penetrare mică",IF(AND($F22&lt;&gt;"",$F22&lt;='09_PARAMETRI'!$B$13),"Produs în scădere",IF($D22=0,"Fără vânzări","Stabil")))))</f>
        <v/>
      </c>
      <c r="N22" s="39">
        <f>IF($A22="","",IF($M22="Marjă sub referință","Marjă / preț",IF($M22="Creștere + penetrare mică","Creștere produs",IF($M22="Produs în scădere","Cross-sell",IF($M22="Fără vânzări","Proces / operațional","Cross-sell")))))</f>
        <v/>
      </c>
      <c r="O22" s="24">
        <f>IF($A22="","",IFERROR(IF($M22="Marjă sub referință",MAX(0,$D22*('09_PARAMETRI'!$B$15-$H22)),IF($M22="Creștere + penetrare mică",$D22*0.5,IF($M22="Produs în scădere",MAX(0,$E22-$D22),$D22*0.1))),""))</f>
        <v/>
      </c>
      <c r="P22" s="48">
        <f>IF(OR($A22="",$D22="",N($D22)&lt;=0),"",$D22+ROW()/1000000)</f>
        <v/>
      </c>
    </row>
    <row r="23">
      <c r="A23" s="39">
        <f>IF('11_PRODUSE'!$A23="","",'11_PRODUSE'!$A23)</f>
        <v/>
      </c>
      <c r="B23" s="39">
        <f>IF($A23="","",IFERROR(INDEX('11_PRODUSE'!$B$5:$B$104,MATCH($A23,'11_PRODUSE'!$A$5:$A$104,0)),""))</f>
        <v/>
      </c>
      <c r="C23" s="39">
        <f>IF($A23="","",IFERROR(INDEX('11_PRODUSE'!$C$5:$C$104,MATCH($A23,'11_PRODUSE'!$A$5:$A$104,0)),""))</f>
        <v/>
      </c>
      <c r="D23" s="24">
        <f>IF($A23="","",SUMIFS('13_VANZARI'!$H$5:$H$1004,'13_VANZARI'!$E$5:$E$1004,$A23,'13_VANZARI'!$A$5:$A$1004,"&gt;="&amp;'09_PARAMETRI'!$B$5,'13_VANZARI'!$A$5:$A$1004,"&lt;="&amp;'09_PARAMETRI'!$B$6))</f>
        <v/>
      </c>
      <c r="E23" s="24">
        <f>IF($A23="","",SUMIFS('13_VANZARI'!$H$5:$H$1004,'13_VANZARI'!$E$5:$E$1004,$A23,'13_VANZARI'!$A$5:$A$1004,"&gt;="&amp;'09_PARAMETRI'!$B$7,'13_VANZARI'!$A$5:$A$1004,"&lt;="&amp;'09_PARAMETRI'!$B$8))</f>
        <v/>
      </c>
      <c r="F23" s="25">
        <f>IF($A23="","",IFERROR(IF($E23=0,"",($D23-$E23)/ABS($E23)),""))</f>
        <v/>
      </c>
      <c r="G23" s="24">
        <f>IF($A23="","",SUMIFS('13_VANZARI'!$K$5:$K$1004,'13_VANZARI'!$E$5:$E$1004,$A23,'13_VANZARI'!$A$5:$A$1004,"&gt;="&amp;'09_PARAMETRI'!$B$5,'13_VANZARI'!$A$5:$A$1004,"&lt;="&amp;'09_PARAMETRI'!$B$6))</f>
        <v/>
      </c>
      <c r="H23" s="25">
        <f>IF($A23="","",IFERROR($G23/$D23,""))</f>
        <v/>
      </c>
      <c r="I23" s="24">
        <f>IF($A23="","",SUMIFS('13_VANZARI'!$G$5:$G$1004,'13_VANZARI'!$E$5:$E$1004,$A23,'13_VANZARI'!$A$5:$A$1004,"&gt;="&amp;'09_PARAMETRI'!$B$5,'13_VANZARI'!$A$5:$A$1004,"&lt;="&amp;'09_PARAMETRI'!$B$6))</f>
        <v/>
      </c>
      <c r="J23" s="48">
        <f>IF($A23="","",IFERROR($D23/$I23,""))</f>
        <v/>
      </c>
      <c r="K23" s="24">
        <f>IF($A23="","",SUMPRODUCT(('10_CLIENTI'!$A$5:$A$204&lt;&gt;"")*(SUMIFS('13_VANZARI'!$H$5:$H$1004,'13_VANZARI'!$E$5:$E$1004,$A23,'13_VANZARI'!$D$5:$D$1004,'10_CLIENTI'!$A$5:$A$204,'13_VANZARI'!$A$5:$A$1004,"&gt;="&amp;'09_PARAMETRI'!$B$5,'13_VANZARI'!$A$5:$A$1004,"&lt;="&amp;'09_PARAMETRI'!$B$6)&lt;&gt;0)))</f>
        <v/>
      </c>
      <c r="L23" s="25">
        <f>IF($A23="","",IFERROR($K23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3" s="39">
        <f>IF($A23="","",IF(AND($D23&gt;0,$H23&lt;&gt;"",$H23&lt;'09_PARAMETRI'!$B$15),"Marjă sub referință",IF(AND($F23&lt;&gt;"",$F23&gt;='09_PARAMETRI'!$B$14,$L23&lt;0.3),"Creștere + penetrare mică",IF(AND($F23&lt;&gt;"",$F23&lt;='09_PARAMETRI'!$B$13),"Produs în scădere",IF($D23=0,"Fără vânzări","Stabil")))))</f>
        <v/>
      </c>
      <c r="N23" s="39">
        <f>IF($A23="","",IF($M23="Marjă sub referință","Marjă / preț",IF($M23="Creștere + penetrare mică","Creștere produs",IF($M23="Produs în scădere","Cross-sell",IF($M23="Fără vânzări","Proces / operațional","Cross-sell")))))</f>
        <v/>
      </c>
      <c r="O23" s="24">
        <f>IF($A23="","",IFERROR(IF($M23="Marjă sub referință",MAX(0,$D23*('09_PARAMETRI'!$B$15-$H23)),IF($M23="Creștere + penetrare mică",$D23*0.5,IF($M23="Produs în scădere",MAX(0,$E23-$D23),$D23*0.1))),""))</f>
        <v/>
      </c>
      <c r="P23" s="48">
        <f>IF(OR($A23="",$D23="",N($D23)&lt;=0),"",$D23+ROW()/1000000)</f>
        <v/>
      </c>
    </row>
    <row r="24">
      <c r="A24" s="39">
        <f>IF('11_PRODUSE'!$A24="","",'11_PRODUSE'!$A24)</f>
        <v/>
      </c>
      <c r="B24" s="39">
        <f>IF($A24="","",IFERROR(INDEX('11_PRODUSE'!$B$5:$B$104,MATCH($A24,'11_PRODUSE'!$A$5:$A$104,0)),""))</f>
        <v/>
      </c>
      <c r="C24" s="39">
        <f>IF($A24="","",IFERROR(INDEX('11_PRODUSE'!$C$5:$C$104,MATCH($A24,'11_PRODUSE'!$A$5:$A$104,0)),""))</f>
        <v/>
      </c>
      <c r="D24" s="24">
        <f>IF($A24="","",SUMIFS('13_VANZARI'!$H$5:$H$1004,'13_VANZARI'!$E$5:$E$1004,$A24,'13_VANZARI'!$A$5:$A$1004,"&gt;="&amp;'09_PARAMETRI'!$B$5,'13_VANZARI'!$A$5:$A$1004,"&lt;="&amp;'09_PARAMETRI'!$B$6))</f>
        <v/>
      </c>
      <c r="E24" s="24">
        <f>IF($A24="","",SUMIFS('13_VANZARI'!$H$5:$H$1004,'13_VANZARI'!$E$5:$E$1004,$A24,'13_VANZARI'!$A$5:$A$1004,"&gt;="&amp;'09_PARAMETRI'!$B$7,'13_VANZARI'!$A$5:$A$1004,"&lt;="&amp;'09_PARAMETRI'!$B$8))</f>
        <v/>
      </c>
      <c r="F24" s="25">
        <f>IF($A24="","",IFERROR(IF($E24=0,"",($D24-$E24)/ABS($E24)),""))</f>
        <v/>
      </c>
      <c r="G24" s="24">
        <f>IF($A24="","",SUMIFS('13_VANZARI'!$K$5:$K$1004,'13_VANZARI'!$E$5:$E$1004,$A24,'13_VANZARI'!$A$5:$A$1004,"&gt;="&amp;'09_PARAMETRI'!$B$5,'13_VANZARI'!$A$5:$A$1004,"&lt;="&amp;'09_PARAMETRI'!$B$6))</f>
        <v/>
      </c>
      <c r="H24" s="25">
        <f>IF($A24="","",IFERROR($G24/$D24,""))</f>
        <v/>
      </c>
      <c r="I24" s="24">
        <f>IF($A24="","",SUMIFS('13_VANZARI'!$G$5:$G$1004,'13_VANZARI'!$E$5:$E$1004,$A24,'13_VANZARI'!$A$5:$A$1004,"&gt;="&amp;'09_PARAMETRI'!$B$5,'13_VANZARI'!$A$5:$A$1004,"&lt;="&amp;'09_PARAMETRI'!$B$6))</f>
        <v/>
      </c>
      <c r="J24" s="48">
        <f>IF($A24="","",IFERROR($D24/$I24,""))</f>
        <v/>
      </c>
      <c r="K24" s="24">
        <f>IF($A24="","",SUMPRODUCT(('10_CLIENTI'!$A$5:$A$204&lt;&gt;"")*(SUMIFS('13_VANZARI'!$H$5:$H$1004,'13_VANZARI'!$E$5:$E$1004,$A24,'13_VANZARI'!$D$5:$D$1004,'10_CLIENTI'!$A$5:$A$204,'13_VANZARI'!$A$5:$A$1004,"&gt;="&amp;'09_PARAMETRI'!$B$5,'13_VANZARI'!$A$5:$A$1004,"&lt;="&amp;'09_PARAMETRI'!$B$6)&lt;&gt;0)))</f>
        <v/>
      </c>
      <c r="L24" s="25">
        <f>IF($A24="","",IFERROR($K24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4" s="39">
        <f>IF($A24="","",IF(AND($D24&gt;0,$H24&lt;&gt;"",$H24&lt;'09_PARAMETRI'!$B$15),"Marjă sub referință",IF(AND($F24&lt;&gt;"",$F24&gt;='09_PARAMETRI'!$B$14,$L24&lt;0.3),"Creștere + penetrare mică",IF(AND($F24&lt;&gt;"",$F24&lt;='09_PARAMETRI'!$B$13),"Produs în scădere",IF($D24=0,"Fără vânzări","Stabil")))))</f>
        <v/>
      </c>
      <c r="N24" s="39">
        <f>IF($A24="","",IF($M24="Marjă sub referință","Marjă / preț",IF($M24="Creștere + penetrare mică","Creștere produs",IF($M24="Produs în scădere","Cross-sell",IF($M24="Fără vânzări","Proces / operațional","Cross-sell")))))</f>
        <v/>
      </c>
      <c r="O24" s="24">
        <f>IF($A24="","",IFERROR(IF($M24="Marjă sub referință",MAX(0,$D24*('09_PARAMETRI'!$B$15-$H24)),IF($M24="Creștere + penetrare mică",$D24*0.5,IF($M24="Produs în scădere",MAX(0,$E24-$D24),$D24*0.1))),""))</f>
        <v/>
      </c>
      <c r="P24" s="48">
        <f>IF(OR($A24="",$D24="",N($D24)&lt;=0),"",$D24+ROW()/1000000)</f>
        <v/>
      </c>
    </row>
    <row r="25">
      <c r="A25" s="39">
        <f>IF('11_PRODUSE'!$A25="","",'11_PRODUSE'!$A25)</f>
        <v/>
      </c>
      <c r="B25" s="39">
        <f>IF($A25="","",IFERROR(INDEX('11_PRODUSE'!$B$5:$B$104,MATCH($A25,'11_PRODUSE'!$A$5:$A$104,0)),""))</f>
        <v/>
      </c>
      <c r="C25" s="39">
        <f>IF($A25="","",IFERROR(INDEX('11_PRODUSE'!$C$5:$C$104,MATCH($A25,'11_PRODUSE'!$A$5:$A$104,0)),""))</f>
        <v/>
      </c>
      <c r="D25" s="24">
        <f>IF($A25="","",SUMIFS('13_VANZARI'!$H$5:$H$1004,'13_VANZARI'!$E$5:$E$1004,$A25,'13_VANZARI'!$A$5:$A$1004,"&gt;="&amp;'09_PARAMETRI'!$B$5,'13_VANZARI'!$A$5:$A$1004,"&lt;="&amp;'09_PARAMETRI'!$B$6))</f>
        <v/>
      </c>
      <c r="E25" s="24">
        <f>IF($A25="","",SUMIFS('13_VANZARI'!$H$5:$H$1004,'13_VANZARI'!$E$5:$E$1004,$A25,'13_VANZARI'!$A$5:$A$1004,"&gt;="&amp;'09_PARAMETRI'!$B$7,'13_VANZARI'!$A$5:$A$1004,"&lt;="&amp;'09_PARAMETRI'!$B$8))</f>
        <v/>
      </c>
      <c r="F25" s="25">
        <f>IF($A25="","",IFERROR(IF($E25=0,"",($D25-$E25)/ABS($E25)),""))</f>
        <v/>
      </c>
      <c r="G25" s="24">
        <f>IF($A25="","",SUMIFS('13_VANZARI'!$K$5:$K$1004,'13_VANZARI'!$E$5:$E$1004,$A25,'13_VANZARI'!$A$5:$A$1004,"&gt;="&amp;'09_PARAMETRI'!$B$5,'13_VANZARI'!$A$5:$A$1004,"&lt;="&amp;'09_PARAMETRI'!$B$6))</f>
        <v/>
      </c>
      <c r="H25" s="25">
        <f>IF($A25="","",IFERROR($G25/$D25,""))</f>
        <v/>
      </c>
      <c r="I25" s="24">
        <f>IF($A25="","",SUMIFS('13_VANZARI'!$G$5:$G$1004,'13_VANZARI'!$E$5:$E$1004,$A25,'13_VANZARI'!$A$5:$A$1004,"&gt;="&amp;'09_PARAMETRI'!$B$5,'13_VANZARI'!$A$5:$A$1004,"&lt;="&amp;'09_PARAMETRI'!$B$6))</f>
        <v/>
      </c>
      <c r="J25" s="48">
        <f>IF($A25="","",IFERROR($D25/$I25,""))</f>
        <v/>
      </c>
      <c r="K25" s="24">
        <f>IF($A25="","",SUMPRODUCT(('10_CLIENTI'!$A$5:$A$204&lt;&gt;"")*(SUMIFS('13_VANZARI'!$H$5:$H$1004,'13_VANZARI'!$E$5:$E$1004,$A25,'13_VANZARI'!$D$5:$D$1004,'10_CLIENTI'!$A$5:$A$204,'13_VANZARI'!$A$5:$A$1004,"&gt;="&amp;'09_PARAMETRI'!$B$5,'13_VANZARI'!$A$5:$A$1004,"&lt;="&amp;'09_PARAMETRI'!$B$6)&lt;&gt;0)))</f>
        <v/>
      </c>
      <c r="L25" s="25">
        <f>IF($A25="","",IFERROR($K25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5" s="39">
        <f>IF($A25="","",IF(AND($D25&gt;0,$H25&lt;&gt;"",$H25&lt;'09_PARAMETRI'!$B$15),"Marjă sub referință",IF(AND($F25&lt;&gt;"",$F25&gt;='09_PARAMETRI'!$B$14,$L25&lt;0.3),"Creștere + penetrare mică",IF(AND($F25&lt;&gt;"",$F25&lt;='09_PARAMETRI'!$B$13),"Produs în scădere",IF($D25=0,"Fără vânzări","Stabil")))))</f>
        <v/>
      </c>
      <c r="N25" s="39">
        <f>IF($A25="","",IF($M25="Marjă sub referință","Marjă / preț",IF($M25="Creștere + penetrare mică","Creștere produs",IF($M25="Produs în scădere","Cross-sell",IF($M25="Fără vânzări","Proces / operațional","Cross-sell")))))</f>
        <v/>
      </c>
      <c r="O25" s="24">
        <f>IF($A25="","",IFERROR(IF($M25="Marjă sub referință",MAX(0,$D25*('09_PARAMETRI'!$B$15-$H25)),IF($M25="Creștere + penetrare mică",$D25*0.5,IF($M25="Produs în scădere",MAX(0,$E25-$D25),$D25*0.1))),""))</f>
        <v/>
      </c>
      <c r="P25" s="48">
        <f>IF(OR($A25="",$D25="",N($D25)&lt;=0),"",$D25+ROW()/1000000)</f>
        <v/>
      </c>
    </row>
    <row r="26">
      <c r="A26" s="39">
        <f>IF('11_PRODUSE'!$A26="","",'11_PRODUSE'!$A26)</f>
        <v/>
      </c>
      <c r="B26" s="39">
        <f>IF($A26="","",IFERROR(INDEX('11_PRODUSE'!$B$5:$B$104,MATCH($A26,'11_PRODUSE'!$A$5:$A$104,0)),""))</f>
        <v/>
      </c>
      <c r="C26" s="39">
        <f>IF($A26="","",IFERROR(INDEX('11_PRODUSE'!$C$5:$C$104,MATCH($A26,'11_PRODUSE'!$A$5:$A$104,0)),""))</f>
        <v/>
      </c>
      <c r="D26" s="24">
        <f>IF($A26="","",SUMIFS('13_VANZARI'!$H$5:$H$1004,'13_VANZARI'!$E$5:$E$1004,$A26,'13_VANZARI'!$A$5:$A$1004,"&gt;="&amp;'09_PARAMETRI'!$B$5,'13_VANZARI'!$A$5:$A$1004,"&lt;="&amp;'09_PARAMETRI'!$B$6))</f>
        <v/>
      </c>
      <c r="E26" s="24">
        <f>IF($A26="","",SUMIFS('13_VANZARI'!$H$5:$H$1004,'13_VANZARI'!$E$5:$E$1004,$A26,'13_VANZARI'!$A$5:$A$1004,"&gt;="&amp;'09_PARAMETRI'!$B$7,'13_VANZARI'!$A$5:$A$1004,"&lt;="&amp;'09_PARAMETRI'!$B$8))</f>
        <v/>
      </c>
      <c r="F26" s="25">
        <f>IF($A26="","",IFERROR(IF($E26=0,"",($D26-$E26)/ABS($E26)),""))</f>
        <v/>
      </c>
      <c r="G26" s="24">
        <f>IF($A26="","",SUMIFS('13_VANZARI'!$K$5:$K$1004,'13_VANZARI'!$E$5:$E$1004,$A26,'13_VANZARI'!$A$5:$A$1004,"&gt;="&amp;'09_PARAMETRI'!$B$5,'13_VANZARI'!$A$5:$A$1004,"&lt;="&amp;'09_PARAMETRI'!$B$6))</f>
        <v/>
      </c>
      <c r="H26" s="25">
        <f>IF($A26="","",IFERROR($G26/$D26,""))</f>
        <v/>
      </c>
      <c r="I26" s="24">
        <f>IF($A26="","",SUMIFS('13_VANZARI'!$G$5:$G$1004,'13_VANZARI'!$E$5:$E$1004,$A26,'13_VANZARI'!$A$5:$A$1004,"&gt;="&amp;'09_PARAMETRI'!$B$5,'13_VANZARI'!$A$5:$A$1004,"&lt;="&amp;'09_PARAMETRI'!$B$6))</f>
        <v/>
      </c>
      <c r="J26" s="48">
        <f>IF($A26="","",IFERROR($D26/$I26,""))</f>
        <v/>
      </c>
      <c r="K26" s="24">
        <f>IF($A26="","",SUMPRODUCT(('10_CLIENTI'!$A$5:$A$204&lt;&gt;"")*(SUMIFS('13_VANZARI'!$H$5:$H$1004,'13_VANZARI'!$E$5:$E$1004,$A26,'13_VANZARI'!$D$5:$D$1004,'10_CLIENTI'!$A$5:$A$204,'13_VANZARI'!$A$5:$A$1004,"&gt;="&amp;'09_PARAMETRI'!$B$5,'13_VANZARI'!$A$5:$A$1004,"&lt;="&amp;'09_PARAMETRI'!$B$6)&lt;&gt;0)))</f>
        <v/>
      </c>
      <c r="L26" s="25">
        <f>IF($A26="","",IFERROR($K26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6" s="39">
        <f>IF($A26="","",IF(AND($D26&gt;0,$H26&lt;&gt;"",$H26&lt;'09_PARAMETRI'!$B$15),"Marjă sub referință",IF(AND($F26&lt;&gt;"",$F26&gt;='09_PARAMETRI'!$B$14,$L26&lt;0.3),"Creștere + penetrare mică",IF(AND($F26&lt;&gt;"",$F26&lt;='09_PARAMETRI'!$B$13),"Produs în scădere",IF($D26=0,"Fără vânzări","Stabil")))))</f>
        <v/>
      </c>
      <c r="N26" s="39">
        <f>IF($A26="","",IF($M26="Marjă sub referință","Marjă / preț",IF($M26="Creștere + penetrare mică","Creștere produs",IF($M26="Produs în scădere","Cross-sell",IF($M26="Fără vânzări","Proces / operațional","Cross-sell")))))</f>
        <v/>
      </c>
      <c r="O26" s="24">
        <f>IF($A26="","",IFERROR(IF($M26="Marjă sub referință",MAX(0,$D26*('09_PARAMETRI'!$B$15-$H26)),IF($M26="Creștere + penetrare mică",$D26*0.5,IF($M26="Produs în scădere",MAX(0,$E26-$D26),$D26*0.1))),""))</f>
        <v/>
      </c>
      <c r="P26" s="48">
        <f>IF(OR($A26="",$D26="",N($D26)&lt;=0),"",$D26+ROW()/1000000)</f>
        <v/>
      </c>
    </row>
    <row r="27">
      <c r="A27" s="39">
        <f>IF('11_PRODUSE'!$A27="","",'11_PRODUSE'!$A27)</f>
        <v/>
      </c>
      <c r="B27" s="39">
        <f>IF($A27="","",IFERROR(INDEX('11_PRODUSE'!$B$5:$B$104,MATCH($A27,'11_PRODUSE'!$A$5:$A$104,0)),""))</f>
        <v/>
      </c>
      <c r="C27" s="39">
        <f>IF($A27="","",IFERROR(INDEX('11_PRODUSE'!$C$5:$C$104,MATCH($A27,'11_PRODUSE'!$A$5:$A$104,0)),""))</f>
        <v/>
      </c>
      <c r="D27" s="24">
        <f>IF($A27="","",SUMIFS('13_VANZARI'!$H$5:$H$1004,'13_VANZARI'!$E$5:$E$1004,$A27,'13_VANZARI'!$A$5:$A$1004,"&gt;="&amp;'09_PARAMETRI'!$B$5,'13_VANZARI'!$A$5:$A$1004,"&lt;="&amp;'09_PARAMETRI'!$B$6))</f>
        <v/>
      </c>
      <c r="E27" s="24">
        <f>IF($A27="","",SUMIFS('13_VANZARI'!$H$5:$H$1004,'13_VANZARI'!$E$5:$E$1004,$A27,'13_VANZARI'!$A$5:$A$1004,"&gt;="&amp;'09_PARAMETRI'!$B$7,'13_VANZARI'!$A$5:$A$1004,"&lt;="&amp;'09_PARAMETRI'!$B$8))</f>
        <v/>
      </c>
      <c r="F27" s="25">
        <f>IF($A27="","",IFERROR(IF($E27=0,"",($D27-$E27)/ABS($E27)),""))</f>
        <v/>
      </c>
      <c r="G27" s="24">
        <f>IF($A27="","",SUMIFS('13_VANZARI'!$K$5:$K$1004,'13_VANZARI'!$E$5:$E$1004,$A27,'13_VANZARI'!$A$5:$A$1004,"&gt;="&amp;'09_PARAMETRI'!$B$5,'13_VANZARI'!$A$5:$A$1004,"&lt;="&amp;'09_PARAMETRI'!$B$6))</f>
        <v/>
      </c>
      <c r="H27" s="25">
        <f>IF($A27="","",IFERROR($G27/$D27,""))</f>
        <v/>
      </c>
      <c r="I27" s="24">
        <f>IF($A27="","",SUMIFS('13_VANZARI'!$G$5:$G$1004,'13_VANZARI'!$E$5:$E$1004,$A27,'13_VANZARI'!$A$5:$A$1004,"&gt;="&amp;'09_PARAMETRI'!$B$5,'13_VANZARI'!$A$5:$A$1004,"&lt;="&amp;'09_PARAMETRI'!$B$6))</f>
        <v/>
      </c>
      <c r="J27" s="48">
        <f>IF($A27="","",IFERROR($D27/$I27,""))</f>
        <v/>
      </c>
      <c r="K27" s="24">
        <f>IF($A27="","",SUMPRODUCT(('10_CLIENTI'!$A$5:$A$204&lt;&gt;"")*(SUMIFS('13_VANZARI'!$H$5:$H$1004,'13_VANZARI'!$E$5:$E$1004,$A27,'13_VANZARI'!$D$5:$D$1004,'10_CLIENTI'!$A$5:$A$204,'13_VANZARI'!$A$5:$A$1004,"&gt;="&amp;'09_PARAMETRI'!$B$5,'13_VANZARI'!$A$5:$A$1004,"&lt;="&amp;'09_PARAMETRI'!$B$6)&lt;&gt;0)))</f>
        <v/>
      </c>
      <c r="L27" s="25">
        <f>IF($A27="","",IFERROR($K27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7" s="39">
        <f>IF($A27="","",IF(AND($D27&gt;0,$H27&lt;&gt;"",$H27&lt;'09_PARAMETRI'!$B$15),"Marjă sub referință",IF(AND($F27&lt;&gt;"",$F27&gt;='09_PARAMETRI'!$B$14,$L27&lt;0.3),"Creștere + penetrare mică",IF(AND($F27&lt;&gt;"",$F27&lt;='09_PARAMETRI'!$B$13),"Produs în scădere",IF($D27=0,"Fără vânzări","Stabil")))))</f>
        <v/>
      </c>
      <c r="N27" s="39">
        <f>IF($A27="","",IF($M27="Marjă sub referință","Marjă / preț",IF($M27="Creștere + penetrare mică","Creștere produs",IF($M27="Produs în scădere","Cross-sell",IF($M27="Fără vânzări","Proces / operațional","Cross-sell")))))</f>
        <v/>
      </c>
      <c r="O27" s="24">
        <f>IF($A27="","",IFERROR(IF($M27="Marjă sub referință",MAX(0,$D27*('09_PARAMETRI'!$B$15-$H27)),IF($M27="Creștere + penetrare mică",$D27*0.5,IF($M27="Produs în scădere",MAX(0,$E27-$D27),$D27*0.1))),""))</f>
        <v/>
      </c>
      <c r="P27" s="48">
        <f>IF(OR($A27="",$D27="",N($D27)&lt;=0),"",$D27+ROW()/1000000)</f>
        <v/>
      </c>
    </row>
    <row r="28">
      <c r="A28" s="39">
        <f>IF('11_PRODUSE'!$A28="","",'11_PRODUSE'!$A28)</f>
        <v/>
      </c>
      <c r="B28" s="39">
        <f>IF($A28="","",IFERROR(INDEX('11_PRODUSE'!$B$5:$B$104,MATCH($A28,'11_PRODUSE'!$A$5:$A$104,0)),""))</f>
        <v/>
      </c>
      <c r="C28" s="39">
        <f>IF($A28="","",IFERROR(INDEX('11_PRODUSE'!$C$5:$C$104,MATCH($A28,'11_PRODUSE'!$A$5:$A$104,0)),""))</f>
        <v/>
      </c>
      <c r="D28" s="24">
        <f>IF($A28="","",SUMIFS('13_VANZARI'!$H$5:$H$1004,'13_VANZARI'!$E$5:$E$1004,$A28,'13_VANZARI'!$A$5:$A$1004,"&gt;="&amp;'09_PARAMETRI'!$B$5,'13_VANZARI'!$A$5:$A$1004,"&lt;="&amp;'09_PARAMETRI'!$B$6))</f>
        <v/>
      </c>
      <c r="E28" s="24">
        <f>IF($A28="","",SUMIFS('13_VANZARI'!$H$5:$H$1004,'13_VANZARI'!$E$5:$E$1004,$A28,'13_VANZARI'!$A$5:$A$1004,"&gt;="&amp;'09_PARAMETRI'!$B$7,'13_VANZARI'!$A$5:$A$1004,"&lt;="&amp;'09_PARAMETRI'!$B$8))</f>
        <v/>
      </c>
      <c r="F28" s="25">
        <f>IF($A28="","",IFERROR(IF($E28=0,"",($D28-$E28)/ABS($E28)),""))</f>
        <v/>
      </c>
      <c r="G28" s="24">
        <f>IF($A28="","",SUMIFS('13_VANZARI'!$K$5:$K$1004,'13_VANZARI'!$E$5:$E$1004,$A28,'13_VANZARI'!$A$5:$A$1004,"&gt;="&amp;'09_PARAMETRI'!$B$5,'13_VANZARI'!$A$5:$A$1004,"&lt;="&amp;'09_PARAMETRI'!$B$6))</f>
        <v/>
      </c>
      <c r="H28" s="25">
        <f>IF($A28="","",IFERROR($G28/$D28,""))</f>
        <v/>
      </c>
      <c r="I28" s="24">
        <f>IF($A28="","",SUMIFS('13_VANZARI'!$G$5:$G$1004,'13_VANZARI'!$E$5:$E$1004,$A28,'13_VANZARI'!$A$5:$A$1004,"&gt;="&amp;'09_PARAMETRI'!$B$5,'13_VANZARI'!$A$5:$A$1004,"&lt;="&amp;'09_PARAMETRI'!$B$6))</f>
        <v/>
      </c>
      <c r="J28" s="48">
        <f>IF($A28="","",IFERROR($D28/$I28,""))</f>
        <v/>
      </c>
      <c r="K28" s="24">
        <f>IF($A28="","",SUMPRODUCT(('10_CLIENTI'!$A$5:$A$204&lt;&gt;"")*(SUMIFS('13_VANZARI'!$H$5:$H$1004,'13_VANZARI'!$E$5:$E$1004,$A28,'13_VANZARI'!$D$5:$D$1004,'10_CLIENTI'!$A$5:$A$204,'13_VANZARI'!$A$5:$A$1004,"&gt;="&amp;'09_PARAMETRI'!$B$5,'13_VANZARI'!$A$5:$A$1004,"&lt;="&amp;'09_PARAMETRI'!$B$6)&lt;&gt;0)))</f>
        <v/>
      </c>
      <c r="L28" s="25">
        <f>IF($A28="","",IFERROR($K28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8" s="39">
        <f>IF($A28="","",IF(AND($D28&gt;0,$H28&lt;&gt;"",$H28&lt;'09_PARAMETRI'!$B$15),"Marjă sub referință",IF(AND($F28&lt;&gt;"",$F28&gt;='09_PARAMETRI'!$B$14,$L28&lt;0.3),"Creștere + penetrare mică",IF(AND($F28&lt;&gt;"",$F28&lt;='09_PARAMETRI'!$B$13),"Produs în scădere",IF($D28=0,"Fără vânzări","Stabil")))))</f>
        <v/>
      </c>
      <c r="N28" s="39">
        <f>IF($A28="","",IF($M28="Marjă sub referință","Marjă / preț",IF($M28="Creștere + penetrare mică","Creștere produs",IF($M28="Produs în scădere","Cross-sell",IF($M28="Fără vânzări","Proces / operațional","Cross-sell")))))</f>
        <v/>
      </c>
      <c r="O28" s="24">
        <f>IF($A28="","",IFERROR(IF($M28="Marjă sub referință",MAX(0,$D28*('09_PARAMETRI'!$B$15-$H28)),IF($M28="Creștere + penetrare mică",$D28*0.5,IF($M28="Produs în scădere",MAX(0,$E28-$D28),$D28*0.1))),""))</f>
        <v/>
      </c>
      <c r="P28" s="48">
        <f>IF(OR($A28="",$D28="",N($D28)&lt;=0),"",$D28+ROW()/1000000)</f>
        <v/>
      </c>
    </row>
    <row r="29">
      <c r="A29" s="39">
        <f>IF('11_PRODUSE'!$A29="","",'11_PRODUSE'!$A29)</f>
        <v/>
      </c>
      <c r="B29" s="39">
        <f>IF($A29="","",IFERROR(INDEX('11_PRODUSE'!$B$5:$B$104,MATCH($A29,'11_PRODUSE'!$A$5:$A$104,0)),""))</f>
        <v/>
      </c>
      <c r="C29" s="39">
        <f>IF($A29="","",IFERROR(INDEX('11_PRODUSE'!$C$5:$C$104,MATCH($A29,'11_PRODUSE'!$A$5:$A$104,0)),""))</f>
        <v/>
      </c>
      <c r="D29" s="24">
        <f>IF($A29="","",SUMIFS('13_VANZARI'!$H$5:$H$1004,'13_VANZARI'!$E$5:$E$1004,$A29,'13_VANZARI'!$A$5:$A$1004,"&gt;="&amp;'09_PARAMETRI'!$B$5,'13_VANZARI'!$A$5:$A$1004,"&lt;="&amp;'09_PARAMETRI'!$B$6))</f>
        <v/>
      </c>
      <c r="E29" s="24">
        <f>IF($A29="","",SUMIFS('13_VANZARI'!$H$5:$H$1004,'13_VANZARI'!$E$5:$E$1004,$A29,'13_VANZARI'!$A$5:$A$1004,"&gt;="&amp;'09_PARAMETRI'!$B$7,'13_VANZARI'!$A$5:$A$1004,"&lt;="&amp;'09_PARAMETRI'!$B$8))</f>
        <v/>
      </c>
      <c r="F29" s="25">
        <f>IF($A29="","",IFERROR(IF($E29=0,"",($D29-$E29)/ABS($E29)),""))</f>
        <v/>
      </c>
      <c r="G29" s="24">
        <f>IF($A29="","",SUMIFS('13_VANZARI'!$K$5:$K$1004,'13_VANZARI'!$E$5:$E$1004,$A29,'13_VANZARI'!$A$5:$A$1004,"&gt;="&amp;'09_PARAMETRI'!$B$5,'13_VANZARI'!$A$5:$A$1004,"&lt;="&amp;'09_PARAMETRI'!$B$6))</f>
        <v/>
      </c>
      <c r="H29" s="25">
        <f>IF($A29="","",IFERROR($G29/$D29,""))</f>
        <v/>
      </c>
      <c r="I29" s="24">
        <f>IF($A29="","",SUMIFS('13_VANZARI'!$G$5:$G$1004,'13_VANZARI'!$E$5:$E$1004,$A29,'13_VANZARI'!$A$5:$A$1004,"&gt;="&amp;'09_PARAMETRI'!$B$5,'13_VANZARI'!$A$5:$A$1004,"&lt;="&amp;'09_PARAMETRI'!$B$6))</f>
        <v/>
      </c>
      <c r="J29" s="48">
        <f>IF($A29="","",IFERROR($D29/$I29,""))</f>
        <v/>
      </c>
      <c r="K29" s="24">
        <f>IF($A29="","",SUMPRODUCT(('10_CLIENTI'!$A$5:$A$204&lt;&gt;"")*(SUMIFS('13_VANZARI'!$H$5:$H$1004,'13_VANZARI'!$E$5:$E$1004,$A29,'13_VANZARI'!$D$5:$D$1004,'10_CLIENTI'!$A$5:$A$204,'13_VANZARI'!$A$5:$A$1004,"&gt;="&amp;'09_PARAMETRI'!$B$5,'13_VANZARI'!$A$5:$A$1004,"&lt;="&amp;'09_PARAMETRI'!$B$6)&lt;&gt;0)))</f>
        <v/>
      </c>
      <c r="L29" s="25">
        <f>IF($A29="","",IFERROR($K29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29" s="39">
        <f>IF($A29="","",IF(AND($D29&gt;0,$H29&lt;&gt;"",$H29&lt;'09_PARAMETRI'!$B$15),"Marjă sub referință",IF(AND($F29&lt;&gt;"",$F29&gt;='09_PARAMETRI'!$B$14,$L29&lt;0.3),"Creștere + penetrare mică",IF(AND($F29&lt;&gt;"",$F29&lt;='09_PARAMETRI'!$B$13),"Produs în scădere",IF($D29=0,"Fără vânzări","Stabil")))))</f>
        <v/>
      </c>
      <c r="N29" s="39">
        <f>IF($A29="","",IF($M29="Marjă sub referință","Marjă / preț",IF($M29="Creștere + penetrare mică","Creștere produs",IF($M29="Produs în scădere","Cross-sell",IF($M29="Fără vânzări","Proces / operațional","Cross-sell")))))</f>
        <v/>
      </c>
      <c r="O29" s="24">
        <f>IF($A29="","",IFERROR(IF($M29="Marjă sub referință",MAX(0,$D29*('09_PARAMETRI'!$B$15-$H29)),IF($M29="Creștere + penetrare mică",$D29*0.5,IF($M29="Produs în scădere",MAX(0,$E29-$D29),$D29*0.1))),""))</f>
        <v/>
      </c>
      <c r="P29" s="48">
        <f>IF(OR($A29="",$D29="",N($D29)&lt;=0),"",$D29+ROW()/1000000)</f>
        <v/>
      </c>
    </row>
    <row r="30">
      <c r="A30" s="39">
        <f>IF('11_PRODUSE'!$A30="","",'11_PRODUSE'!$A30)</f>
        <v/>
      </c>
      <c r="B30" s="39">
        <f>IF($A30="","",IFERROR(INDEX('11_PRODUSE'!$B$5:$B$104,MATCH($A30,'11_PRODUSE'!$A$5:$A$104,0)),""))</f>
        <v/>
      </c>
      <c r="C30" s="39">
        <f>IF($A30="","",IFERROR(INDEX('11_PRODUSE'!$C$5:$C$104,MATCH($A30,'11_PRODUSE'!$A$5:$A$104,0)),""))</f>
        <v/>
      </c>
      <c r="D30" s="24">
        <f>IF($A30="","",SUMIFS('13_VANZARI'!$H$5:$H$1004,'13_VANZARI'!$E$5:$E$1004,$A30,'13_VANZARI'!$A$5:$A$1004,"&gt;="&amp;'09_PARAMETRI'!$B$5,'13_VANZARI'!$A$5:$A$1004,"&lt;="&amp;'09_PARAMETRI'!$B$6))</f>
        <v/>
      </c>
      <c r="E30" s="24">
        <f>IF($A30="","",SUMIFS('13_VANZARI'!$H$5:$H$1004,'13_VANZARI'!$E$5:$E$1004,$A30,'13_VANZARI'!$A$5:$A$1004,"&gt;="&amp;'09_PARAMETRI'!$B$7,'13_VANZARI'!$A$5:$A$1004,"&lt;="&amp;'09_PARAMETRI'!$B$8))</f>
        <v/>
      </c>
      <c r="F30" s="25">
        <f>IF($A30="","",IFERROR(IF($E30=0,"",($D30-$E30)/ABS($E30)),""))</f>
        <v/>
      </c>
      <c r="G30" s="24">
        <f>IF($A30="","",SUMIFS('13_VANZARI'!$K$5:$K$1004,'13_VANZARI'!$E$5:$E$1004,$A30,'13_VANZARI'!$A$5:$A$1004,"&gt;="&amp;'09_PARAMETRI'!$B$5,'13_VANZARI'!$A$5:$A$1004,"&lt;="&amp;'09_PARAMETRI'!$B$6))</f>
        <v/>
      </c>
      <c r="H30" s="25">
        <f>IF($A30="","",IFERROR($G30/$D30,""))</f>
        <v/>
      </c>
      <c r="I30" s="24">
        <f>IF($A30="","",SUMIFS('13_VANZARI'!$G$5:$G$1004,'13_VANZARI'!$E$5:$E$1004,$A30,'13_VANZARI'!$A$5:$A$1004,"&gt;="&amp;'09_PARAMETRI'!$B$5,'13_VANZARI'!$A$5:$A$1004,"&lt;="&amp;'09_PARAMETRI'!$B$6))</f>
        <v/>
      </c>
      <c r="J30" s="48">
        <f>IF($A30="","",IFERROR($D30/$I30,""))</f>
        <v/>
      </c>
      <c r="K30" s="24">
        <f>IF($A30="","",SUMPRODUCT(('10_CLIENTI'!$A$5:$A$204&lt;&gt;"")*(SUMIFS('13_VANZARI'!$H$5:$H$1004,'13_VANZARI'!$E$5:$E$1004,$A30,'13_VANZARI'!$D$5:$D$1004,'10_CLIENTI'!$A$5:$A$204,'13_VANZARI'!$A$5:$A$1004,"&gt;="&amp;'09_PARAMETRI'!$B$5,'13_VANZARI'!$A$5:$A$1004,"&lt;="&amp;'09_PARAMETRI'!$B$6)&lt;&gt;0)))</f>
        <v/>
      </c>
      <c r="L30" s="25">
        <f>IF($A30="","",IFERROR($K30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0" s="39">
        <f>IF($A30="","",IF(AND($D30&gt;0,$H30&lt;&gt;"",$H30&lt;'09_PARAMETRI'!$B$15),"Marjă sub referință",IF(AND($F30&lt;&gt;"",$F30&gt;='09_PARAMETRI'!$B$14,$L30&lt;0.3),"Creștere + penetrare mică",IF(AND($F30&lt;&gt;"",$F30&lt;='09_PARAMETRI'!$B$13),"Produs în scădere",IF($D30=0,"Fără vânzări","Stabil")))))</f>
        <v/>
      </c>
      <c r="N30" s="39">
        <f>IF($A30="","",IF($M30="Marjă sub referință","Marjă / preț",IF($M30="Creștere + penetrare mică","Creștere produs",IF($M30="Produs în scădere","Cross-sell",IF($M30="Fără vânzări","Proces / operațional","Cross-sell")))))</f>
        <v/>
      </c>
      <c r="O30" s="24">
        <f>IF($A30="","",IFERROR(IF($M30="Marjă sub referință",MAX(0,$D30*('09_PARAMETRI'!$B$15-$H30)),IF($M30="Creștere + penetrare mică",$D30*0.5,IF($M30="Produs în scădere",MAX(0,$E30-$D30),$D30*0.1))),""))</f>
        <v/>
      </c>
      <c r="P30" s="48">
        <f>IF(OR($A30="",$D30="",N($D30)&lt;=0),"",$D30+ROW()/1000000)</f>
        <v/>
      </c>
    </row>
    <row r="31">
      <c r="A31" s="39">
        <f>IF('11_PRODUSE'!$A31="","",'11_PRODUSE'!$A31)</f>
        <v/>
      </c>
      <c r="B31" s="39">
        <f>IF($A31="","",IFERROR(INDEX('11_PRODUSE'!$B$5:$B$104,MATCH($A31,'11_PRODUSE'!$A$5:$A$104,0)),""))</f>
        <v/>
      </c>
      <c r="C31" s="39">
        <f>IF($A31="","",IFERROR(INDEX('11_PRODUSE'!$C$5:$C$104,MATCH($A31,'11_PRODUSE'!$A$5:$A$104,0)),""))</f>
        <v/>
      </c>
      <c r="D31" s="24">
        <f>IF($A31="","",SUMIFS('13_VANZARI'!$H$5:$H$1004,'13_VANZARI'!$E$5:$E$1004,$A31,'13_VANZARI'!$A$5:$A$1004,"&gt;="&amp;'09_PARAMETRI'!$B$5,'13_VANZARI'!$A$5:$A$1004,"&lt;="&amp;'09_PARAMETRI'!$B$6))</f>
        <v/>
      </c>
      <c r="E31" s="24">
        <f>IF($A31="","",SUMIFS('13_VANZARI'!$H$5:$H$1004,'13_VANZARI'!$E$5:$E$1004,$A31,'13_VANZARI'!$A$5:$A$1004,"&gt;="&amp;'09_PARAMETRI'!$B$7,'13_VANZARI'!$A$5:$A$1004,"&lt;="&amp;'09_PARAMETRI'!$B$8))</f>
        <v/>
      </c>
      <c r="F31" s="25">
        <f>IF($A31="","",IFERROR(IF($E31=0,"",($D31-$E31)/ABS($E31)),""))</f>
        <v/>
      </c>
      <c r="G31" s="24">
        <f>IF($A31="","",SUMIFS('13_VANZARI'!$K$5:$K$1004,'13_VANZARI'!$E$5:$E$1004,$A31,'13_VANZARI'!$A$5:$A$1004,"&gt;="&amp;'09_PARAMETRI'!$B$5,'13_VANZARI'!$A$5:$A$1004,"&lt;="&amp;'09_PARAMETRI'!$B$6))</f>
        <v/>
      </c>
      <c r="H31" s="25">
        <f>IF($A31="","",IFERROR($G31/$D31,""))</f>
        <v/>
      </c>
      <c r="I31" s="24">
        <f>IF($A31="","",SUMIFS('13_VANZARI'!$G$5:$G$1004,'13_VANZARI'!$E$5:$E$1004,$A31,'13_VANZARI'!$A$5:$A$1004,"&gt;="&amp;'09_PARAMETRI'!$B$5,'13_VANZARI'!$A$5:$A$1004,"&lt;="&amp;'09_PARAMETRI'!$B$6))</f>
        <v/>
      </c>
      <c r="J31" s="48">
        <f>IF($A31="","",IFERROR($D31/$I31,""))</f>
        <v/>
      </c>
      <c r="K31" s="24">
        <f>IF($A31="","",SUMPRODUCT(('10_CLIENTI'!$A$5:$A$204&lt;&gt;"")*(SUMIFS('13_VANZARI'!$H$5:$H$1004,'13_VANZARI'!$E$5:$E$1004,$A31,'13_VANZARI'!$D$5:$D$1004,'10_CLIENTI'!$A$5:$A$204,'13_VANZARI'!$A$5:$A$1004,"&gt;="&amp;'09_PARAMETRI'!$B$5,'13_VANZARI'!$A$5:$A$1004,"&lt;="&amp;'09_PARAMETRI'!$B$6)&lt;&gt;0)))</f>
        <v/>
      </c>
      <c r="L31" s="25">
        <f>IF($A31="","",IFERROR($K31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1" s="39">
        <f>IF($A31="","",IF(AND($D31&gt;0,$H31&lt;&gt;"",$H31&lt;'09_PARAMETRI'!$B$15),"Marjă sub referință",IF(AND($F31&lt;&gt;"",$F31&gt;='09_PARAMETRI'!$B$14,$L31&lt;0.3),"Creștere + penetrare mică",IF(AND($F31&lt;&gt;"",$F31&lt;='09_PARAMETRI'!$B$13),"Produs în scădere",IF($D31=0,"Fără vânzări","Stabil")))))</f>
        <v/>
      </c>
      <c r="N31" s="39">
        <f>IF($A31="","",IF($M31="Marjă sub referință","Marjă / preț",IF($M31="Creștere + penetrare mică","Creștere produs",IF($M31="Produs în scădere","Cross-sell",IF($M31="Fără vânzări","Proces / operațional","Cross-sell")))))</f>
        <v/>
      </c>
      <c r="O31" s="24">
        <f>IF($A31="","",IFERROR(IF($M31="Marjă sub referință",MAX(0,$D31*('09_PARAMETRI'!$B$15-$H31)),IF($M31="Creștere + penetrare mică",$D31*0.5,IF($M31="Produs în scădere",MAX(0,$E31-$D31),$D31*0.1))),""))</f>
        <v/>
      </c>
      <c r="P31" s="48">
        <f>IF(OR($A31="",$D31="",N($D31)&lt;=0),"",$D31+ROW()/1000000)</f>
        <v/>
      </c>
    </row>
    <row r="32">
      <c r="A32" s="39">
        <f>IF('11_PRODUSE'!$A32="","",'11_PRODUSE'!$A32)</f>
        <v/>
      </c>
      <c r="B32" s="39">
        <f>IF($A32="","",IFERROR(INDEX('11_PRODUSE'!$B$5:$B$104,MATCH($A32,'11_PRODUSE'!$A$5:$A$104,0)),""))</f>
        <v/>
      </c>
      <c r="C32" s="39">
        <f>IF($A32="","",IFERROR(INDEX('11_PRODUSE'!$C$5:$C$104,MATCH($A32,'11_PRODUSE'!$A$5:$A$104,0)),""))</f>
        <v/>
      </c>
      <c r="D32" s="24">
        <f>IF($A32="","",SUMIFS('13_VANZARI'!$H$5:$H$1004,'13_VANZARI'!$E$5:$E$1004,$A32,'13_VANZARI'!$A$5:$A$1004,"&gt;="&amp;'09_PARAMETRI'!$B$5,'13_VANZARI'!$A$5:$A$1004,"&lt;="&amp;'09_PARAMETRI'!$B$6))</f>
        <v/>
      </c>
      <c r="E32" s="24">
        <f>IF($A32="","",SUMIFS('13_VANZARI'!$H$5:$H$1004,'13_VANZARI'!$E$5:$E$1004,$A32,'13_VANZARI'!$A$5:$A$1004,"&gt;="&amp;'09_PARAMETRI'!$B$7,'13_VANZARI'!$A$5:$A$1004,"&lt;="&amp;'09_PARAMETRI'!$B$8))</f>
        <v/>
      </c>
      <c r="F32" s="25">
        <f>IF($A32="","",IFERROR(IF($E32=0,"",($D32-$E32)/ABS($E32)),""))</f>
        <v/>
      </c>
      <c r="G32" s="24">
        <f>IF($A32="","",SUMIFS('13_VANZARI'!$K$5:$K$1004,'13_VANZARI'!$E$5:$E$1004,$A32,'13_VANZARI'!$A$5:$A$1004,"&gt;="&amp;'09_PARAMETRI'!$B$5,'13_VANZARI'!$A$5:$A$1004,"&lt;="&amp;'09_PARAMETRI'!$B$6))</f>
        <v/>
      </c>
      <c r="H32" s="25">
        <f>IF($A32="","",IFERROR($G32/$D32,""))</f>
        <v/>
      </c>
      <c r="I32" s="24">
        <f>IF($A32="","",SUMIFS('13_VANZARI'!$G$5:$G$1004,'13_VANZARI'!$E$5:$E$1004,$A32,'13_VANZARI'!$A$5:$A$1004,"&gt;="&amp;'09_PARAMETRI'!$B$5,'13_VANZARI'!$A$5:$A$1004,"&lt;="&amp;'09_PARAMETRI'!$B$6))</f>
        <v/>
      </c>
      <c r="J32" s="48">
        <f>IF($A32="","",IFERROR($D32/$I32,""))</f>
        <v/>
      </c>
      <c r="K32" s="24">
        <f>IF($A32="","",SUMPRODUCT(('10_CLIENTI'!$A$5:$A$204&lt;&gt;"")*(SUMIFS('13_VANZARI'!$H$5:$H$1004,'13_VANZARI'!$E$5:$E$1004,$A32,'13_VANZARI'!$D$5:$D$1004,'10_CLIENTI'!$A$5:$A$204,'13_VANZARI'!$A$5:$A$1004,"&gt;="&amp;'09_PARAMETRI'!$B$5,'13_VANZARI'!$A$5:$A$1004,"&lt;="&amp;'09_PARAMETRI'!$B$6)&lt;&gt;0)))</f>
        <v/>
      </c>
      <c r="L32" s="25">
        <f>IF($A32="","",IFERROR($K32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2" s="39">
        <f>IF($A32="","",IF(AND($D32&gt;0,$H32&lt;&gt;"",$H32&lt;'09_PARAMETRI'!$B$15),"Marjă sub referință",IF(AND($F32&lt;&gt;"",$F32&gt;='09_PARAMETRI'!$B$14,$L32&lt;0.3),"Creștere + penetrare mică",IF(AND($F32&lt;&gt;"",$F32&lt;='09_PARAMETRI'!$B$13),"Produs în scădere",IF($D32=0,"Fără vânzări","Stabil")))))</f>
        <v/>
      </c>
      <c r="N32" s="39">
        <f>IF($A32="","",IF($M32="Marjă sub referință","Marjă / preț",IF($M32="Creștere + penetrare mică","Creștere produs",IF($M32="Produs în scădere","Cross-sell",IF($M32="Fără vânzări","Proces / operațional","Cross-sell")))))</f>
        <v/>
      </c>
      <c r="O32" s="24">
        <f>IF($A32="","",IFERROR(IF($M32="Marjă sub referință",MAX(0,$D32*('09_PARAMETRI'!$B$15-$H32)),IF($M32="Creștere + penetrare mică",$D32*0.5,IF($M32="Produs în scădere",MAX(0,$E32-$D32),$D32*0.1))),""))</f>
        <v/>
      </c>
      <c r="P32" s="48">
        <f>IF(OR($A32="",$D32="",N($D32)&lt;=0),"",$D32+ROW()/1000000)</f>
        <v/>
      </c>
    </row>
    <row r="33">
      <c r="A33" s="39">
        <f>IF('11_PRODUSE'!$A33="","",'11_PRODUSE'!$A33)</f>
        <v/>
      </c>
      <c r="B33" s="39">
        <f>IF($A33="","",IFERROR(INDEX('11_PRODUSE'!$B$5:$B$104,MATCH($A33,'11_PRODUSE'!$A$5:$A$104,0)),""))</f>
        <v/>
      </c>
      <c r="C33" s="39">
        <f>IF($A33="","",IFERROR(INDEX('11_PRODUSE'!$C$5:$C$104,MATCH($A33,'11_PRODUSE'!$A$5:$A$104,0)),""))</f>
        <v/>
      </c>
      <c r="D33" s="24">
        <f>IF($A33="","",SUMIFS('13_VANZARI'!$H$5:$H$1004,'13_VANZARI'!$E$5:$E$1004,$A33,'13_VANZARI'!$A$5:$A$1004,"&gt;="&amp;'09_PARAMETRI'!$B$5,'13_VANZARI'!$A$5:$A$1004,"&lt;="&amp;'09_PARAMETRI'!$B$6))</f>
        <v/>
      </c>
      <c r="E33" s="24">
        <f>IF($A33="","",SUMIFS('13_VANZARI'!$H$5:$H$1004,'13_VANZARI'!$E$5:$E$1004,$A33,'13_VANZARI'!$A$5:$A$1004,"&gt;="&amp;'09_PARAMETRI'!$B$7,'13_VANZARI'!$A$5:$A$1004,"&lt;="&amp;'09_PARAMETRI'!$B$8))</f>
        <v/>
      </c>
      <c r="F33" s="25">
        <f>IF($A33="","",IFERROR(IF($E33=0,"",($D33-$E33)/ABS($E33)),""))</f>
        <v/>
      </c>
      <c r="G33" s="24">
        <f>IF($A33="","",SUMIFS('13_VANZARI'!$K$5:$K$1004,'13_VANZARI'!$E$5:$E$1004,$A33,'13_VANZARI'!$A$5:$A$1004,"&gt;="&amp;'09_PARAMETRI'!$B$5,'13_VANZARI'!$A$5:$A$1004,"&lt;="&amp;'09_PARAMETRI'!$B$6))</f>
        <v/>
      </c>
      <c r="H33" s="25">
        <f>IF($A33="","",IFERROR($G33/$D33,""))</f>
        <v/>
      </c>
      <c r="I33" s="24">
        <f>IF($A33="","",SUMIFS('13_VANZARI'!$G$5:$G$1004,'13_VANZARI'!$E$5:$E$1004,$A33,'13_VANZARI'!$A$5:$A$1004,"&gt;="&amp;'09_PARAMETRI'!$B$5,'13_VANZARI'!$A$5:$A$1004,"&lt;="&amp;'09_PARAMETRI'!$B$6))</f>
        <v/>
      </c>
      <c r="J33" s="48">
        <f>IF($A33="","",IFERROR($D33/$I33,""))</f>
        <v/>
      </c>
      <c r="K33" s="24">
        <f>IF($A33="","",SUMPRODUCT(('10_CLIENTI'!$A$5:$A$204&lt;&gt;"")*(SUMIFS('13_VANZARI'!$H$5:$H$1004,'13_VANZARI'!$E$5:$E$1004,$A33,'13_VANZARI'!$D$5:$D$1004,'10_CLIENTI'!$A$5:$A$204,'13_VANZARI'!$A$5:$A$1004,"&gt;="&amp;'09_PARAMETRI'!$B$5,'13_VANZARI'!$A$5:$A$1004,"&lt;="&amp;'09_PARAMETRI'!$B$6)&lt;&gt;0)))</f>
        <v/>
      </c>
      <c r="L33" s="25">
        <f>IF($A33="","",IFERROR($K33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3" s="39">
        <f>IF($A33="","",IF(AND($D33&gt;0,$H33&lt;&gt;"",$H33&lt;'09_PARAMETRI'!$B$15),"Marjă sub referință",IF(AND($F33&lt;&gt;"",$F33&gt;='09_PARAMETRI'!$B$14,$L33&lt;0.3),"Creștere + penetrare mică",IF(AND($F33&lt;&gt;"",$F33&lt;='09_PARAMETRI'!$B$13),"Produs în scădere",IF($D33=0,"Fără vânzări","Stabil")))))</f>
        <v/>
      </c>
      <c r="N33" s="39">
        <f>IF($A33="","",IF($M33="Marjă sub referință","Marjă / preț",IF($M33="Creștere + penetrare mică","Creștere produs",IF($M33="Produs în scădere","Cross-sell",IF($M33="Fără vânzări","Proces / operațional","Cross-sell")))))</f>
        <v/>
      </c>
      <c r="O33" s="24">
        <f>IF($A33="","",IFERROR(IF($M33="Marjă sub referință",MAX(0,$D33*('09_PARAMETRI'!$B$15-$H33)),IF($M33="Creștere + penetrare mică",$D33*0.5,IF($M33="Produs în scădere",MAX(0,$E33-$D33),$D33*0.1))),""))</f>
        <v/>
      </c>
      <c r="P33" s="48">
        <f>IF(OR($A33="",$D33="",N($D33)&lt;=0),"",$D33+ROW()/1000000)</f>
        <v/>
      </c>
    </row>
    <row r="34">
      <c r="A34" s="39">
        <f>IF('11_PRODUSE'!$A34="","",'11_PRODUSE'!$A34)</f>
        <v/>
      </c>
      <c r="B34" s="39">
        <f>IF($A34="","",IFERROR(INDEX('11_PRODUSE'!$B$5:$B$104,MATCH($A34,'11_PRODUSE'!$A$5:$A$104,0)),""))</f>
        <v/>
      </c>
      <c r="C34" s="39">
        <f>IF($A34="","",IFERROR(INDEX('11_PRODUSE'!$C$5:$C$104,MATCH($A34,'11_PRODUSE'!$A$5:$A$104,0)),""))</f>
        <v/>
      </c>
      <c r="D34" s="24">
        <f>IF($A34="","",SUMIFS('13_VANZARI'!$H$5:$H$1004,'13_VANZARI'!$E$5:$E$1004,$A34,'13_VANZARI'!$A$5:$A$1004,"&gt;="&amp;'09_PARAMETRI'!$B$5,'13_VANZARI'!$A$5:$A$1004,"&lt;="&amp;'09_PARAMETRI'!$B$6))</f>
        <v/>
      </c>
      <c r="E34" s="24">
        <f>IF($A34="","",SUMIFS('13_VANZARI'!$H$5:$H$1004,'13_VANZARI'!$E$5:$E$1004,$A34,'13_VANZARI'!$A$5:$A$1004,"&gt;="&amp;'09_PARAMETRI'!$B$7,'13_VANZARI'!$A$5:$A$1004,"&lt;="&amp;'09_PARAMETRI'!$B$8))</f>
        <v/>
      </c>
      <c r="F34" s="25">
        <f>IF($A34="","",IFERROR(IF($E34=0,"",($D34-$E34)/ABS($E34)),""))</f>
        <v/>
      </c>
      <c r="G34" s="24">
        <f>IF($A34="","",SUMIFS('13_VANZARI'!$K$5:$K$1004,'13_VANZARI'!$E$5:$E$1004,$A34,'13_VANZARI'!$A$5:$A$1004,"&gt;="&amp;'09_PARAMETRI'!$B$5,'13_VANZARI'!$A$5:$A$1004,"&lt;="&amp;'09_PARAMETRI'!$B$6))</f>
        <v/>
      </c>
      <c r="H34" s="25">
        <f>IF($A34="","",IFERROR($G34/$D34,""))</f>
        <v/>
      </c>
      <c r="I34" s="24">
        <f>IF($A34="","",SUMIFS('13_VANZARI'!$G$5:$G$1004,'13_VANZARI'!$E$5:$E$1004,$A34,'13_VANZARI'!$A$5:$A$1004,"&gt;="&amp;'09_PARAMETRI'!$B$5,'13_VANZARI'!$A$5:$A$1004,"&lt;="&amp;'09_PARAMETRI'!$B$6))</f>
        <v/>
      </c>
      <c r="J34" s="48">
        <f>IF($A34="","",IFERROR($D34/$I34,""))</f>
        <v/>
      </c>
      <c r="K34" s="24">
        <f>IF($A34="","",SUMPRODUCT(('10_CLIENTI'!$A$5:$A$204&lt;&gt;"")*(SUMIFS('13_VANZARI'!$H$5:$H$1004,'13_VANZARI'!$E$5:$E$1004,$A34,'13_VANZARI'!$D$5:$D$1004,'10_CLIENTI'!$A$5:$A$204,'13_VANZARI'!$A$5:$A$1004,"&gt;="&amp;'09_PARAMETRI'!$B$5,'13_VANZARI'!$A$5:$A$1004,"&lt;="&amp;'09_PARAMETRI'!$B$6)&lt;&gt;0)))</f>
        <v/>
      </c>
      <c r="L34" s="25">
        <f>IF($A34="","",IFERROR($K34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4" s="39">
        <f>IF($A34="","",IF(AND($D34&gt;0,$H34&lt;&gt;"",$H34&lt;'09_PARAMETRI'!$B$15),"Marjă sub referință",IF(AND($F34&lt;&gt;"",$F34&gt;='09_PARAMETRI'!$B$14,$L34&lt;0.3),"Creștere + penetrare mică",IF(AND($F34&lt;&gt;"",$F34&lt;='09_PARAMETRI'!$B$13),"Produs în scădere",IF($D34=0,"Fără vânzări","Stabil")))))</f>
        <v/>
      </c>
      <c r="N34" s="39">
        <f>IF($A34="","",IF($M34="Marjă sub referință","Marjă / preț",IF($M34="Creștere + penetrare mică","Creștere produs",IF($M34="Produs în scădere","Cross-sell",IF($M34="Fără vânzări","Proces / operațional","Cross-sell")))))</f>
        <v/>
      </c>
      <c r="O34" s="24">
        <f>IF($A34="","",IFERROR(IF($M34="Marjă sub referință",MAX(0,$D34*('09_PARAMETRI'!$B$15-$H34)),IF($M34="Creștere + penetrare mică",$D34*0.5,IF($M34="Produs în scădere",MAX(0,$E34-$D34),$D34*0.1))),""))</f>
        <v/>
      </c>
      <c r="P34" s="48">
        <f>IF(OR($A34="",$D34="",N($D34)&lt;=0),"",$D34+ROW()/1000000)</f>
        <v/>
      </c>
    </row>
    <row r="35">
      <c r="A35" s="39">
        <f>IF('11_PRODUSE'!$A35="","",'11_PRODUSE'!$A35)</f>
        <v/>
      </c>
      <c r="B35" s="39">
        <f>IF($A35="","",IFERROR(INDEX('11_PRODUSE'!$B$5:$B$104,MATCH($A35,'11_PRODUSE'!$A$5:$A$104,0)),""))</f>
        <v/>
      </c>
      <c r="C35" s="39">
        <f>IF($A35="","",IFERROR(INDEX('11_PRODUSE'!$C$5:$C$104,MATCH($A35,'11_PRODUSE'!$A$5:$A$104,0)),""))</f>
        <v/>
      </c>
      <c r="D35" s="24">
        <f>IF($A35="","",SUMIFS('13_VANZARI'!$H$5:$H$1004,'13_VANZARI'!$E$5:$E$1004,$A35,'13_VANZARI'!$A$5:$A$1004,"&gt;="&amp;'09_PARAMETRI'!$B$5,'13_VANZARI'!$A$5:$A$1004,"&lt;="&amp;'09_PARAMETRI'!$B$6))</f>
        <v/>
      </c>
      <c r="E35" s="24">
        <f>IF($A35="","",SUMIFS('13_VANZARI'!$H$5:$H$1004,'13_VANZARI'!$E$5:$E$1004,$A35,'13_VANZARI'!$A$5:$A$1004,"&gt;="&amp;'09_PARAMETRI'!$B$7,'13_VANZARI'!$A$5:$A$1004,"&lt;="&amp;'09_PARAMETRI'!$B$8))</f>
        <v/>
      </c>
      <c r="F35" s="25">
        <f>IF($A35="","",IFERROR(IF($E35=0,"",($D35-$E35)/ABS($E35)),""))</f>
        <v/>
      </c>
      <c r="G35" s="24">
        <f>IF($A35="","",SUMIFS('13_VANZARI'!$K$5:$K$1004,'13_VANZARI'!$E$5:$E$1004,$A35,'13_VANZARI'!$A$5:$A$1004,"&gt;="&amp;'09_PARAMETRI'!$B$5,'13_VANZARI'!$A$5:$A$1004,"&lt;="&amp;'09_PARAMETRI'!$B$6))</f>
        <v/>
      </c>
      <c r="H35" s="25">
        <f>IF($A35="","",IFERROR($G35/$D35,""))</f>
        <v/>
      </c>
      <c r="I35" s="24">
        <f>IF($A35="","",SUMIFS('13_VANZARI'!$G$5:$G$1004,'13_VANZARI'!$E$5:$E$1004,$A35,'13_VANZARI'!$A$5:$A$1004,"&gt;="&amp;'09_PARAMETRI'!$B$5,'13_VANZARI'!$A$5:$A$1004,"&lt;="&amp;'09_PARAMETRI'!$B$6))</f>
        <v/>
      </c>
      <c r="J35" s="48">
        <f>IF($A35="","",IFERROR($D35/$I35,""))</f>
        <v/>
      </c>
      <c r="K35" s="24">
        <f>IF($A35="","",SUMPRODUCT(('10_CLIENTI'!$A$5:$A$204&lt;&gt;"")*(SUMIFS('13_VANZARI'!$H$5:$H$1004,'13_VANZARI'!$E$5:$E$1004,$A35,'13_VANZARI'!$D$5:$D$1004,'10_CLIENTI'!$A$5:$A$204,'13_VANZARI'!$A$5:$A$1004,"&gt;="&amp;'09_PARAMETRI'!$B$5,'13_VANZARI'!$A$5:$A$1004,"&lt;="&amp;'09_PARAMETRI'!$B$6)&lt;&gt;0)))</f>
        <v/>
      </c>
      <c r="L35" s="25">
        <f>IF($A35="","",IFERROR($K35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5" s="39">
        <f>IF($A35="","",IF(AND($D35&gt;0,$H35&lt;&gt;"",$H35&lt;'09_PARAMETRI'!$B$15),"Marjă sub referință",IF(AND($F35&lt;&gt;"",$F35&gt;='09_PARAMETRI'!$B$14,$L35&lt;0.3),"Creștere + penetrare mică",IF(AND($F35&lt;&gt;"",$F35&lt;='09_PARAMETRI'!$B$13),"Produs în scădere",IF($D35=0,"Fără vânzări","Stabil")))))</f>
        <v/>
      </c>
      <c r="N35" s="39">
        <f>IF($A35="","",IF($M35="Marjă sub referință","Marjă / preț",IF($M35="Creștere + penetrare mică","Creștere produs",IF($M35="Produs în scădere","Cross-sell",IF($M35="Fără vânzări","Proces / operațional","Cross-sell")))))</f>
        <v/>
      </c>
      <c r="O35" s="24">
        <f>IF($A35="","",IFERROR(IF($M35="Marjă sub referință",MAX(0,$D35*('09_PARAMETRI'!$B$15-$H35)),IF($M35="Creștere + penetrare mică",$D35*0.5,IF($M35="Produs în scădere",MAX(0,$E35-$D35),$D35*0.1))),""))</f>
        <v/>
      </c>
      <c r="P35" s="48">
        <f>IF(OR($A35="",$D35="",N($D35)&lt;=0),"",$D35+ROW()/1000000)</f>
        <v/>
      </c>
    </row>
    <row r="36">
      <c r="A36" s="39">
        <f>IF('11_PRODUSE'!$A36="","",'11_PRODUSE'!$A36)</f>
        <v/>
      </c>
      <c r="B36" s="39">
        <f>IF($A36="","",IFERROR(INDEX('11_PRODUSE'!$B$5:$B$104,MATCH($A36,'11_PRODUSE'!$A$5:$A$104,0)),""))</f>
        <v/>
      </c>
      <c r="C36" s="39">
        <f>IF($A36="","",IFERROR(INDEX('11_PRODUSE'!$C$5:$C$104,MATCH($A36,'11_PRODUSE'!$A$5:$A$104,0)),""))</f>
        <v/>
      </c>
      <c r="D36" s="24">
        <f>IF($A36="","",SUMIFS('13_VANZARI'!$H$5:$H$1004,'13_VANZARI'!$E$5:$E$1004,$A36,'13_VANZARI'!$A$5:$A$1004,"&gt;="&amp;'09_PARAMETRI'!$B$5,'13_VANZARI'!$A$5:$A$1004,"&lt;="&amp;'09_PARAMETRI'!$B$6))</f>
        <v/>
      </c>
      <c r="E36" s="24">
        <f>IF($A36="","",SUMIFS('13_VANZARI'!$H$5:$H$1004,'13_VANZARI'!$E$5:$E$1004,$A36,'13_VANZARI'!$A$5:$A$1004,"&gt;="&amp;'09_PARAMETRI'!$B$7,'13_VANZARI'!$A$5:$A$1004,"&lt;="&amp;'09_PARAMETRI'!$B$8))</f>
        <v/>
      </c>
      <c r="F36" s="25">
        <f>IF($A36="","",IFERROR(IF($E36=0,"",($D36-$E36)/ABS($E36)),""))</f>
        <v/>
      </c>
      <c r="G36" s="24">
        <f>IF($A36="","",SUMIFS('13_VANZARI'!$K$5:$K$1004,'13_VANZARI'!$E$5:$E$1004,$A36,'13_VANZARI'!$A$5:$A$1004,"&gt;="&amp;'09_PARAMETRI'!$B$5,'13_VANZARI'!$A$5:$A$1004,"&lt;="&amp;'09_PARAMETRI'!$B$6))</f>
        <v/>
      </c>
      <c r="H36" s="25">
        <f>IF($A36="","",IFERROR($G36/$D36,""))</f>
        <v/>
      </c>
      <c r="I36" s="24">
        <f>IF($A36="","",SUMIFS('13_VANZARI'!$G$5:$G$1004,'13_VANZARI'!$E$5:$E$1004,$A36,'13_VANZARI'!$A$5:$A$1004,"&gt;="&amp;'09_PARAMETRI'!$B$5,'13_VANZARI'!$A$5:$A$1004,"&lt;="&amp;'09_PARAMETRI'!$B$6))</f>
        <v/>
      </c>
      <c r="J36" s="48">
        <f>IF($A36="","",IFERROR($D36/$I36,""))</f>
        <v/>
      </c>
      <c r="K36" s="24">
        <f>IF($A36="","",SUMPRODUCT(('10_CLIENTI'!$A$5:$A$204&lt;&gt;"")*(SUMIFS('13_VANZARI'!$H$5:$H$1004,'13_VANZARI'!$E$5:$E$1004,$A36,'13_VANZARI'!$D$5:$D$1004,'10_CLIENTI'!$A$5:$A$204,'13_VANZARI'!$A$5:$A$1004,"&gt;="&amp;'09_PARAMETRI'!$B$5,'13_VANZARI'!$A$5:$A$1004,"&lt;="&amp;'09_PARAMETRI'!$B$6)&lt;&gt;0)))</f>
        <v/>
      </c>
      <c r="L36" s="25">
        <f>IF($A36="","",IFERROR($K36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6" s="39">
        <f>IF($A36="","",IF(AND($D36&gt;0,$H36&lt;&gt;"",$H36&lt;'09_PARAMETRI'!$B$15),"Marjă sub referință",IF(AND($F36&lt;&gt;"",$F36&gt;='09_PARAMETRI'!$B$14,$L36&lt;0.3),"Creștere + penetrare mică",IF(AND($F36&lt;&gt;"",$F36&lt;='09_PARAMETRI'!$B$13),"Produs în scădere",IF($D36=0,"Fără vânzări","Stabil")))))</f>
        <v/>
      </c>
      <c r="N36" s="39">
        <f>IF($A36="","",IF($M36="Marjă sub referință","Marjă / preț",IF($M36="Creștere + penetrare mică","Creștere produs",IF($M36="Produs în scădere","Cross-sell",IF($M36="Fără vânzări","Proces / operațional","Cross-sell")))))</f>
        <v/>
      </c>
      <c r="O36" s="24">
        <f>IF($A36="","",IFERROR(IF($M36="Marjă sub referință",MAX(0,$D36*('09_PARAMETRI'!$B$15-$H36)),IF($M36="Creștere + penetrare mică",$D36*0.5,IF($M36="Produs în scădere",MAX(0,$E36-$D36),$D36*0.1))),""))</f>
        <v/>
      </c>
      <c r="P36" s="48">
        <f>IF(OR($A36="",$D36="",N($D36)&lt;=0),"",$D36+ROW()/1000000)</f>
        <v/>
      </c>
    </row>
    <row r="37">
      <c r="A37" s="39">
        <f>IF('11_PRODUSE'!$A37="","",'11_PRODUSE'!$A37)</f>
        <v/>
      </c>
      <c r="B37" s="39">
        <f>IF($A37="","",IFERROR(INDEX('11_PRODUSE'!$B$5:$B$104,MATCH($A37,'11_PRODUSE'!$A$5:$A$104,0)),""))</f>
        <v/>
      </c>
      <c r="C37" s="39">
        <f>IF($A37="","",IFERROR(INDEX('11_PRODUSE'!$C$5:$C$104,MATCH($A37,'11_PRODUSE'!$A$5:$A$104,0)),""))</f>
        <v/>
      </c>
      <c r="D37" s="24">
        <f>IF($A37="","",SUMIFS('13_VANZARI'!$H$5:$H$1004,'13_VANZARI'!$E$5:$E$1004,$A37,'13_VANZARI'!$A$5:$A$1004,"&gt;="&amp;'09_PARAMETRI'!$B$5,'13_VANZARI'!$A$5:$A$1004,"&lt;="&amp;'09_PARAMETRI'!$B$6))</f>
        <v/>
      </c>
      <c r="E37" s="24">
        <f>IF($A37="","",SUMIFS('13_VANZARI'!$H$5:$H$1004,'13_VANZARI'!$E$5:$E$1004,$A37,'13_VANZARI'!$A$5:$A$1004,"&gt;="&amp;'09_PARAMETRI'!$B$7,'13_VANZARI'!$A$5:$A$1004,"&lt;="&amp;'09_PARAMETRI'!$B$8))</f>
        <v/>
      </c>
      <c r="F37" s="25">
        <f>IF($A37="","",IFERROR(IF($E37=0,"",($D37-$E37)/ABS($E37)),""))</f>
        <v/>
      </c>
      <c r="G37" s="24">
        <f>IF($A37="","",SUMIFS('13_VANZARI'!$K$5:$K$1004,'13_VANZARI'!$E$5:$E$1004,$A37,'13_VANZARI'!$A$5:$A$1004,"&gt;="&amp;'09_PARAMETRI'!$B$5,'13_VANZARI'!$A$5:$A$1004,"&lt;="&amp;'09_PARAMETRI'!$B$6))</f>
        <v/>
      </c>
      <c r="H37" s="25">
        <f>IF($A37="","",IFERROR($G37/$D37,""))</f>
        <v/>
      </c>
      <c r="I37" s="24">
        <f>IF($A37="","",SUMIFS('13_VANZARI'!$G$5:$G$1004,'13_VANZARI'!$E$5:$E$1004,$A37,'13_VANZARI'!$A$5:$A$1004,"&gt;="&amp;'09_PARAMETRI'!$B$5,'13_VANZARI'!$A$5:$A$1004,"&lt;="&amp;'09_PARAMETRI'!$B$6))</f>
        <v/>
      </c>
      <c r="J37" s="48">
        <f>IF($A37="","",IFERROR($D37/$I37,""))</f>
        <v/>
      </c>
      <c r="K37" s="24">
        <f>IF($A37="","",SUMPRODUCT(('10_CLIENTI'!$A$5:$A$204&lt;&gt;"")*(SUMIFS('13_VANZARI'!$H$5:$H$1004,'13_VANZARI'!$E$5:$E$1004,$A37,'13_VANZARI'!$D$5:$D$1004,'10_CLIENTI'!$A$5:$A$204,'13_VANZARI'!$A$5:$A$1004,"&gt;="&amp;'09_PARAMETRI'!$B$5,'13_VANZARI'!$A$5:$A$1004,"&lt;="&amp;'09_PARAMETRI'!$B$6)&lt;&gt;0)))</f>
        <v/>
      </c>
      <c r="L37" s="25">
        <f>IF($A37="","",IFERROR($K37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7" s="39">
        <f>IF($A37="","",IF(AND($D37&gt;0,$H37&lt;&gt;"",$H37&lt;'09_PARAMETRI'!$B$15),"Marjă sub referință",IF(AND($F37&lt;&gt;"",$F37&gt;='09_PARAMETRI'!$B$14,$L37&lt;0.3),"Creștere + penetrare mică",IF(AND($F37&lt;&gt;"",$F37&lt;='09_PARAMETRI'!$B$13),"Produs în scădere",IF($D37=0,"Fără vânzări","Stabil")))))</f>
        <v/>
      </c>
      <c r="N37" s="39">
        <f>IF($A37="","",IF($M37="Marjă sub referință","Marjă / preț",IF($M37="Creștere + penetrare mică","Creștere produs",IF($M37="Produs în scădere","Cross-sell",IF($M37="Fără vânzări","Proces / operațional","Cross-sell")))))</f>
        <v/>
      </c>
      <c r="O37" s="24">
        <f>IF($A37="","",IFERROR(IF($M37="Marjă sub referință",MAX(0,$D37*('09_PARAMETRI'!$B$15-$H37)),IF($M37="Creștere + penetrare mică",$D37*0.5,IF($M37="Produs în scădere",MAX(0,$E37-$D37),$D37*0.1))),""))</f>
        <v/>
      </c>
      <c r="P37" s="48">
        <f>IF(OR($A37="",$D37="",N($D37)&lt;=0),"",$D37+ROW()/1000000)</f>
        <v/>
      </c>
    </row>
    <row r="38">
      <c r="A38" s="39">
        <f>IF('11_PRODUSE'!$A38="","",'11_PRODUSE'!$A38)</f>
        <v/>
      </c>
      <c r="B38" s="39">
        <f>IF($A38="","",IFERROR(INDEX('11_PRODUSE'!$B$5:$B$104,MATCH($A38,'11_PRODUSE'!$A$5:$A$104,0)),""))</f>
        <v/>
      </c>
      <c r="C38" s="39">
        <f>IF($A38="","",IFERROR(INDEX('11_PRODUSE'!$C$5:$C$104,MATCH($A38,'11_PRODUSE'!$A$5:$A$104,0)),""))</f>
        <v/>
      </c>
      <c r="D38" s="24">
        <f>IF($A38="","",SUMIFS('13_VANZARI'!$H$5:$H$1004,'13_VANZARI'!$E$5:$E$1004,$A38,'13_VANZARI'!$A$5:$A$1004,"&gt;="&amp;'09_PARAMETRI'!$B$5,'13_VANZARI'!$A$5:$A$1004,"&lt;="&amp;'09_PARAMETRI'!$B$6))</f>
        <v/>
      </c>
      <c r="E38" s="24">
        <f>IF($A38="","",SUMIFS('13_VANZARI'!$H$5:$H$1004,'13_VANZARI'!$E$5:$E$1004,$A38,'13_VANZARI'!$A$5:$A$1004,"&gt;="&amp;'09_PARAMETRI'!$B$7,'13_VANZARI'!$A$5:$A$1004,"&lt;="&amp;'09_PARAMETRI'!$B$8))</f>
        <v/>
      </c>
      <c r="F38" s="25">
        <f>IF($A38="","",IFERROR(IF($E38=0,"",($D38-$E38)/ABS($E38)),""))</f>
        <v/>
      </c>
      <c r="G38" s="24">
        <f>IF($A38="","",SUMIFS('13_VANZARI'!$K$5:$K$1004,'13_VANZARI'!$E$5:$E$1004,$A38,'13_VANZARI'!$A$5:$A$1004,"&gt;="&amp;'09_PARAMETRI'!$B$5,'13_VANZARI'!$A$5:$A$1004,"&lt;="&amp;'09_PARAMETRI'!$B$6))</f>
        <v/>
      </c>
      <c r="H38" s="25">
        <f>IF($A38="","",IFERROR($G38/$D38,""))</f>
        <v/>
      </c>
      <c r="I38" s="24">
        <f>IF($A38="","",SUMIFS('13_VANZARI'!$G$5:$G$1004,'13_VANZARI'!$E$5:$E$1004,$A38,'13_VANZARI'!$A$5:$A$1004,"&gt;="&amp;'09_PARAMETRI'!$B$5,'13_VANZARI'!$A$5:$A$1004,"&lt;="&amp;'09_PARAMETRI'!$B$6))</f>
        <v/>
      </c>
      <c r="J38" s="48">
        <f>IF($A38="","",IFERROR($D38/$I38,""))</f>
        <v/>
      </c>
      <c r="K38" s="24">
        <f>IF($A38="","",SUMPRODUCT(('10_CLIENTI'!$A$5:$A$204&lt;&gt;"")*(SUMIFS('13_VANZARI'!$H$5:$H$1004,'13_VANZARI'!$E$5:$E$1004,$A38,'13_VANZARI'!$D$5:$D$1004,'10_CLIENTI'!$A$5:$A$204,'13_VANZARI'!$A$5:$A$1004,"&gt;="&amp;'09_PARAMETRI'!$B$5,'13_VANZARI'!$A$5:$A$1004,"&lt;="&amp;'09_PARAMETRI'!$B$6)&lt;&gt;0)))</f>
        <v/>
      </c>
      <c r="L38" s="25">
        <f>IF($A38="","",IFERROR($K38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8" s="39">
        <f>IF($A38="","",IF(AND($D38&gt;0,$H38&lt;&gt;"",$H38&lt;'09_PARAMETRI'!$B$15),"Marjă sub referință",IF(AND($F38&lt;&gt;"",$F38&gt;='09_PARAMETRI'!$B$14,$L38&lt;0.3),"Creștere + penetrare mică",IF(AND($F38&lt;&gt;"",$F38&lt;='09_PARAMETRI'!$B$13),"Produs în scădere",IF($D38=0,"Fără vânzări","Stabil")))))</f>
        <v/>
      </c>
      <c r="N38" s="39">
        <f>IF($A38="","",IF($M38="Marjă sub referință","Marjă / preț",IF($M38="Creștere + penetrare mică","Creștere produs",IF($M38="Produs în scădere","Cross-sell",IF($M38="Fără vânzări","Proces / operațional","Cross-sell")))))</f>
        <v/>
      </c>
      <c r="O38" s="24">
        <f>IF($A38="","",IFERROR(IF($M38="Marjă sub referință",MAX(0,$D38*('09_PARAMETRI'!$B$15-$H38)),IF($M38="Creștere + penetrare mică",$D38*0.5,IF($M38="Produs în scădere",MAX(0,$E38-$D38),$D38*0.1))),""))</f>
        <v/>
      </c>
      <c r="P38" s="48">
        <f>IF(OR($A38="",$D38="",N($D38)&lt;=0),"",$D38+ROW()/1000000)</f>
        <v/>
      </c>
    </row>
    <row r="39">
      <c r="A39" s="39">
        <f>IF('11_PRODUSE'!$A39="","",'11_PRODUSE'!$A39)</f>
        <v/>
      </c>
      <c r="B39" s="39">
        <f>IF($A39="","",IFERROR(INDEX('11_PRODUSE'!$B$5:$B$104,MATCH($A39,'11_PRODUSE'!$A$5:$A$104,0)),""))</f>
        <v/>
      </c>
      <c r="C39" s="39">
        <f>IF($A39="","",IFERROR(INDEX('11_PRODUSE'!$C$5:$C$104,MATCH($A39,'11_PRODUSE'!$A$5:$A$104,0)),""))</f>
        <v/>
      </c>
      <c r="D39" s="24">
        <f>IF($A39="","",SUMIFS('13_VANZARI'!$H$5:$H$1004,'13_VANZARI'!$E$5:$E$1004,$A39,'13_VANZARI'!$A$5:$A$1004,"&gt;="&amp;'09_PARAMETRI'!$B$5,'13_VANZARI'!$A$5:$A$1004,"&lt;="&amp;'09_PARAMETRI'!$B$6))</f>
        <v/>
      </c>
      <c r="E39" s="24">
        <f>IF($A39="","",SUMIFS('13_VANZARI'!$H$5:$H$1004,'13_VANZARI'!$E$5:$E$1004,$A39,'13_VANZARI'!$A$5:$A$1004,"&gt;="&amp;'09_PARAMETRI'!$B$7,'13_VANZARI'!$A$5:$A$1004,"&lt;="&amp;'09_PARAMETRI'!$B$8))</f>
        <v/>
      </c>
      <c r="F39" s="25">
        <f>IF($A39="","",IFERROR(IF($E39=0,"",($D39-$E39)/ABS($E39)),""))</f>
        <v/>
      </c>
      <c r="G39" s="24">
        <f>IF($A39="","",SUMIFS('13_VANZARI'!$K$5:$K$1004,'13_VANZARI'!$E$5:$E$1004,$A39,'13_VANZARI'!$A$5:$A$1004,"&gt;="&amp;'09_PARAMETRI'!$B$5,'13_VANZARI'!$A$5:$A$1004,"&lt;="&amp;'09_PARAMETRI'!$B$6))</f>
        <v/>
      </c>
      <c r="H39" s="25">
        <f>IF($A39="","",IFERROR($G39/$D39,""))</f>
        <v/>
      </c>
      <c r="I39" s="24">
        <f>IF($A39="","",SUMIFS('13_VANZARI'!$G$5:$G$1004,'13_VANZARI'!$E$5:$E$1004,$A39,'13_VANZARI'!$A$5:$A$1004,"&gt;="&amp;'09_PARAMETRI'!$B$5,'13_VANZARI'!$A$5:$A$1004,"&lt;="&amp;'09_PARAMETRI'!$B$6))</f>
        <v/>
      </c>
      <c r="J39" s="48">
        <f>IF($A39="","",IFERROR($D39/$I39,""))</f>
        <v/>
      </c>
      <c r="K39" s="24">
        <f>IF($A39="","",SUMPRODUCT(('10_CLIENTI'!$A$5:$A$204&lt;&gt;"")*(SUMIFS('13_VANZARI'!$H$5:$H$1004,'13_VANZARI'!$E$5:$E$1004,$A39,'13_VANZARI'!$D$5:$D$1004,'10_CLIENTI'!$A$5:$A$204,'13_VANZARI'!$A$5:$A$1004,"&gt;="&amp;'09_PARAMETRI'!$B$5,'13_VANZARI'!$A$5:$A$1004,"&lt;="&amp;'09_PARAMETRI'!$B$6)&lt;&gt;0)))</f>
        <v/>
      </c>
      <c r="L39" s="25">
        <f>IF($A39="","",IFERROR($K39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39" s="39">
        <f>IF($A39="","",IF(AND($D39&gt;0,$H39&lt;&gt;"",$H39&lt;'09_PARAMETRI'!$B$15),"Marjă sub referință",IF(AND($F39&lt;&gt;"",$F39&gt;='09_PARAMETRI'!$B$14,$L39&lt;0.3),"Creștere + penetrare mică",IF(AND($F39&lt;&gt;"",$F39&lt;='09_PARAMETRI'!$B$13),"Produs în scădere",IF($D39=0,"Fără vânzări","Stabil")))))</f>
        <v/>
      </c>
      <c r="N39" s="39">
        <f>IF($A39="","",IF($M39="Marjă sub referință","Marjă / preț",IF($M39="Creștere + penetrare mică","Creștere produs",IF($M39="Produs în scădere","Cross-sell",IF($M39="Fără vânzări","Proces / operațional","Cross-sell")))))</f>
        <v/>
      </c>
      <c r="O39" s="24">
        <f>IF($A39="","",IFERROR(IF($M39="Marjă sub referință",MAX(0,$D39*('09_PARAMETRI'!$B$15-$H39)),IF($M39="Creștere + penetrare mică",$D39*0.5,IF($M39="Produs în scădere",MAX(0,$E39-$D39),$D39*0.1))),""))</f>
        <v/>
      </c>
      <c r="P39" s="48">
        <f>IF(OR($A39="",$D39="",N($D39)&lt;=0),"",$D39+ROW()/1000000)</f>
        <v/>
      </c>
    </row>
    <row r="40">
      <c r="A40" s="39">
        <f>IF('11_PRODUSE'!$A40="","",'11_PRODUSE'!$A40)</f>
        <v/>
      </c>
      <c r="B40" s="39">
        <f>IF($A40="","",IFERROR(INDEX('11_PRODUSE'!$B$5:$B$104,MATCH($A40,'11_PRODUSE'!$A$5:$A$104,0)),""))</f>
        <v/>
      </c>
      <c r="C40" s="39">
        <f>IF($A40="","",IFERROR(INDEX('11_PRODUSE'!$C$5:$C$104,MATCH($A40,'11_PRODUSE'!$A$5:$A$104,0)),""))</f>
        <v/>
      </c>
      <c r="D40" s="24">
        <f>IF($A40="","",SUMIFS('13_VANZARI'!$H$5:$H$1004,'13_VANZARI'!$E$5:$E$1004,$A40,'13_VANZARI'!$A$5:$A$1004,"&gt;="&amp;'09_PARAMETRI'!$B$5,'13_VANZARI'!$A$5:$A$1004,"&lt;="&amp;'09_PARAMETRI'!$B$6))</f>
        <v/>
      </c>
      <c r="E40" s="24">
        <f>IF($A40="","",SUMIFS('13_VANZARI'!$H$5:$H$1004,'13_VANZARI'!$E$5:$E$1004,$A40,'13_VANZARI'!$A$5:$A$1004,"&gt;="&amp;'09_PARAMETRI'!$B$7,'13_VANZARI'!$A$5:$A$1004,"&lt;="&amp;'09_PARAMETRI'!$B$8))</f>
        <v/>
      </c>
      <c r="F40" s="25">
        <f>IF($A40="","",IFERROR(IF($E40=0,"",($D40-$E40)/ABS($E40)),""))</f>
        <v/>
      </c>
      <c r="G40" s="24">
        <f>IF($A40="","",SUMIFS('13_VANZARI'!$K$5:$K$1004,'13_VANZARI'!$E$5:$E$1004,$A40,'13_VANZARI'!$A$5:$A$1004,"&gt;="&amp;'09_PARAMETRI'!$B$5,'13_VANZARI'!$A$5:$A$1004,"&lt;="&amp;'09_PARAMETRI'!$B$6))</f>
        <v/>
      </c>
      <c r="H40" s="25">
        <f>IF($A40="","",IFERROR($G40/$D40,""))</f>
        <v/>
      </c>
      <c r="I40" s="24">
        <f>IF($A40="","",SUMIFS('13_VANZARI'!$G$5:$G$1004,'13_VANZARI'!$E$5:$E$1004,$A40,'13_VANZARI'!$A$5:$A$1004,"&gt;="&amp;'09_PARAMETRI'!$B$5,'13_VANZARI'!$A$5:$A$1004,"&lt;="&amp;'09_PARAMETRI'!$B$6))</f>
        <v/>
      </c>
      <c r="J40" s="48">
        <f>IF($A40="","",IFERROR($D40/$I40,""))</f>
        <v/>
      </c>
      <c r="K40" s="24">
        <f>IF($A40="","",SUMPRODUCT(('10_CLIENTI'!$A$5:$A$204&lt;&gt;"")*(SUMIFS('13_VANZARI'!$H$5:$H$1004,'13_VANZARI'!$E$5:$E$1004,$A40,'13_VANZARI'!$D$5:$D$1004,'10_CLIENTI'!$A$5:$A$204,'13_VANZARI'!$A$5:$A$1004,"&gt;="&amp;'09_PARAMETRI'!$B$5,'13_VANZARI'!$A$5:$A$1004,"&lt;="&amp;'09_PARAMETRI'!$B$6)&lt;&gt;0)))</f>
        <v/>
      </c>
      <c r="L40" s="25">
        <f>IF($A40="","",IFERROR($K40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0" s="39">
        <f>IF($A40="","",IF(AND($D40&gt;0,$H40&lt;&gt;"",$H40&lt;'09_PARAMETRI'!$B$15),"Marjă sub referință",IF(AND($F40&lt;&gt;"",$F40&gt;='09_PARAMETRI'!$B$14,$L40&lt;0.3),"Creștere + penetrare mică",IF(AND($F40&lt;&gt;"",$F40&lt;='09_PARAMETRI'!$B$13),"Produs în scădere",IF($D40=0,"Fără vânzări","Stabil")))))</f>
        <v/>
      </c>
      <c r="N40" s="39">
        <f>IF($A40="","",IF($M40="Marjă sub referință","Marjă / preț",IF($M40="Creștere + penetrare mică","Creștere produs",IF($M40="Produs în scădere","Cross-sell",IF($M40="Fără vânzări","Proces / operațional","Cross-sell")))))</f>
        <v/>
      </c>
      <c r="O40" s="24">
        <f>IF($A40="","",IFERROR(IF($M40="Marjă sub referință",MAX(0,$D40*('09_PARAMETRI'!$B$15-$H40)),IF($M40="Creștere + penetrare mică",$D40*0.5,IF($M40="Produs în scădere",MAX(0,$E40-$D40),$D40*0.1))),""))</f>
        <v/>
      </c>
      <c r="P40" s="48">
        <f>IF(OR($A40="",$D40="",N($D40)&lt;=0),"",$D40+ROW()/1000000)</f>
        <v/>
      </c>
    </row>
    <row r="41">
      <c r="A41" s="39">
        <f>IF('11_PRODUSE'!$A41="","",'11_PRODUSE'!$A41)</f>
        <v/>
      </c>
      <c r="B41" s="39">
        <f>IF($A41="","",IFERROR(INDEX('11_PRODUSE'!$B$5:$B$104,MATCH($A41,'11_PRODUSE'!$A$5:$A$104,0)),""))</f>
        <v/>
      </c>
      <c r="C41" s="39">
        <f>IF($A41="","",IFERROR(INDEX('11_PRODUSE'!$C$5:$C$104,MATCH($A41,'11_PRODUSE'!$A$5:$A$104,0)),""))</f>
        <v/>
      </c>
      <c r="D41" s="24">
        <f>IF($A41="","",SUMIFS('13_VANZARI'!$H$5:$H$1004,'13_VANZARI'!$E$5:$E$1004,$A41,'13_VANZARI'!$A$5:$A$1004,"&gt;="&amp;'09_PARAMETRI'!$B$5,'13_VANZARI'!$A$5:$A$1004,"&lt;="&amp;'09_PARAMETRI'!$B$6))</f>
        <v/>
      </c>
      <c r="E41" s="24">
        <f>IF($A41="","",SUMIFS('13_VANZARI'!$H$5:$H$1004,'13_VANZARI'!$E$5:$E$1004,$A41,'13_VANZARI'!$A$5:$A$1004,"&gt;="&amp;'09_PARAMETRI'!$B$7,'13_VANZARI'!$A$5:$A$1004,"&lt;="&amp;'09_PARAMETRI'!$B$8))</f>
        <v/>
      </c>
      <c r="F41" s="25">
        <f>IF($A41="","",IFERROR(IF($E41=0,"",($D41-$E41)/ABS($E41)),""))</f>
        <v/>
      </c>
      <c r="G41" s="24">
        <f>IF($A41="","",SUMIFS('13_VANZARI'!$K$5:$K$1004,'13_VANZARI'!$E$5:$E$1004,$A41,'13_VANZARI'!$A$5:$A$1004,"&gt;="&amp;'09_PARAMETRI'!$B$5,'13_VANZARI'!$A$5:$A$1004,"&lt;="&amp;'09_PARAMETRI'!$B$6))</f>
        <v/>
      </c>
      <c r="H41" s="25">
        <f>IF($A41="","",IFERROR($G41/$D41,""))</f>
        <v/>
      </c>
      <c r="I41" s="24">
        <f>IF($A41="","",SUMIFS('13_VANZARI'!$G$5:$G$1004,'13_VANZARI'!$E$5:$E$1004,$A41,'13_VANZARI'!$A$5:$A$1004,"&gt;="&amp;'09_PARAMETRI'!$B$5,'13_VANZARI'!$A$5:$A$1004,"&lt;="&amp;'09_PARAMETRI'!$B$6))</f>
        <v/>
      </c>
      <c r="J41" s="48">
        <f>IF($A41="","",IFERROR($D41/$I41,""))</f>
        <v/>
      </c>
      <c r="K41" s="24">
        <f>IF($A41="","",SUMPRODUCT(('10_CLIENTI'!$A$5:$A$204&lt;&gt;"")*(SUMIFS('13_VANZARI'!$H$5:$H$1004,'13_VANZARI'!$E$5:$E$1004,$A41,'13_VANZARI'!$D$5:$D$1004,'10_CLIENTI'!$A$5:$A$204,'13_VANZARI'!$A$5:$A$1004,"&gt;="&amp;'09_PARAMETRI'!$B$5,'13_VANZARI'!$A$5:$A$1004,"&lt;="&amp;'09_PARAMETRI'!$B$6)&lt;&gt;0)))</f>
        <v/>
      </c>
      <c r="L41" s="25">
        <f>IF($A41="","",IFERROR($K41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1" s="39">
        <f>IF($A41="","",IF(AND($D41&gt;0,$H41&lt;&gt;"",$H41&lt;'09_PARAMETRI'!$B$15),"Marjă sub referință",IF(AND($F41&lt;&gt;"",$F41&gt;='09_PARAMETRI'!$B$14,$L41&lt;0.3),"Creștere + penetrare mică",IF(AND($F41&lt;&gt;"",$F41&lt;='09_PARAMETRI'!$B$13),"Produs în scădere",IF($D41=0,"Fără vânzări","Stabil")))))</f>
        <v/>
      </c>
      <c r="N41" s="39">
        <f>IF($A41="","",IF($M41="Marjă sub referință","Marjă / preț",IF($M41="Creștere + penetrare mică","Creștere produs",IF($M41="Produs în scădere","Cross-sell",IF($M41="Fără vânzări","Proces / operațional","Cross-sell")))))</f>
        <v/>
      </c>
      <c r="O41" s="24">
        <f>IF($A41="","",IFERROR(IF($M41="Marjă sub referință",MAX(0,$D41*('09_PARAMETRI'!$B$15-$H41)),IF($M41="Creștere + penetrare mică",$D41*0.5,IF($M41="Produs în scădere",MAX(0,$E41-$D41),$D41*0.1))),""))</f>
        <v/>
      </c>
      <c r="P41" s="48">
        <f>IF(OR($A41="",$D41="",N($D41)&lt;=0),"",$D41+ROW()/1000000)</f>
        <v/>
      </c>
    </row>
    <row r="42">
      <c r="A42" s="39">
        <f>IF('11_PRODUSE'!$A42="","",'11_PRODUSE'!$A42)</f>
        <v/>
      </c>
      <c r="B42" s="39">
        <f>IF($A42="","",IFERROR(INDEX('11_PRODUSE'!$B$5:$B$104,MATCH($A42,'11_PRODUSE'!$A$5:$A$104,0)),""))</f>
        <v/>
      </c>
      <c r="C42" s="39">
        <f>IF($A42="","",IFERROR(INDEX('11_PRODUSE'!$C$5:$C$104,MATCH($A42,'11_PRODUSE'!$A$5:$A$104,0)),""))</f>
        <v/>
      </c>
      <c r="D42" s="24">
        <f>IF($A42="","",SUMIFS('13_VANZARI'!$H$5:$H$1004,'13_VANZARI'!$E$5:$E$1004,$A42,'13_VANZARI'!$A$5:$A$1004,"&gt;="&amp;'09_PARAMETRI'!$B$5,'13_VANZARI'!$A$5:$A$1004,"&lt;="&amp;'09_PARAMETRI'!$B$6))</f>
        <v/>
      </c>
      <c r="E42" s="24">
        <f>IF($A42="","",SUMIFS('13_VANZARI'!$H$5:$H$1004,'13_VANZARI'!$E$5:$E$1004,$A42,'13_VANZARI'!$A$5:$A$1004,"&gt;="&amp;'09_PARAMETRI'!$B$7,'13_VANZARI'!$A$5:$A$1004,"&lt;="&amp;'09_PARAMETRI'!$B$8))</f>
        <v/>
      </c>
      <c r="F42" s="25">
        <f>IF($A42="","",IFERROR(IF($E42=0,"",($D42-$E42)/ABS($E42)),""))</f>
        <v/>
      </c>
      <c r="G42" s="24">
        <f>IF($A42="","",SUMIFS('13_VANZARI'!$K$5:$K$1004,'13_VANZARI'!$E$5:$E$1004,$A42,'13_VANZARI'!$A$5:$A$1004,"&gt;="&amp;'09_PARAMETRI'!$B$5,'13_VANZARI'!$A$5:$A$1004,"&lt;="&amp;'09_PARAMETRI'!$B$6))</f>
        <v/>
      </c>
      <c r="H42" s="25">
        <f>IF($A42="","",IFERROR($G42/$D42,""))</f>
        <v/>
      </c>
      <c r="I42" s="24">
        <f>IF($A42="","",SUMIFS('13_VANZARI'!$G$5:$G$1004,'13_VANZARI'!$E$5:$E$1004,$A42,'13_VANZARI'!$A$5:$A$1004,"&gt;="&amp;'09_PARAMETRI'!$B$5,'13_VANZARI'!$A$5:$A$1004,"&lt;="&amp;'09_PARAMETRI'!$B$6))</f>
        <v/>
      </c>
      <c r="J42" s="48">
        <f>IF($A42="","",IFERROR($D42/$I42,""))</f>
        <v/>
      </c>
      <c r="K42" s="24">
        <f>IF($A42="","",SUMPRODUCT(('10_CLIENTI'!$A$5:$A$204&lt;&gt;"")*(SUMIFS('13_VANZARI'!$H$5:$H$1004,'13_VANZARI'!$E$5:$E$1004,$A42,'13_VANZARI'!$D$5:$D$1004,'10_CLIENTI'!$A$5:$A$204,'13_VANZARI'!$A$5:$A$1004,"&gt;="&amp;'09_PARAMETRI'!$B$5,'13_VANZARI'!$A$5:$A$1004,"&lt;="&amp;'09_PARAMETRI'!$B$6)&lt;&gt;0)))</f>
        <v/>
      </c>
      <c r="L42" s="25">
        <f>IF($A42="","",IFERROR($K42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2" s="39">
        <f>IF($A42="","",IF(AND($D42&gt;0,$H42&lt;&gt;"",$H42&lt;'09_PARAMETRI'!$B$15),"Marjă sub referință",IF(AND($F42&lt;&gt;"",$F42&gt;='09_PARAMETRI'!$B$14,$L42&lt;0.3),"Creștere + penetrare mică",IF(AND($F42&lt;&gt;"",$F42&lt;='09_PARAMETRI'!$B$13),"Produs în scădere",IF($D42=0,"Fără vânzări","Stabil")))))</f>
        <v/>
      </c>
      <c r="N42" s="39">
        <f>IF($A42="","",IF($M42="Marjă sub referință","Marjă / preț",IF($M42="Creștere + penetrare mică","Creștere produs",IF($M42="Produs în scădere","Cross-sell",IF($M42="Fără vânzări","Proces / operațional","Cross-sell")))))</f>
        <v/>
      </c>
      <c r="O42" s="24">
        <f>IF($A42="","",IFERROR(IF($M42="Marjă sub referință",MAX(0,$D42*('09_PARAMETRI'!$B$15-$H42)),IF($M42="Creștere + penetrare mică",$D42*0.5,IF($M42="Produs în scădere",MAX(0,$E42-$D42),$D42*0.1))),""))</f>
        <v/>
      </c>
      <c r="P42" s="48">
        <f>IF(OR($A42="",$D42="",N($D42)&lt;=0),"",$D42+ROW()/1000000)</f>
        <v/>
      </c>
    </row>
    <row r="43">
      <c r="A43" s="39">
        <f>IF('11_PRODUSE'!$A43="","",'11_PRODUSE'!$A43)</f>
        <v/>
      </c>
      <c r="B43" s="39">
        <f>IF($A43="","",IFERROR(INDEX('11_PRODUSE'!$B$5:$B$104,MATCH($A43,'11_PRODUSE'!$A$5:$A$104,0)),""))</f>
        <v/>
      </c>
      <c r="C43" s="39">
        <f>IF($A43="","",IFERROR(INDEX('11_PRODUSE'!$C$5:$C$104,MATCH($A43,'11_PRODUSE'!$A$5:$A$104,0)),""))</f>
        <v/>
      </c>
      <c r="D43" s="24">
        <f>IF($A43="","",SUMIFS('13_VANZARI'!$H$5:$H$1004,'13_VANZARI'!$E$5:$E$1004,$A43,'13_VANZARI'!$A$5:$A$1004,"&gt;="&amp;'09_PARAMETRI'!$B$5,'13_VANZARI'!$A$5:$A$1004,"&lt;="&amp;'09_PARAMETRI'!$B$6))</f>
        <v/>
      </c>
      <c r="E43" s="24">
        <f>IF($A43="","",SUMIFS('13_VANZARI'!$H$5:$H$1004,'13_VANZARI'!$E$5:$E$1004,$A43,'13_VANZARI'!$A$5:$A$1004,"&gt;="&amp;'09_PARAMETRI'!$B$7,'13_VANZARI'!$A$5:$A$1004,"&lt;="&amp;'09_PARAMETRI'!$B$8))</f>
        <v/>
      </c>
      <c r="F43" s="25">
        <f>IF($A43="","",IFERROR(IF($E43=0,"",($D43-$E43)/ABS($E43)),""))</f>
        <v/>
      </c>
      <c r="G43" s="24">
        <f>IF($A43="","",SUMIFS('13_VANZARI'!$K$5:$K$1004,'13_VANZARI'!$E$5:$E$1004,$A43,'13_VANZARI'!$A$5:$A$1004,"&gt;="&amp;'09_PARAMETRI'!$B$5,'13_VANZARI'!$A$5:$A$1004,"&lt;="&amp;'09_PARAMETRI'!$B$6))</f>
        <v/>
      </c>
      <c r="H43" s="25">
        <f>IF($A43="","",IFERROR($G43/$D43,""))</f>
        <v/>
      </c>
      <c r="I43" s="24">
        <f>IF($A43="","",SUMIFS('13_VANZARI'!$G$5:$G$1004,'13_VANZARI'!$E$5:$E$1004,$A43,'13_VANZARI'!$A$5:$A$1004,"&gt;="&amp;'09_PARAMETRI'!$B$5,'13_VANZARI'!$A$5:$A$1004,"&lt;="&amp;'09_PARAMETRI'!$B$6))</f>
        <v/>
      </c>
      <c r="J43" s="48">
        <f>IF($A43="","",IFERROR($D43/$I43,""))</f>
        <v/>
      </c>
      <c r="K43" s="24">
        <f>IF($A43="","",SUMPRODUCT(('10_CLIENTI'!$A$5:$A$204&lt;&gt;"")*(SUMIFS('13_VANZARI'!$H$5:$H$1004,'13_VANZARI'!$E$5:$E$1004,$A43,'13_VANZARI'!$D$5:$D$1004,'10_CLIENTI'!$A$5:$A$204,'13_VANZARI'!$A$5:$A$1004,"&gt;="&amp;'09_PARAMETRI'!$B$5,'13_VANZARI'!$A$5:$A$1004,"&lt;="&amp;'09_PARAMETRI'!$B$6)&lt;&gt;0)))</f>
        <v/>
      </c>
      <c r="L43" s="25">
        <f>IF($A43="","",IFERROR($K43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3" s="39">
        <f>IF($A43="","",IF(AND($D43&gt;0,$H43&lt;&gt;"",$H43&lt;'09_PARAMETRI'!$B$15),"Marjă sub referință",IF(AND($F43&lt;&gt;"",$F43&gt;='09_PARAMETRI'!$B$14,$L43&lt;0.3),"Creștere + penetrare mică",IF(AND($F43&lt;&gt;"",$F43&lt;='09_PARAMETRI'!$B$13),"Produs în scădere",IF($D43=0,"Fără vânzări","Stabil")))))</f>
        <v/>
      </c>
      <c r="N43" s="39">
        <f>IF($A43="","",IF($M43="Marjă sub referință","Marjă / preț",IF($M43="Creștere + penetrare mică","Creștere produs",IF($M43="Produs în scădere","Cross-sell",IF($M43="Fără vânzări","Proces / operațional","Cross-sell")))))</f>
        <v/>
      </c>
      <c r="O43" s="24">
        <f>IF($A43="","",IFERROR(IF($M43="Marjă sub referință",MAX(0,$D43*('09_PARAMETRI'!$B$15-$H43)),IF($M43="Creștere + penetrare mică",$D43*0.5,IF($M43="Produs în scădere",MAX(0,$E43-$D43),$D43*0.1))),""))</f>
        <v/>
      </c>
      <c r="P43" s="48">
        <f>IF(OR($A43="",$D43="",N($D43)&lt;=0),"",$D43+ROW()/1000000)</f>
        <v/>
      </c>
    </row>
    <row r="44">
      <c r="A44" s="39">
        <f>IF('11_PRODUSE'!$A44="","",'11_PRODUSE'!$A44)</f>
        <v/>
      </c>
      <c r="B44" s="39">
        <f>IF($A44="","",IFERROR(INDEX('11_PRODUSE'!$B$5:$B$104,MATCH($A44,'11_PRODUSE'!$A$5:$A$104,0)),""))</f>
        <v/>
      </c>
      <c r="C44" s="39">
        <f>IF($A44="","",IFERROR(INDEX('11_PRODUSE'!$C$5:$C$104,MATCH($A44,'11_PRODUSE'!$A$5:$A$104,0)),""))</f>
        <v/>
      </c>
      <c r="D44" s="24">
        <f>IF($A44="","",SUMIFS('13_VANZARI'!$H$5:$H$1004,'13_VANZARI'!$E$5:$E$1004,$A44,'13_VANZARI'!$A$5:$A$1004,"&gt;="&amp;'09_PARAMETRI'!$B$5,'13_VANZARI'!$A$5:$A$1004,"&lt;="&amp;'09_PARAMETRI'!$B$6))</f>
        <v/>
      </c>
      <c r="E44" s="24">
        <f>IF($A44="","",SUMIFS('13_VANZARI'!$H$5:$H$1004,'13_VANZARI'!$E$5:$E$1004,$A44,'13_VANZARI'!$A$5:$A$1004,"&gt;="&amp;'09_PARAMETRI'!$B$7,'13_VANZARI'!$A$5:$A$1004,"&lt;="&amp;'09_PARAMETRI'!$B$8))</f>
        <v/>
      </c>
      <c r="F44" s="25">
        <f>IF($A44="","",IFERROR(IF($E44=0,"",($D44-$E44)/ABS($E44)),""))</f>
        <v/>
      </c>
      <c r="G44" s="24">
        <f>IF($A44="","",SUMIFS('13_VANZARI'!$K$5:$K$1004,'13_VANZARI'!$E$5:$E$1004,$A44,'13_VANZARI'!$A$5:$A$1004,"&gt;="&amp;'09_PARAMETRI'!$B$5,'13_VANZARI'!$A$5:$A$1004,"&lt;="&amp;'09_PARAMETRI'!$B$6))</f>
        <v/>
      </c>
      <c r="H44" s="25">
        <f>IF($A44="","",IFERROR($G44/$D44,""))</f>
        <v/>
      </c>
      <c r="I44" s="24">
        <f>IF($A44="","",SUMIFS('13_VANZARI'!$G$5:$G$1004,'13_VANZARI'!$E$5:$E$1004,$A44,'13_VANZARI'!$A$5:$A$1004,"&gt;="&amp;'09_PARAMETRI'!$B$5,'13_VANZARI'!$A$5:$A$1004,"&lt;="&amp;'09_PARAMETRI'!$B$6))</f>
        <v/>
      </c>
      <c r="J44" s="48">
        <f>IF($A44="","",IFERROR($D44/$I44,""))</f>
        <v/>
      </c>
      <c r="K44" s="24">
        <f>IF($A44="","",SUMPRODUCT(('10_CLIENTI'!$A$5:$A$204&lt;&gt;"")*(SUMIFS('13_VANZARI'!$H$5:$H$1004,'13_VANZARI'!$E$5:$E$1004,$A44,'13_VANZARI'!$D$5:$D$1004,'10_CLIENTI'!$A$5:$A$204,'13_VANZARI'!$A$5:$A$1004,"&gt;="&amp;'09_PARAMETRI'!$B$5,'13_VANZARI'!$A$5:$A$1004,"&lt;="&amp;'09_PARAMETRI'!$B$6)&lt;&gt;0)))</f>
        <v/>
      </c>
      <c r="L44" s="25">
        <f>IF($A44="","",IFERROR($K44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4" s="39">
        <f>IF($A44="","",IF(AND($D44&gt;0,$H44&lt;&gt;"",$H44&lt;'09_PARAMETRI'!$B$15),"Marjă sub referință",IF(AND($F44&lt;&gt;"",$F44&gt;='09_PARAMETRI'!$B$14,$L44&lt;0.3),"Creștere + penetrare mică",IF(AND($F44&lt;&gt;"",$F44&lt;='09_PARAMETRI'!$B$13),"Produs în scădere",IF($D44=0,"Fără vânzări","Stabil")))))</f>
        <v/>
      </c>
      <c r="N44" s="39">
        <f>IF($A44="","",IF($M44="Marjă sub referință","Marjă / preț",IF($M44="Creștere + penetrare mică","Creștere produs",IF($M44="Produs în scădere","Cross-sell",IF($M44="Fără vânzări","Proces / operațional","Cross-sell")))))</f>
        <v/>
      </c>
      <c r="O44" s="24">
        <f>IF($A44="","",IFERROR(IF($M44="Marjă sub referință",MAX(0,$D44*('09_PARAMETRI'!$B$15-$H44)),IF($M44="Creștere + penetrare mică",$D44*0.5,IF($M44="Produs în scădere",MAX(0,$E44-$D44),$D44*0.1))),""))</f>
        <v/>
      </c>
      <c r="P44" s="48">
        <f>IF(OR($A44="",$D44="",N($D44)&lt;=0),"",$D44+ROW()/1000000)</f>
        <v/>
      </c>
    </row>
    <row r="45">
      <c r="A45" s="39">
        <f>IF('11_PRODUSE'!$A45="","",'11_PRODUSE'!$A45)</f>
        <v/>
      </c>
      <c r="B45" s="39">
        <f>IF($A45="","",IFERROR(INDEX('11_PRODUSE'!$B$5:$B$104,MATCH($A45,'11_PRODUSE'!$A$5:$A$104,0)),""))</f>
        <v/>
      </c>
      <c r="C45" s="39">
        <f>IF($A45="","",IFERROR(INDEX('11_PRODUSE'!$C$5:$C$104,MATCH($A45,'11_PRODUSE'!$A$5:$A$104,0)),""))</f>
        <v/>
      </c>
      <c r="D45" s="24">
        <f>IF($A45="","",SUMIFS('13_VANZARI'!$H$5:$H$1004,'13_VANZARI'!$E$5:$E$1004,$A45,'13_VANZARI'!$A$5:$A$1004,"&gt;="&amp;'09_PARAMETRI'!$B$5,'13_VANZARI'!$A$5:$A$1004,"&lt;="&amp;'09_PARAMETRI'!$B$6))</f>
        <v/>
      </c>
      <c r="E45" s="24">
        <f>IF($A45="","",SUMIFS('13_VANZARI'!$H$5:$H$1004,'13_VANZARI'!$E$5:$E$1004,$A45,'13_VANZARI'!$A$5:$A$1004,"&gt;="&amp;'09_PARAMETRI'!$B$7,'13_VANZARI'!$A$5:$A$1004,"&lt;="&amp;'09_PARAMETRI'!$B$8))</f>
        <v/>
      </c>
      <c r="F45" s="25">
        <f>IF($A45="","",IFERROR(IF($E45=0,"",($D45-$E45)/ABS($E45)),""))</f>
        <v/>
      </c>
      <c r="G45" s="24">
        <f>IF($A45="","",SUMIFS('13_VANZARI'!$K$5:$K$1004,'13_VANZARI'!$E$5:$E$1004,$A45,'13_VANZARI'!$A$5:$A$1004,"&gt;="&amp;'09_PARAMETRI'!$B$5,'13_VANZARI'!$A$5:$A$1004,"&lt;="&amp;'09_PARAMETRI'!$B$6))</f>
        <v/>
      </c>
      <c r="H45" s="25">
        <f>IF($A45="","",IFERROR($G45/$D45,""))</f>
        <v/>
      </c>
      <c r="I45" s="24">
        <f>IF($A45="","",SUMIFS('13_VANZARI'!$G$5:$G$1004,'13_VANZARI'!$E$5:$E$1004,$A45,'13_VANZARI'!$A$5:$A$1004,"&gt;="&amp;'09_PARAMETRI'!$B$5,'13_VANZARI'!$A$5:$A$1004,"&lt;="&amp;'09_PARAMETRI'!$B$6))</f>
        <v/>
      </c>
      <c r="J45" s="48">
        <f>IF($A45="","",IFERROR($D45/$I45,""))</f>
        <v/>
      </c>
      <c r="K45" s="24">
        <f>IF($A45="","",SUMPRODUCT(('10_CLIENTI'!$A$5:$A$204&lt;&gt;"")*(SUMIFS('13_VANZARI'!$H$5:$H$1004,'13_VANZARI'!$E$5:$E$1004,$A45,'13_VANZARI'!$D$5:$D$1004,'10_CLIENTI'!$A$5:$A$204,'13_VANZARI'!$A$5:$A$1004,"&gt;="&amp;'09_PARAMETRI'!$B$5,'13_VANZARI'!$A$5:$A$1004,"&lt;="&amp;'09_PARAMETRI'!$B$6)&lt;&gt;0)))</f>
        <v/>
      </c>
      <c r="L45" s="25">
        <f>IF($A45="","",IFERROR($K45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5" s="39">
        <f>IF($A45="","",IF(AND($D45&gt;0,$H45&lt;&gt;"",$H45&lt;'09_PARAMETRI'!$B$15),"Marjă sub referință",IF(AND($F45&lt;&gt;"",$F45&gt;='09_PARAMETRI'!$B$14,$L45&lt;0.3),"Creștere + penetrare mică",IF(AND($F45&lt;&gt;"",$F45&lt;='09_PARAMETRI'!$B$13),"Produs în scădere",IF($D45=0,"Fără vânzări","Stabil")))))</f>
        <v/>
      </c>
      <c r="N45" s="39">
        <f>IF($A45="","",IF($M45="Marjă sub referință","Marjă / preț",IF($M45="Creștere + penetrare mică","Creștere produs",IF($M45="Produs în scădere","Cross-sell",IF($M45="Fără vânzări","Proces / operațional","Cross-sell")))))</f>
        <v/>
      </c>
      <c r="O45" s="24">
        <f>IF($A45="","",IFERROR(IF($M45="Marjă sub referință",MAX(0,$D45*('09_PARAMETRI'!$B$15-$H45)),IF($M45="Creștere + penetrare mică",$D45*0.5,IF($M45="Produs în scădere",MAX(0,$E45-$D45),$D45*0.1))),""))</f>
        <v/>
      </c>
      <c r="P45" s="48">
        <f>IF(OR($A45="",$D45="",N($D45)&lt;=0),"",$D45+ROW()/1000000)</f>
        <v/>
      </c>
    </row>
    <row r="46">
      <c r="A46" s="39">
        <f>IF('11_PRODUSE'!$A46="","",'11_PRODUSE'!$A46)</f>
        <v/>
      </c>
      <c r="B46" s="39">
        <f>IF($A46="","",IFERROR(INDEX('11_PRODUSE'!$B$5:$B$104,MATCH($A46,'11_PRODUSE'!$A$5:$A$104,0)),""))</f>
        <v/>
      </c>
      <c r="C46" s="39">
        <f>IF($A46="","",IFERROR(INDEX('11_PRODUSE'!$C$5:$C$104,MATCH($A46,'11_PRODUSE'!$A$5:$A$104,0)),""))</f>
        <v/>
      </c>
      <c r="D46" s="24">
        <f>IF($A46="","",SUMIFS('13_VANZARI'!$H$5:$H$1004,'13_VANZARI'!$E$5:$E$1004,$A46,'13_VANZARI'!$A$5:$A$1004,"&gt;="&amp;'09_PARAMETRI'!$B$5,'13_VANZARI'!$A$5:$A$1004,"&lt;="&amp;'09_PARAMETRI'!$B$6))</f>
        <v/>
      </c>
      <c r="E46" s="24">
        <f>IF($A46="","",SUMIFS('13_VANZARI'!$H$5:$H$1004,'13_VANZARI'!$E$5:$E$1004,$A46,'13_VANZARI'!$A$5:$A$1004,"&gt;="&amp;'09_PARAMETRI'!$B$7,'13_VANZARI'!$A$5:$A$1004,"&lt;="&amp;'09_PARAMETRI'!$B$8))</f>
        <v/>
      </c>
      <c r="F46" s="25">
        <f>IF($A46="","",IFERROR(IF($E46=0,"",($D46-$E46)/ABS($E46)),""))</f>
        <v/>
      </c>
      <c r="G46" s="24">
        <f>IF($A46="","",SUMIFS('13_VANZARI'!$K$5:$K$1004,'13_VANZARI'!$E$5:$E$1004,$A46,'13_VANZARI'!$A$5:$A$1004,"&gt;="&amp;'09_PARAMETRI'!$B$5,'13_VANZARI'!$A$5:$A$1004,"&lt;="&amp;'09_PARAMETRI'!$B$6))</f>
        <v/>
      </c>
      <c r="H46" s="25">
        <f>IF($A46="","",IFERROR($G46/$D46,""))</f>
        <v/>
      </c>
      <c r="I46" s="24">
        <f>IF($A46="","",SUMIFS('13_VANZARI'!$G$5:$G$1004,'13_VANZARI'!$E$5:$E$1004,$A46,'13_VANZARI'!$A$5:$A$1004,"&gt;="&amp;'09_PARAMETRI'!$B$5,'13_VANZARI'!$A$5:$A$1004,"&lt;="&amp;'09_PARAMETRI'!$B$6))</f>
        <v/>
      </c>
      <c r="J46" s="48">
        <f>IF($A46="","",IFERROR($D46/$I46,""))</f>
        <v/>
      </c>
      <c r="K46" s="24">
        <f>IF($A46="","",SUMPRODUCT(('10_CLIENTI'!$A$5:$A$204&lt;&gt;"")*(SUMIFS('13_VANZARI'!$H$5:$H$1004,'13_VANZARI'!$E$5:$E$1004,$A46,'13_VANZARI'!$D$5:$D$1004,'10_CLIENTI'!$A$5:$A$204,'13_VANZARI'!$A$5:$A$1004,"&gt;="&amp;'09_PARAMETRI'!$B$5,'13_VANZARI'!$A$5:$A$1004,"&lt;="&amp;'09_PARAMETRI'!$B$6)&lt;&gt;0)))</f>
        <v/>
      </c>
      <c r="L46" s="25">
        <f>IF($A46="","",IFERROR($K46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6" s="39">
        <f>IF($A46="","",IF(AND($D46&gt;0,$H46&lt;&gt;"",$H46&lt;'09_PARAMETRI'!$B$15),"Marjă sub referință",IF(AND($F46&lt;&gt;"",$F46&gt;='09_PARAMETRI'!$B$14,$L46&lt;0.3),"Creștere + penetrare mică",IF(AND($F46&lt;&gt;"",$F46&lt;='09_PARAMETRI'!$B$13),"Produs în scădere",IF($D46=0,"Fără vânzări","Stabil")))))</f>
        <v/>
      </c>
      <c r="N46" s="39">
        <f>IF($A46="","",IF($M46="Marjă sub referință","Marjă / preț",IF($M46="Creștere + penetrare mică","Creștere produs",IF($M46="Produs în scădere","Cross-sell",IF($M46="Fără vânzări","Proces / operațional","Cross-sell")))))</f>
        <v/>
      </c>
      <c r="O46" s="24">
        <f>IF($A46="","",IFERROR(IF($M46="Marjă sub referință",MAX(0,$D46*('09_PARAMETRI'!$B$15-$H46)),IF($M46="Creștere + penetrare mică",$D46*0.5,IF($M46="Produs în scădere",MAX(0,$E46-$D46),$D46*0.1))),""))</f>
        <v/>
      </c>
      <c r="P46" s="48">
        <f>IF(OR($A46="",$D46="",N($D46)&lt;=0),"",$D46+ROW()/1000000)</f>
        <v/>
      </c>
    </row>
    <row r="47">
      <c r="A47" s="39">
        <f>IF('11_PRODUSE'!$A47="","",'11_PRODUSE'!$A47)</f>
        <v/>
      </c>
      <c r="B47" s="39">
        <f>IF($A47="","",IFERROR(INDEX('11_PRODUSE'!$B$5:$B$104,MATCH($A47,'11_PRODUSE'!$A$5:$A$104,0)),""))</f>
        <v/>
      </c>
      <c r="C47" s="39">
        <f>IF($A47="","",IFERROR(INDEX('11_PRODUSE'!$C$5:$C$104,MATCH($A47,'11_PRODUSE'!$A$5:$A$104,0)),""))</f>
        <v/>
      </c>
      <c r="D47" s="24">
        <f>IF($A47="","",SUMIFS('13_VANZARI'!$H$5:$H$1004,'13_VANZARI'!$E$5:$E$1004,$A47,'13_VANZARI'!$A$5:$A$1004,"&gt;="&amp;'09_PARAMETRI'!$B$5,'13_VANZARI'!$A$5:$A$1004,"&lt;="&amp;'09_PARAMETRI'!$B$6))</f>
        <v/>
      </c>
      <c r="E47" s="24">
        <f>IF($A47="","",SUMIFS('13_VANZARI'!$H$5:$H$1004,'13_VANZARI'!$E$5:$E$1004,$A47,'13_VANZARI'!$A$5:$A$1004,"&gt;="&amp;'09_PARAMETRI'!$B$7,'13_VANZARI'!$A$5:$A$1004,"&lt;="&amp;'09_PARAMETRI'!$B$8))</f>
        <v/>
      </c>
      <c r="F47" s="25">
        <f>IF($A47="","",IFERROR(IF($E47=0,"",($D47-$E47)/ABS($E47)),""))</f>
        <v/>
      </c>
      <c r="G47" s="24">
        <f>IF($A47="","",SUMIFS('13_VANZARI'!$K$5:$K$1004,'13_VANZARI'!$E$5:$E$1004,$A47,'13_VANZARI'!$A$5:$A$1004,"&gt;="&amp;'09_PARAMETRI'!$B$5,'13_VANZARI'!$A$5:$A$1004,"&lt;="&amp;'09_PARAMETRI'!$B$6))</f>
        <v/>
      </c>
      <c r="H47" s="25">
        <f>IF($A47="","",IFERROR($G47/$D47,""))</f>
        <v/>
      </c>
      <c r="I47" s="24">
        <f>IF($A47="","",SUMIFS('13_VANZARI'!$G$5:$G$1004,'13_VANZARI'!$E$5:$E$1004,$A47,'13_VANZARI'!$A$5:$A$1004,"&gt;="&amp;'09_PARAMETRI'!$B$5,'13_VANZARI'!$A$5:$A$1004,"&lt;="&amp;'09_PARAMETRI'!$B$6))</f>
        <v/>
      </c>
      <c r="J47" s="48">
        <f>IF($A47="","",IFERROR($D47/$I47,""))</f>
        <v/>
      </c>
      <c r="K47" s="24">
        <f>IF($A47="","",SUMPRODUCT(('10_CLIENTI'!$A$5:$A$204&lt;&gt;"")*(SUMIFS('13_VANZARI'!$H$5:$H$1004,'13_VANZARI'!$E$5:$E$1004,$A47,'13_VANZARI'!$D$5:$D$1004,'10_CLIENTI'!$A$5:$A$204,'13_VANZARI'!$A$5:$A$1004,"&gt;="&amp;'09_PARAMETRI'!$B$5,'13_VANZARI'!$A$5:$A$1004,"&lt;="&amp;'09_PARAMETRI'!$B$6)&lt;&gt;0)))</f>
        <v/>
      </c>
      <c r="L47" s="25">
        <f>IF($A47="","",IFERROR($K47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7" s="39">
        <f>IF($A47="","",IF(AND($D47&gt;0,$H47&lt;&gt;"",$H47&lt;'09_PARAMETRI'!$B$15),"Marjă sub referință",IF(AND($F47&lt;&gt;"",$F47&gt;='09_PARAMETRI'!$B$14,$L47&lt;0.3),"Creștere + penetrare mică",IF(AND($F47&lt;&gt;"",$F47&lt;='09_PARAMETRI'!$B$13),"Produs în scădere",IF($D47=0,"Fără vânzări","Stabil")))))</f>
        <v/>
      </c>
      <c r="N47" s="39">
        <f>IF($A47="","",IF($M47="Marjă sub referință","Marjă / preț",IF($M47="Creștere + penetrare mică","Creștere produs",IF($M47="Produs în scădere","Cross-sell",IF($M47="Fără vânzări","Proces / operațional","Cross-sell")))))</f>
        <v/>
      </c>
      <c r="O47" s="24">
        <f>IF($A47="","",IFERROR(IF($M47="Marjă sub referință",MAX(0,$D47*('09_PARAMETRI'!$B$15-$H47)),IF($M47="Creștere + penetrare mică",$D47*0.5,IF($M47="Produs în scădere",MAX(0,$E47-$D47),$D47*0.1))),""))</f>
        <v/>
      </c>
      <c r="P47" s="48">
        <f>IF(OR($A47="",$D47="",N($D47)&lt;=0),"",$D47+ROW()/1000000)</f>
        <v/>
      </c>
    </row>
    <row r="48">
      <c r="A48" s="39">
        <f>IF('11_PRODUSE'!$A48="","",'11_PRODUSE'!$A48)</f>
        <v/>
      </c>
      <c r="B48" s="39">
        <f>IF($A48="","",IFERROR(INDEX('11_PRODUSE'!$B$5:$B$104,MATCH($A48,'11_PRODUSE'!$A$5:$A$104,0)),""))</f>
        <v/>
      </c>
      <c r="C48" s="39">
        <f>IF($A48="","",IFERROR(INDEX('11_PRODUSE'!$C$5:$C$104,MATCH($A48,'11_PRODUSE'!$A$5:$A$104,0)),""))</f>
        <v/>
      </c>
      <c r="D48" s="24">
        <f>IF($A48="","",SUMIFS('13_VANZARI'!$H$5:$H$1004,'13_VANZARI'!$E$5:$E$1004,$A48,'13_VANZARI'!$A$5:$A$1004,"&gt;="&amp;'09_PARAMETRI'!$B$5,'13_VANZARI'!$A$5:$A$1004,"&lt;="&amp;'09_PARAMETRI'!$B$6))</f>
        <v/>
      </c>
      <c r="E48" s="24">
        <f>IF($A48="","",SUMIFS('13_VANZARI'!$H$5:$H$1004,'13_VANZARI'!$E$5:$E$1004,$A48,'13_VANZARI'!$A$5:$A$1004,"&gt;="&amp;'09_PARAMETRI'!$B$7,'13_VANZARI'!$A$5:$A$1004,"&lt;="&amp;'09_PARAMETRI'!$B$8))</f>
        <v/>
      </c>
      <c r="F48" s="25">
        <f>IF($A48="","",IFERROR(IF($E48=0,"",($D48-$E48)/ABS($E48)),""))</f>
        <v/>
      </c>
      <c r="G48" s="24">
        <f>IF($A48="","",SUMIFS('13_VANZARI'!$K$5:$K$1004,'13_VANZARI'!$E$5:$E$1004,$A48,'13_VANZARI'!$A$5:$A$1004,"&gt;="&amp;'09_PARAMETRI'!$B$5,'13_VANZARI'!$A$5:$A$1004,"&lt;="&amp;'09_PARAMETRI'!$B$6))</f>
        <v/>
      </c>
      <c r="H48" s="25">
        <f>IF($A48="","",IFERROR($G48/$D48,""))</f>
        <v/>
      </c>
      <c r="I48" s="24">
        <f>IF($A48="","",SUMIFS('13_VANZARI'!$G$5:$G$1004,'13_VANZARI'!$E$5:$E$1004,$A48,'13_VANZARI'!$A$5:$A$1004,"&gt;="&amp;'09_PARAMETRI'!$B$5,'13_VANZARI'!$A$5:$A$1004,"&lt;="&amp;'09_PARAMETRI'!$B$6))</f>
        <v/>
      </c>
      <c r="J48" s="48">
        <f>IF($A48="","",IFERROR($D48/$I48,""))</f>
        <v/>
      </c>
      <c r="K48" s="24">
        <f>IF($A48="","",SUMPRODUCT(('10_CLIENTI'!$A$5:$A$204&lt;&gt;"")*(SUMIFS('13_VANZARI'!$H$5:$H$1004,'13_VANZARI'!$E$5:$E$1004,$A48,'13_VANZARI'!$D$5:$D$1004,'10_CLIENTI'!$A$5:$A$204,'13_VANZARI'!$A$5:$A$1004,"&gt;="&amp;'09_PARAMETRI'!$B$5,'13_VANZARI'!$A$5:$A$1004,"&lt;="&amp;'09_PARAMETRI'!$B$6)&lt;&gt;0)))</f>
        <v/>
      </c>
      <c r="L48" s="25">
        <f>IF($A48="","",IFERROR($K48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8" s="39">
        <f>IF($A48="","",IF(AND($D48&gt;0,$H48&lt;&gt;"",$H48&lt;'09_PARAMETRI'!$B$15),"Marjă sub referință",IF(AND($F48&lt;&gt;"",$F48&gt;='09_PARAMETRI'!$B$14,$L48&lt;0.3),"Creștere + penetrare mică",IF(AND($F48&lt;&gt;"",$F48&lt;='09_PARAMETRI'!$B$13),"Produs în scădere",IF($D48=0,"Fără vânzări","Stabil")))))</f>
        <v/>
      </c>
      <c r="N48" s="39">
        <f>IF($A48="","",IF($M48="Marjă sub referință","Marjă / preț",IF($M48="Creștere + penetrare mică","Creștere produs",IF($M48="Produs în scădere","Cross-sell",IF($M48="Fără vânzări","Proces / operațional","Cross-sell")))))</f>
        <v/>
      </c>
      <c r="O48" s="24">
        <f>IF($A48="","",IFERROR(IF($M48="Marjă sub referință",MAX(0,$D48*('09_PARAMETRI'!$B$15-$H48)),IF($M48="Creștere + penetrare mică",$D48*0.5,IF($M48="Produs în scădere",MAX(0,$E48-$D48),$D48*0.1))),""))</f>
        <v/>
      </c>
      <c r="P48" s="48">
        <f>IF(OR($A48="",$D48="",N($D48)&lt;=0),"",$D48+ROW()/1000000)</f>
        <v/>
      </c>
    </row>
    <row r="49">
      <c r="A49" s="39">
        <f>IF('11_PRODUSE'!$A49="","",'11_PRODUSE'!$A49)</f>
        <v/>
      </c>
      <c r="B49" s="39">
        <f>IF($A49="","",IFERROR(INDEX('11_PRODUSE'!$B$5:$B$104,MATCH($A49,'11_PRODUSE'!$A$5:$A$104,0)),""))</f>
        <v/>
      </c>
      <c r="C49" s="39">
        <f>IF($A49="","",IFERROR(INDEX('11_PRODUSE'!$C$5:$C$104,MATCH($A49,'11_PRODUSE'!$A$5:$A$104,0)),""))</f>
        <v/>
      </c>
      <c r="D49" s="24">
        <f>IF($A49="","",SUMIFS('13_VANZARI'!$H$5:$H$1004,'13_VANZARI'!$E$5:$E$1004,$A49,'13_VANZARI'!$A$5:$A$1004,"&gt;="&amp;'09_PARAMETRI'!$B$5,'13_VANZARI'!$A$5:$A$1004,"&lt;="&amp;'09_PARAMETRI'!$B$6))</f>
        <v/>
      </c>
      <c r="E49" s="24">
        <f>IF($A49="","",SUMIFS('13_VANZARI'!$H$5:$H$1004,'13_VANZARI'!$E$5:$E$1004,$A49,'13_VANZARI'!$A$5:$A$1004,"&gt;="&amp;'09_PARAMETRI'!$B$7,'13_VANZARI'!$A$5:$A$1004,"&lt;="&amp;'09_PARAMETRI'!$B$8))</f>
        <v/>
      </c>
      <c r="F49" s="25">
        <f>IF($A49="","",IFERROR(IF($E49=0,"",($D49-$E49)/ABS($E49)),""))</f>
        <v/>
      </c>
      <c r="G49" s="24">
        <f>IF($A49="","",SUMIFS('13_VANZARI'!$K$5:$K$1004,'13_VANZARI'!$E$5:$E$1004,$A49,'13_VANZARI'!$A$5:$A$1004,"&gt;="&amp;'09_PARAMETRI'!$B$5,'13_VANZARI'!$A$5:$A$1004,"&lt;="&amp;'09_PARAMETRI'!$B$6))</f>
        <v/>
      </c>
      <c r="H49" s="25">
        <f>IF($A49="","",IFERROR($G49/$D49,""))</f>
        <v/>
      </c>
      <c r="I49" s="24">
        <f>IF($A49="","",SUMIFS('13_VANZARI'!$G$5:$G$1004,'13_VANZARI'!$E$5:$E$1004,$A49,'13_VANZARI'!$A$5:$A$1004,"&gt;="&amp;'09_PARAMETRI'!$B$5,'13_VANZARI'!$A$5:$A$1004,"&lt;="&amp;'09_PARAMETRI'!$B$6))</f>
        <v/>
      </c>
      <c r="J49" s="48">
        <f>IF($A49="","",IFERROR($D49/$I49,""))</f>
        <v/>
      </c>
      <c r="K49" s="24">
        <f>IF($A49="","",SUMPRODUCT(('10_CLIENTI'!$A$5:$A$204&lt;&gt;"")*(SUMIFS('13_VANZARI'!$H$5:$H$1004,'13_VANZARI'!$E$5:$E$1004,$A49,'13_VANZARI'!$D$5:$D$1004,'10_CLIENTI'!$A$5:$A$204,'13_VANZARI'!$A$5:$A$1004,"&gt;="&amp;'09_PARAMETRI'!$B$5,'13_VANZARI'!$A$5:$A$1004,"&lt;="&amp;'09_PARAMETRI'!$B$6)&lt;&gt;0)))</f>
        <v/>
      </c>
      <c r="L49" s="25">
        <f>IF($A49="","",IFERROR($K49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49" s="39">
        <f>IF($A49="","",IF(AND($D49&gt;0,$H49&lt;&gt;"",$H49&lt;'09_PARAMETRI'!$B$15),"Marjă sub referință",IF(AND($F49&lt;&gt;"",$F49&gt;='09_PARAMETRI'!$B$14,$L49&lt;0.3),"Creștere + penetrare mică",IF(AND($F49&lt;&gt;"",$F49&lt;='09_PARAMETRI'!$B$13),"Produs în scădere",IF($D49=0,"Fără vânzări","Stabil")))))</f>
        <v/>
      </c>
      <c r="N49" s="39">
        <f>IF($A49="","",IF($M49="Marjă sub referință","Marjă / preț",IF($M49="Creștere + penetrare mică","Creștere produs",IF($M49="Produs în scădere","Cross-sell",IF($M49="Fără vânzări","Proces / operațional","Cross-sell")))))</f>
        <v/>
      </c>
      <c r="O49" s="24">
        <f>IF($A49="","",IFERROR(IF($M49="Marjă sub referință",MAX(0,$D49*('09_PARAMETRI'!$B$15-$H49)),IF($M49="Creștere + penetrare mică",$D49*0.5,IF($M49="Produs în scădere",MAX(0,$E49-$D49),$D49*0.1))),""))</f>
        <v/>
      </c>
      <c r="P49" s="48">
        <f>IF(OR($A49="",$D49="",N($D49)&lt;=0),"",$D49+ROW()/1000000)</f>
        <v/>
      </c>
    </row>
    <row r="50">
      <c r="A50" s="39">
        <f>IF('11_PRODUSE'!$A50="","",'11_PRODUSE'!$A50)</f>
        <v/>
      </c>
      <c r="B50" s="39">
        <f>IF($A50="","",IFERROR(INDEX('11_PRODUSE'!$B$5:$B$104,MATCH($A50,'11_PRODUSE'!$A$5:$A$104,0)),""))</f>
        <v/>
      </c>
      <c r="C50" s="39">
        <f>IF($A50="","",IFERROR(INDEX('11_PRODUSE'!$C$5:$C$104,MATCH($A50,'11_PRODUSE'!$A$5:$A$104,0)),""))</f>
        <v/>
      </c>
      <c r="D50" s="24">
        <f>IF($A50="","",SUMIFS('13_VANZARI'!$H$5:$H$1004,'13_VANZARI'!$E$5:$E$1004,$A50,'13_VANZARI'!$A$5:$A$1004,"&gt;="&amp;'09_PARAMETRI'!$B$5,'13_VANZARI'!$A$5:$A$1004,"&lt;="&amp;'09_PARAMETRI'!$B$6))</f>
        <v/>
      </c>
      <c r="E50" s="24">
        <f>IF($A50="","",SUMIFS('13_VANZARI'!$H$5:$H$1004,'13_VANZARI'!$E$5:$E$1004,$A50,'13_VANZARI'!$A$5:$A$1004,"&gt;="&amp;'09_PARAMETRI'!$B$7,'13_VANZARI'!$A$5:$A$1004,"&lt;="&amp;'09_PARAMETRI'!$B$8))</f>
        <v/>
      </c>
      <c r="F50" s="25">
        <f>IF($A50="","",IFERROR(IF($E50=0,"",($D50-$E50)/ABS($E50)),""))</f>
        <v/>
      </c>
      <c r="G50" s="24">
        <f>IF($A50="","",SUMIFS('13_VANZARI'!$K$5:$K$1004,'13_VANZARI'!$E$5:$E$1004,$A50,'13_VANZARI'!$A$5:$A$1004,"&gt;="&amp;'09_PARAMETRI'!$B$5,'13_VANZARI'!$A$5:$A$1004,"&lt;="&amp;'09_PARAMETRI'!$B$6))</f>
        <v/>
      </c>
      <c r="H50" s="25">
        <f>IF($A50="","",IFERROR($G50/$D50,""))</f>
        <v/>
      </c>
      <c r="I50" s="24">
        <f>IF($A50="","",SUMIFS('13_VANZARI'!$G$5:$G$1004,'13_VANZARI'!$E$5:$E$1004,$A50,'13_VANZARI'!$A$5:$A$1004,"&gt;="&amp;'09_PARAMETRI'!$B$5,'13_VANZARI'!$A$5:$A$1004,"&lt;="&amp;'09_PARAMETRI'!$B$6))</f>
        <v/>
      </c>
      <c r="J50" s="48">
        <f>IF($A50="","",IFERROR($D50/$I50,""))</f>
        <v/>
      </c>
      <c r="K50" s="24">
        <f>IF($A50="","",SUMPRODUCT(('10_CLIENTI'!$A$5:$A$204&lt;&gt;"")*(SUMIFS('13_VANZARI'!$H$5:$H$1004,'13_VANZARI'!$E$5:$E$1004,$A50,'13_VANZARI'!$D$5:$D$1004,'10_CLIENTI'!$A$5:$A$204,'13_VANZARI'!$A$5:$A$1004,"&gt;="&amp;'09_PARAMETRI'!$B$5,'13_VANZARI'!$A$5:$A$1004,"&lt;="&amp;'09_PARAMETRI'!$B$6)&lt;&gt;0)))</f>
        <v/>
      </c>
      <c r="L50" s="25">
        <f>IF($A50="","",IFERROR($K50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0" s="39">
        <f>IF($A50="","",IF(AND($D50&gt;0,$H50&lt;&gt;"",$H50&lt;'09_PARAMETRI'!$B$15),"Marjă sub referință",IF(AND($F50&lt;&gt;"",$F50&gt;='09_PARAMETRI'!$B$14,$L50&lt;0.3),"Creștere + penetrare mică",IF(AND($F50&lt;&gt;"",$F50&lt;='09_PARAMETRI'!$B$13),"Produs în scădere",IF($D50=0,"Fără vânzări","Stabil")))))</f>
        <v/>
      </c>
      <c r="N50" s="39">
        <f>IF($A50="","",IF($M50="Marjă sub referință","Marjă / preț",IF($M50="Creștere + penetrare mică","Creștere produs",IF($M50="Produs în scădere","Cross-sell",IF($M50="Fără vânzări","Proces / operațional","Cross-sell")))))</f>
        <v/>
      </c>
      <c r="O50" s="24">
        <f>IF($A50="","",IFERROR(IF($M50="Marjă sub referință",MAX(0,$D50*('09_PARAMETRI'!$B$15-$H50)),IF($M50="Creștere + penetrare mică",$D50*0.5,IF($M50="Produs în scădere",MAX(0,$E50-$D50),$D50*0.1))),""))</f>
        <v/>
      </c>
      <c r="P50" s="48">
        <f>IF(OR($A50="",$D50="",N($D50)&lt;=0),"",$D50+ROW()/1000000)</f>
        <v/>
      </c>
    </row>
    <row r="51">
      <c r="A51" s="39">
        <f>IF('11_PRODUSE'!$A51="","",'11_PRODUSE'!$A51)</f>
        <v/>
      </c>
      <c r="B51" s="39">
        <f>IF($A51="","",IFERROR(INDEX('11_PRODUSE'!$B$5:$B$104,MATCH($A51,'11_PRODUSE'!$A$5:$A$104,0)),""))</f>
        <v/>
      </c>
      <c r="C51" s="39">
        <f>IF($A51="","",IFERROR(INDEX('11_PRODUSE'!$C$5:$C$104,MATCH($A51,'11_PRODUSE'!$A$5:$A$104,0)),""))</f>
        <v/>
      </c>
      <c r="D51" s="24">
        <f>IF($A51="","",SUMIFS('13_VANZARI'!$H$5:$H$1004,'13_VANZARI'!$E$5:$E$1004,$A51,'13_VANZARI'!$A$5:$A$1004,"&gt;="&amp;'09_PARAMETRI'!$B$5,'13_VANZARI'!$A$5:$A$1004,"&lt;="&amp;'09_PARAMETRI'!$B$6))</f>
        <v/>
      </c>
      <c r="E51" s="24">
        <f>IF($A51="","",SUMIFS('13_VANZARI'!$H$5:$H$1004,'13_VANZARI'!$E$5:$E$1004,$A51,'13_VANZARI'!$A$5:$A$1004,"&gt;="&amp;'09_PARAMETRI'!$B$7,'13_VANZARI'!$A$5:$A$1004,"&lt;="&amp;'09_PARAMETRI'!$B$8))</f>
        <v/>
      </c>
      <c r="F51" s="25">
        <f>IF($A51="","",IFERROR(IF($E51=0,"",($D51-$E51)/ABS($E51)),""))</f>
        <v/>
      </c>
      <c r="G51" s="24">
        <f>IF($A51="","",SUMIFS('13_VANZARI'!$K$5:$K$1004,'13_VANZARI'!$E$5:$E$1004,$A51,'13_VANZARI'!$A$5:$A$1004,"&gt;="&amp;'09_PARAMETRI'!$B$5,'13_VANZARI'!$A$5:$A$1004,"&lt;="&amp;'09_PARAMETRI'!$B$6))</f>
        <v/>
      </c>
      <c r="H51" s="25">
        <f>IF($A51="","",IFERROR($G51/$D51,""))</f>
        <v/>
      </c>
      <c r="I51" s="24">
        <f>IF($A51="","",SUMIFS('13_VANZARI'!$G$5:$G$1004,'13_VANZARI'!$E$5:$E$1004,$A51,'13_VANZARI'!$A$5:$A$1004,"&gt;="&amp;'09_PARAMETRI'!$B$5,'13_VANZARI'!$A$5:$A$1004,"&lt;="&amp;'09_PARAMETRI'!$B$6))</f>
        <v/>
      </c>
      <c r="J51" s="48">
        <f>IF($A51="","",IFERROR($D51/$I51,""))</f>
        <v/>
      </c>
      <c r="K51" s="24">
        <f>IF($A51="","",SUMPRODUCT(('10_CLIENTI'!$A$5:$A$204&lt;&gt;"")*(SUMIFS('13_VANZARI'!$H$5:$H$1004,'13_VANZARI'!$E$5:$E$1004,$A51,'13_VANZARI'!$D$5:$D$1004,'10_CLIENTI'!$A$5:$A$204,'13_VANZARI'!$A$5:$A$1004,"&gt;="&amp;'09_PARAMETRI'!$B$5,'13_VANZARI'!$A$5:$A$1004,"&lt;="&amp;'09_PARAMETRI'!$B$6)&lt;&gt;0)))</f>
        <v/>
      </c>
      <c r="L51" s="25">
        <f>IF($A51="","",IFERROR($K51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1" s="39">
        <f>IF($A51="","",IF(AND($D51&gt;0,$H51&lt;&gt;"",$H51&lt;'09_PARAMETRI'!$B$15),"Marjă sub referință",IF(AND($F51&lt;&gt;"",$F51&gt;='09_PARAMETRI'!$B$14,$L51&lt;0.3),"Creștere + penetrare mică",IF(AND($F51&lt;&gt;"",$F51&lt;='09_PARAMETRI'!$B$13),"Produs în scădere",IF($D51=0,"Fără vânzări","Stabil")))))</f>
        <v/>
      </c>
      <c r="N51" s="39">
        <f>IF($A51="","",IF($M51="Marjă sub referință","Marjă / preț",IF($M51="Creștere + penetrare mică","Creștere produs",IF($M51="Produs în scădere","Cross-sell",IF($M51="Fără vânzări","Proces / operațional","Cross-sell")))))</f>
        <v/>
      </c>
      <c r="O51" s="24">
        <f>IF($A51="","",IFERROR(IF($M51="Marjă sub referință",MAX(0,$D51*('09_PARAMETRI'!$B$15-$H51)),IF($M51="Creștere + penetrare mică",$D51*0.5,IF($M51="Produs în scădere",MAX(0,$E51-$D51),$D51*0.1))),""))</f>
        <v/>
      </c>
      <c r="P51" s="48">
        <f>IF(OR($A51="",$D51="",N($D51)&lt;=0),"",$D51+ROW()/1000000)</f>
        <v/>
      </c>
    </row>
    <row r="52">
      <c r="A52" s="39">
        <f>IF('11_PRODUSE'!$A52="","",'11_PRODUSE'!$A52)</f>
        <v/>
      </c>
      <c r="B52" s="39">
        <f>IF($A52="","",IFERROR(INDEX('11_PRODUSE'!$B$5:$B$104,MATCH($A52,'11_PRODUSE'!$A$5:$A$104,0)),""))</f>
        <v/>
      </c>
      <c r="C52" s="39">
        <f>IF($A52="","",IFERROR(INDEX('11_PRODUSE'!$C$5:$C$104,MATCH($A52,'11_PRODUSE'!$A$5:$A$104,0)),""))</f>
        <v/>
      </c>
      <c r="D52" s="24">
        <f>IF($A52="","",SUMIFS('13_VANZARI'!$H$5:$H$1004,'13_VANZARI'!$E$5:$E$1004,$A52,'13_VANZARI'!$A$5:$A$1004,"&gt;="&amp;'09_PARAMETRI'!$B$5,'13_VANZARI'!$A$5:$A$1004,"&lt;="&amp;'09_PARAMETRI'!$B$6))</f>
        <v/>
      </c>
      <c r="E52" s="24">
        <f>IF($A52="","",SUMIFS('13_VANZARI'!$H$5:$H$1004,'13_VANZARI'!$E$5:$E$1004,$A52,'13_VANZARI'!$A$5:$A$1004,"&gt;="&amp;'09_PARAMETRI'!$B$7,'13_VANZARI'!$A$5:$A$1004,"&lt;="&amp;'09_PARAMETRI'!$B$8))</f>
        <v/>
      </c>
      <c r="F52" s="25">
        <f>IF($A52="","",IFERROR(IF($E52=0,"",($D52-$E52)/ABS($E52)),""))</f>
        <v/>
      </c>
      <c r="G52" s="24">
        <f>IF($A52="","",SUMIFS('13_VANZARI'!$K$5:$K$1004,'13_VANZARI'!$E$5:$E$1004,$A52,'13_VANZARI'!$A$5:$A$1004,"&gt;="&amp;'09_PARAMETRI'!$B$5,'13_VANZARI'!$A$5:$A$1004,"&lt;="&amp;'09_PARAMETRI'!$B$6))</f>
        <v/>
      </c>
      <c r="H52" s="25">
        <f>IF($A52="","",IFERROR($G52/$D52,""))</f>
        <v/>
      </c>
      <c r="I52" s="24">
        <f>IF($A52="","",SUMIFS('13_VANZARI'!$G$5:$G$1004,'13_VANZARI'!$E$5:$E$1004,$A52,'13_VANZARI'!$A$5:$A$1004,"&gt;="&amp;'09_PARAMETRI'!$B$5,'13_VANZARI'!$A$5:$A$1004,"&lt;="&amp;'09_PARAMETRI'!$B$6))</f>
        <v/>
      </c>
      <c r="J52" s="48">
        <f>IF($A52="","",IFERROR($D52/$I52,""))</f>
        <v/>
      </c>
      <c r="K52" s="24">
        <f>IF($A52="","",SUMPRODUCT(('10_CLIENTI'!$A$5:$A$204&lt;&gt;"")*(SUMIFS('13_VANZARI'!$H$5:$H$1004,'13_VANZARI'!$E$5:$E$1004,$A52,'13_VANZARI'!$D$5:$D$1004,'10_CLIENTI'!$A$5:$A$204,'13_VANZARI'!$A$5:$A$1004,"&gt;="&amp;'09_PARAMETRI'!$B$5,'13_VANZARI'!$A$5:$A$1004,"&lt;="&amp;'09_PARAMETRI'!$B$6)&lt;&gt;0)))</f>
        <v/>
      </c>
      <c r="L52" s="25">
        <f>IF($A52="","",IFERROR($K52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2" s="39">
        <f>IF($A52="","",IF(AND($D52&gt;0,$H52&lt;&gt;"",$H52&lt;'09_PARAMETRI'!$B$15),"Marjă sub referință",IF(AND($F52&lt;&gt;"",$F52&gt;='09_PARAMETRI'!$B$14,$L52&lt;0.3),"Creștere + penetrare mică",IF(AND($F52&lt;&gt;"",$F52&lt;='09_PARAMETRI'!$B$13),"Produs în scădere",IF($D52=0,"Fără vânzări","Stabil")))))</f>
        <v/>
      </c>
      <c r="N52" s="39">
        <f>IF($A52="","",IF($M52="Marjă sub referință","Marjă / preț",IF($M52="Creștere + penetrare mică","Creștere produs",IF($M52="Produs în scădere","Cross-sell",IF($M52="Fără vânzări","Proces / operațional","Cross-sell")))))</f>
        <v/>
      </c>
      <c r="O52" s="24">
        <f>IF($A52="","",IFERROR(IF($M52="Marjă sub referință",MAX(0,$D52*('09_PARAMETRI'!$B$15-$H52)),IF($M52="Creștere + penetrare mică",$D52*0.5,IF($M52="Produs în scădere",MAX(0,$E52-$D52),$D52*0.1))),""))</f>
        <v/>
      </c>
      <c r="P52" s="48">
        <f>IF(OR($A52="",$D52="",N($D52)&lt;=0),"",$D52+ROW()/1000000)</f>
        <v/>
      </c>
    </row>
    <row r="53">
      <c r="A53" s="39">
        <f>IF('11_PRODUSE'!$A53="","",'11_PRODUSE'!$A53)</f>
        <v/>
      </c>
      <c r="B53" s="39">
        <f>IF($A53="","",IFERROR(INDEX('11_PRODUSE'!$B$5:$B$104,MATCH($A53,'11_PRODUSE'!$A$5:$A$104,0)),""))</f>
        <v/>
      </c>
      <c r="C53" s="39">
        <f>IF($A53="","",IFERROR(INDEX('11_PRODUSE'!$C$5:$C$104,MATCH($A53,'11_PRODUSE'!$A$5:$A$104,0)),""))</f>
        <v/>
      </c>
      <c r="D53" s="24">
        <f>IF($A53="","",SUMIFS('13_VANZARI'!$H$5:$H$1004,'13_VANZARI'!$E$5:$E$1004,$A53,'13_VANZARI'!$A$5:$A$1004,"&gt;="&amp;'09_PARAMETRI'!$B$5,'13_VANZARI'!$A$5:$A$1004,"&lt;="&amp;'09_PARAMETRI'!$B$6))</f>
        <v/>
      </c>
      <c r="E53" s="24">
        <f>IF($A53="","",SUMIFS('13_VANZARI'!$H$5:$H$1004,'13_VANZARI'!$E$5:$E$1004,$A53,'13_VANZARI'!$A$5:$A$1004,"&gt;="&amp;'09_PARAMETRI'!$B$7,'13_VANZARI'!$A$5:$A$1004,"&lt;="&amp;'09_PARAMETRI'!$B$8))</f>
        <v/>
      </c>
      <c r="F53" s="25">
        <f>IF($A53="","",IFERROR(IF($E53=0,"",($D53-$E53)/ABS($E53)),""))</f>
        <v/>
      </c>
      <c r="G53" s="24">
        <f>IF($A53="","",SUMIFS('13_VANZARI'!$K$5:$K$1004,'13_VANZARI'!$E$5:$E$1004,$A53,'13_VANZARI'!$A$5:$A$1004,"&gt;="&amp;'09_PARAMETRI'!$B$5,'13_VANZARI'!$A$5:$A$1004,"&lt;="&amp;'09_PARAMETRI'!$B$6))</f>
        <v/>
      </c>
      <c r="H53" s="25">
        <f>IF($A53="","",IFERROR($G53/$D53,""))</f>
        <v/>
      </c>
      <c r="I53" s="24">
        <f>IF($A53="","",SUMIFS('13_VANZARI'!$G$5:$G$1004,'13_VANZARI'!$E$5:$E$1004,$A53,'13_VANZARI'!$A$5:$A$1004,"&gt;="&amp;'09_PARAMETRI'!$B$5,'13_VANZARI'!$A$5:$A$1004,"&lt;="&amp;'09_PARAMETRI'!$B$6))</f>
        <v/>
      </c>
      <c r="J53" s="48">
        <f>IF($A53="","",IFERROR($D53/$I53,""))</f>
        <v/>
      </c>
      <c r="K53" s="24">
        <f>IF($A53="","",SUMPRODUCT(('10_CLIENTI'!$A$5:$A$204&lt;&gt;"")*(SUMIFS('13_VANZARI'!$H$5:$H$1004,'13_VANZARI'!$E$5:$E$1004,$A53,'13_VANZARI'!$D$5:$D$1004,'10_CLIENTI'!$A$5:$A$204,'13_VANZARI'!$A$5:$A$1004,"&gt;="&amp;'09_PARAMETRI'!$B$5,'13_VANZARI'!$A$5:$A$1004,"&lt;="&amp;'09_PARAMETRI'!$B$6)&lt;&gt;0)))</f>
        <v/>
      </c>
      <c r="L53" s="25">
        <f>IF($A53="","",IFERROR($K53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3" s="39">
        <f>IF($A53="","",IF(AND($D53&gt;0,$H53&lt;&gt;"",$H53&lt;'09_PARAMETRI'!$B$15),"Marjă sub referință",IF(AND($F53&lt;&gt;"",$F53&gt;='09_PARAMETRI'!$B$14,$L53&lt;0.3),"Creștere + penetrare mică",IF(AND($F53&lt;&gt;"",$F53&lt;='09_PARAMETRI'!$B$13),"Produs în scădere",IF($D53=0,"Fără vânzări","Stabil")))))</f>
        <v/>
      </c>
      <c r="N53" s="39">
        <f>IF($A53="","",IF($M53="Marjă sub referință","Marjă / preț",IF($M53="Creștere + penetrare mică","Creștere produs",IF($M53="Produs în scădere","Cross-sell",IF($M53="Fără vânzări","Proces / operațional","Cross-sell")))))</f>
        <v/>
      </c>
      <c r="O53" s="24">
        <f>IF($A53="","",IFERROR(IF($M53="Marjă sub referință",MAX(0,$D53*('09_PARAMETRI'!$B$15-$H53)),IF($M53="Creștere + penetrare mică",$D53*0.5,IF($M53="Produs în scădere",MAX(0,$E53-$D53),$D53*0.1))),""))</f>
        <v/>
      </c>
      <c r="P53" s="48">
        <f>IF(OR($A53="",$D53="",N($D53)&lt;=0),"",$D53+ROW()/1000000)</f>
        <v/>
      </c>
    </row>
    <row r="54">
      <c r="A54" s="39">
        <f>IF('11_PRODUSE'!$A54="","",'11_PRODUSE'!$A54)</f>
        <v/>
      </c>
      <c r="B54" s="39">
        <f>IF($A54="","",IFERROR(INDEX('11_PRODUSE'!$B$5:$B$104,MATCH($A54,'11_PRODUSE'!$A$5:$A$104,0)),""))</f>
        <v/>
      </c>
      <c r="C54" s="39">
        <f>IF($A54="","",IFERROR(INDEX('11_PRODUSE'!$C$5:$C$104,MATCH($A54,'11_PRODUSE'!$A$5:$A$104,0)),""))</f>
        <v/>
      </c>
      <c r="D54" s="24">
        <f>IF($A54="","",SUMIFS('13_VANZARI'!$H$5:$H$1004,'13_VANZARI'!$E$5:$E$1004,$A54,'13_VANZARI'!$A$5:$A$1004,"&gt;="&amp;'09_PARAMETRI'!$B$5,'13_VANZARI'!$A$5:$A$1004,"&lt;="&amp;'09_PARAMETRI'!$B$6))</f>
        <v/>
      </c>
      <c r="E54" s="24">
        <f>IF($A54="","",SUMIFS('13_VANZARI'!$H$5:$H$1004,'13_VANZARI'!$E$5:$E$1004,$A54,'13_VANZARI'!$A$5:$A$1004,"&gt;="&amp;'09_PARAMETRI'!$B$7,'13_VANZARI'!$A$5:$A$1004,"&lt;="&amp;'09_PARAMETRI'!$B$8))</f>
        <v/>
      </c>
      <c r="F54" s="25">
        <f>IF($A54="","",IFERROR(IF($E54=0,"",($D54-$E54)/ABS($E54)),""))</f>
        <v/>
      </c>
      <c r="G54" s="24">
        <f>IF($A54="","",SUMIFS('13_VANZARI'!$K$5:$K$1004,'13_VANZARI'!$E$5:$E$1004,$A54,'13_VANZARI'!$A$5:$A$1004,"&gt;="&amp;'09_PARAMETRI'!$B$5,'13_VANZARI'!$A$5:$A$1004,"&lt;="&amp;'09_PARAMETRI'!$B$6))</f>
        <v/>
      </c>
      <c r="H54" s="25">
        <f>IF($A54="","",IFERROR($G54/$D54,""))</f>
        <v/>
      </c>
      <c r="I54" s="24">
        <f>IF($A54="","",SUMIFS('13_VANZARI'!$G$5:$G$1004,'13_VANZARI'!$E$5:$E$1004,$A54,'13_VANZARI'!$A$5:$A$1004,"&gt;="&amp;'09_PARAMETRI'!$B$5,'13_VANZARI'!$A$5:$A$1004,"&lt;="&amp;'09_PARAMETRI'!$B$6))</f>
        <v/>
      </c>
      <c r="J54" s="48">
        <f>IF($A54="","",IFERROR($D54/$I54,""))</f>
        <v/>
      </c>
      <c r="K54" s="24">
        <f>IF($A54="","",SUMPRODUCT(('10_CLIENTI'!$A$5:$A$204&lt;&gt;"")*(SUMIFS('13_VANZARI'!$H$5:$H$1004,'13_VANZARI'!$E$5:$E$1004,$A54,'13_VANZARI'!$D$5:$D$1004,'10_CLIENTI'!$A$5:$A$204,'13_VANZARI'!$A$5:$A$1004,"&gt;="&amp;'09_PARAMETRI'!$B$5,'13_VANZARI'!$A$5:$A$1004,"&lt;="&amp;'09_PARAMETRI'!$B$6)&lt;&gt;0)))</f>
        <v/>
      </c>
      <c r="L54" s="25">
        <f>IF($A54="","",IFERROR($K54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4" s="39">
        <f>IF($A54="","",IF(AND($D54&gt;0,$H54&lt;&gt;"",$H54&lt;'09_PARAMETRI'!$B$15),"Marjă sub referință",IF(AND($F54&lt;&gt;"",$F54&gt;='09_PARAMETRI'!$B$14,$L54&lt;0.3),"Creștere + penetrare mică",IF(AND($F54&lt;&gt;"",$F54&lt;='09_PARAMETRI'!$B$13),"Produs în scădere",IF($D54=0,"Fără vânzări","Stabil")))))</f>
        <v/>
      </c>
      <c r="N54" s="39">
        <f>IF($A54="","",IF($M54="Marjă sub referință","Marjă / preț",IF($M54="Creștere + penetrare mică","Creștere produs",IF($M54="Produs în scădere","Cross-sell",IF($M54="Fără vânzări","Proces / operațional","Cross-sell")))))</f>
        <v/>
      </c>
      <c r="O54" s="24">
        <f>IF($A54="","",IFERROR(IF($M54="Marjă sub referință",MAX(0,$D54*('09_PARAMETRI'!$B$15-$H54)),IF($M54="Creștere + penetrare mică",$D54*0.5,IF($M54="Produs în scădere",MAX(0,$E54-$D54),$D54*0.1))),""))</f>
        <v/>
      </c>
      <c r="P54" s="48">
        <f>IF(OR($A54="",$D54="",N($D54)&lt;=0),"",$D54+ROW()/1000000)</f>
        <v/>
      </c>
    </row>
    <row r="55">
      <c r="A55" s="39">
        <f>IF('11_PRODUSE'!$A55="","",'11_PRODUSE'!$A55)</f>
        <v/>
      </c>
      <c r="B55" s="39">
        <f>IF($A55="","",IFERROR(INDEX('11_PRODUSE'!$B$5:$B$104,MATCH($A55,'11_PRODUSE'!$A$5:$A$104,0)),""))</f>
        <v/>
      </c>
      <c r="C55" s="39">
        <f>IF($A55="","",IFERROR(INDEX('11_PRODUSE'!$C$5:$C$104,MATCH($A55,'11_PRODUSE'!$A$5:$A$104,0)),""))</f>
        <v/>
      </c>
      <c r="D55" s="24">
        <f>IF($A55="","",SUMIFS('13_VANZARI'!$H$5:$H$1004,'13_VANZARI'!$E$5:$E$1004,$A55,'13_VANZARI'!$A$5:$A$1004,"&gt;="&amp;'09_PARAMETRI'!$B$5,'13_VANZARI'!$A$5:$A$1004,"&lt;="&amp;'09_PARAMETRI'!$B$6))</f>
        <v/>
      </c>
      <c r="E55" s="24">
        <f>IF($A55="","",SUMIFS('13_VANZARI'!$H$5:$H$1004,'13_VANZARI'!$E$5:$E$1004,$A55,'13_VANZARI'!$A$5:$A$1004,"&gt;="&amp;'09_PARAMETRI'!$B$7,'13_VANZARI'!$A$5:$A$1004,"&lt;="&amp;'09_PARAMETRI'!$B$8))</f>
        <v/>
      </c>
      <c r="F55" s="25">
        <f>IF($A55="","",IFERROR(IF($E55=0,"",($D55-$E55)/ABS($E55)),""))</f>
        <v/>
      </c>
      <c r="G55" s="24">
        <f>IF($A55="","",SUMIFS('13_VANZARI'!$K$5:$K$1004,'13_VANZARI'!$E$5:$E$1004,$A55,'13_VANZARI'!$A$5:$A$1004,"&gt;="&amp;'09_PARAMETRI'!$B$5,'13_VANZARI'!$A$5:$A$1004,"&lt;="&amp;'09_PARAMETRI'!$B$6))</f>
        <v/>
      </c>
      <c r="H55" s="25">
        <f>IF($A55="","",IFERROR($G55/$D55,""))</f>
        <v/>
      </c>
      <c r="I55" s="24">
        <f>IF($A55="","",SUMIFS('13_VANZARI'!$G$5:$G$1004,'13_VANZARI'!$E$5:$E$1004,$A55,'13_VANZARI'!$A$5:$A$1004,"&gt;="&amp;'09_PARAMETRI'!$B$5,'13_VANZARI'!$A$5:$A$1004,"&lt;="&amp;'09_PARAMETRI'!$B$6))</f>
        <v/>
      </c>
      <c r="J55" s="48">
        <f>IF($A55="","",IFERROR($D55/$I55,""))</f>
        <v/>
      </c>
      <c r="K55" s="24">
        <f>IF($A55="","",SUMPRODUCT(('10_CLIENTI'!$A$5:$A$204&lt;&gt;"")*(SUMIFS('13_VANZARI'!$H$5:$H$1004,'13_VANZARI'!$E$5:$E$1004,$A55,'13_VANZARI'!$D$5:$D$1004,'10_CLIENTI'!$A$5:$A$204,'13_VANZARI'!$A$5:$A$1004,"&gt;="&amp;'09_PARAMETRI'!$B$5,'13_VANZARI'!$A$5:$A$1004,"&lt;="&amp;'09_PARAMETRI'!$B$6)&lt;&gt;0)))</f>
        <v/>
      </c>
      <c r="L55" s="25">
        <f>IF($A55="","",IFERROR($K55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5" s="39">
        <f>IF($A55="","",IF(AND($D55&gt;0,$H55&lt;&gt;"",$H55&lt;'09_PARAMETRI'!$B$15),"Marjă sub referință",IF(AND($F55&lt;&gt;"",$F55&gt;='09_PARAMETRI'!$B$14,$L55&lt;0.3),"Creștere + penetrare mică",IF(AND($F55&lt;&gt;"",$F55&lt;='09_PARAMETRI'!$B$13),"Produs în scădere",IF($D55=0,"Fără vânzări","Stabil")))))</f>
        <v/>
      </c>
      <c r="N55" s="39">
        <f>IF($A55="","",IF($M55="Marjă sub referință","Marjă / preț",IF($M55="Creștere + penetrare mică","Creștere produs",IF($M55="Produs în scădere","Cross-sell",IF($M55="Fără vânzări","Proces / operațional","Cross-sell")))))</f>
        <v/>
      </c>
      <c r="O55" s="24">
        <f>IF($A55="","",IFERROR(IF($M55="Marjă sub referință",MAX(0,$D55*('09_PARAMETRI'!$B$15-$H55)),IF($M55="Creștere + penetrare mică",$D55*0.5,IF($M55="Produs în scădere",MAX(0,$E55-$D55),$D55*0.1))),""))</f>
        <v/>
      </c>
      <c r="P55" s="48">
        <f>IF(OR($A55="",$D55="",N($D55)&lt;=0),"",$D55+ROW()/1000000)</f>
        <v/>
      </c>
    </row>
    <row r="56">
      <c r="A56" s="39">
        <f>IF('11_PRODUSE'!$A56="","",'11_PRODUSE'!$A56)</f>
        <v/>
      </c>
      <c r="B56" s="39">
        <f>IF($A56="","",IFERROR(INDEX('11_PRODUSE'!$B$5:$B$104,MATCH($A56,'11_PRODUSE'!$A$5:$A$104,0)),""))</f>
        <v/>
      </c>
      <c r="C56" s="39">
        <f>IF($A56="","",IFERROR(INDEX('11_PRODUSE'!$C$5:$C$104,MATCH($A56,'11_PRODUSE'!$A$5:$A$104,0)),""))</f>
        <v/>
      </c>
      <c r="D56" s="24">
        <f>IF($A56="","",SUMIFS('13_VANZARI'!$H$5:$H$1004,'13_VANZARI'!$E$5:$E$1004,$A56,'13_VANZARI'!$A$5:$A$1004,"&gt;="&amp;'09_PARAMETRI'!$B$5,'13_VANZARI'!$A$5:$A$1004,"&lt;="&amp;'09_PARAMETRI'!$B$6))</f>
        <v/>
      </c>
      <c r="E56" s="24">
        <f>IF($A56="","",SUMIFS('13_VANZARI'!$H$5:$H$1004,'13_VANZARI'!$E$5:$E$1004,$A56,'13_VANZARI'!$A$5:$A$1004,"&gt;="&amp;'09_PARAMETRI'!$B$7,'13_VANZARI'!$A$5:$A$1004,"&lt;="&amp;'09_PARAMETRI'!$B$8))</f>
        <v/>
      </c>
      <c r="F56" s="25">
        <f>IF($A56="","",IFERROR(IF($E56=0,"",($D56-$E56)/ABS($E56)),""))</f>
        <v/>
      </c>
      <c r="G56" s="24">
        <f>IF($A56="","",SUMIFS('13_VANZARI'!$K$5:$K$1004,'13_VANZARI'!$E$5:$E$1004,$A56,'13_VANZARI'!$A$5:$A$1004,"&gt;="&amp;'09_PARAMETRI'!$B$5,'13_VANZARI'!$A$5:$A$1004,"&lt;="&amp;'09_PARAMETRI'!$B$6))</f>
        <v/>
      </c>
      <c r="H56" s="25">
        <f>IF($A56="","",IFERROR($G56/$D56,""))</f>
        <v/>
      </c>
      <c r="I56" s="24">
        <f>IF($A56="","",SUMIFS('13_VANZARI'!$G$5:$G$1004,'13_VANZARI'!$E$5:$E$1004,$A56,'13_VANZARI'!$A$5:$A$1004,"&gt;="&amp;'09_PARAMETRI'!$B$5,'13_VANZARI'!$A$5:$A$1004,"&lt;="&amp;'09_PARAMETRI'!$B$6))</f>
        <v/>
      </c>
      <c r="J56" s="48">
        <f>IF($A56="","",IFERROR($D56/$I56,""))</f>
        <v/>
      </c>
      <c r="K56" s="24">
        <f>IF($A56="","",SUMPRODUCT(('10_CLIENTI'!$A$5:$A$204&lt;&gt;"")*(SUMIFS('13_VANZARI'!$H$5:$H$1004,'13_VANZARI'!$E$5:$E$1004,$A56,'13_VANZARI'!$D$5:$D$1004,'10_CLIENTI'!$A$5:$A$204,'13_VANZARI'!$A$5:$A$1004,"&gt;="&amp;'09_PARAMETRI'!$B$5,'13_VANZARI'!$A$5:$A$1004,"&lt;="&amp;'09_PARAMETRI'!$B$6)&lt;&gt;0)))</f>
        <v/>
      </c>
      <c r="L56" s="25">
        <f>IF($A56="","",IFERROR($K56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6" s="39">
        <f>IF($A56="","",IF(AND($D56&gt;0,$H56&lt;&gt;"",$H56&lt;'09_PARAMETRI'!$B$15),"Marjă sub referință",IF(AND($F56&lt;&gt;"",$F56&gt;='09_PARAMETRI'!$B$14,$L56&lt;0.3),"Creștere + penetrare mică",IF(AND($F56&lt;&gt;"",$F56&lt;='09_PARAMETRI'!$B$13),"Produs în scădere",IF($D56=0,"Fără vânzări","Stabil")))))</f>
        <v/>
      </c>
      <c r="N56" s="39">
        <f>IF($A56="","",IF($M56="Marjă sub referință","Marjă / preț",IF($M56="Creștere + penetrare mică","Creștere produs",IF($M56="Produs în scădere","Cross-sell",IF($M56="Fără vânzări","Proces / operațional","Cross-sell")))))</f>
        <v/>
      </c>
      <c r="O56" s="24">
        <f>IF($A56="","",IFERROR(IF($M56="Marjă sub referință",MAX(0,$D56*('09_PARAMETRI'!$B$15-$H56)),IF($M56="Creștere + penetrare mică",$D56*0.5,IF($M56="Produs în scădere",MAX(0,$E56-$D56),$D56*0.1))),""))</f>
        <v/>
      </c>
      <c r="P56" s="48">
        <f>IF(OR($A56="",$D56="",N($D56)&lt;=0),"",$D56+ROW()/1000000)</f>
        <v/>
      </c>
    </row>
    <row r="57">
      <c r="A57" s="39">
        <f>IF('11_PRODUSE'!$A57="","",'11_PRODUSE'!$A57)</f>
        <v/>
      </c>
      <c r="B57" s="39">
        <f>IF($A57="","",IFERROR(INDEX('11_PRODUSE'!$B$5:$B$104,MATCH($A57,'11_PRODUSE'!$A$5:$A$104,0)),""))</f>
        <v/>
      </c>
      <c r="C57" s="39">
        <f>IF($A57="","",IFERROR(INDEX('11_PRODUSE'!$C$5:$C$104,MATCH($A57,'11_PRODUSE'!$A$5:$A$104,0)),""))</f>
        <v/>
      </c>
      <c r="D57" s="24">
        <f>IF($A57="","",SUMIFS('13_VANZARI'!$H$5:$H$1004,'13_VANZARI'!$E$5:$E$1004,$A57,'13_VANZARI'!$A$5:$A$1004,"&gt;="&amp;'09_PARAMETRI'!$B$5,'13_VANZARI'!$A$5:$A$1004,"&lt;="&amp;'09_PARAMETRI'!$B$6))</f>
        <v/>
      </c>
      <c r="E57" s="24">
        <f>IF($A57="","",SUMIFS('13_VANZARI'!$H$5:$H$1004,'13_VANZARI'!$E$5:$E$1004,$A57,'13_VANZARI'!$A$5:$A$1004,"&gt;="&amp;'09_PARAMETRI'!$B$7,'13_VANZARI'!$A$5:$A$1004,"&lt;="&amp;'09_PARAMETRI'!$B$8))</f>
        <v/>
      </c>
      <c r="F57" s="25">
        <f>IF($A57="","",IFERROR(IF($E57=0,"",($D57-$E57)/ABS($E57)),""))</f>
        <v/>
      </c>
      <c r="G57" s="24">
        <f>IF($A57="","",SUMIFS('13_VANZARI'!$K$5:$K$1004,'13_VANZARI'!$E$5:$E$1004,$A57,'13_VANZARI'!$A$5:$A$1004,"&gt;="&amp;'09_PARAMETRI'!$B$5,'13_VANZARI'!$A$5:$A$1004,"&lt;="&amp;'09_PARAMETRI'!$B$6))</f>
        <v/>
      </c>
      <c r="H57" s="25">
        <f>IF($A57="","",IFERROR($G57/$D57,""))</f>
        <v/>
      </c>
      <c r="I57" s="24">
        <f>IF($A57="","",SUMIFS('13_VANZARI'!$G$5:$G$1004,'13_VANZARI'!$E$5:$E$1004,$A57,'13_VANZARI'!$A$5:$A$1004,"&gt;="&amp;'09_PARAMETRI'!$B$5,'13_VANZARI'!$A$5:$A$1004,"&lt;="&amp;'09_PARAMETRI'!$B$6))</f>
        <v/>
      </c>
      <c r="J57" s="48">
        <f>IF($A57="","",IFERROR($D57/$I57,""))</f>
        <v/>
      </c>
      <c r="K57" s="24">
        <f>IF($A57="","",SUMPRODUCT(('10_CLIENTI'!$A$5:$A$204&lt;&gt;"")*(SUMIFS('13_VANZARI'!$H$5:$H$1004,'13_VANZARI'!$E$5:$E$1004,$A57,'13_VANZARI'!$D$5:$D$1004,'10_CLIENTI'!$A$5:$A$204,'13_VANZARI'!$A$5:$A$1004,"&gt;="&amp;'09_PARAMETRI'!$B$5,'13_VANZARI'!$A$5:$A$1004,"&lt;="&amp;'09_PARAMETRI'!$B$6)&lt;&gt;0)))</f>
        <v/>
      </c>
      <c r="L57" s="25">
        <f>IF($A57="","",IFERROR($K57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7" s="39">
        <f>IF($A57="","",IF(AND($D57&gt;0,$H57&lt;&gt;"",$H57&lt;'09_PARAMETRI'!$B$15),"Marjă sub referință",IF(AND($F57&lt;&gt;"",$F57&gt;='09_PARAMETRI'!$B$14,$L57&lt;0.3),"Creștere + penetrare mică",IF(AND($F57&lt;&gt;"",$F57&lt;='09_PARAMETRI'!$B$13),"Produs în scădere",IF($D57=0,"Fără vânzări","Stabil")))))</f>
        <v/>
      </c>
      <c r="N57" s="39">
        <f>IF($A57="","",IF($M57="Marjă sub referință","Marjă / preț",IF($M57="Creștere + penetrare mică","Creștere produs",IF($M57="Produs în scădere","Cross-sell",IF($M57="Fără vânzări","Proces / operațional","Cross-sell")))))</f>
        <v/>
      </c>
      <c r="O57" s="24">
        <f>IF($A57="","",IFERROR(IF($M57="Marjă sub referință",MAX(0,$D57*('09_PARAMETRI'!$B$15-$H57)),IF($M57="Creștere + penetrare mică",$D57*0.5,IF($M57="Produs în scădere",MAX(0,$E57-$D57),$D57*0.1))),""))</f>
        <v/>
      </c>
      <c r="P57" s="48">
        <f>IF(OR($A57="",$D57="",N($D57)&lt;=0),"",$D57+ROW()/1000000)</f>
        <v/>
      </c>
    </row>
    <row r="58">
      <c r="A58" s="39">
        <f>IF('11_PRODUSE'!$A58="","",'11_PRODUSE'!$A58)</f>
        <v/>
      </c>
      <c r="B58" s="39">
        <f>IF($A58="","",IFERROR(INDEX('11_PRODUSE'!$B$5:$B$104,MATCH($A58,'11_PRODUSE'!$A$5:$A$104,0)),""))</f>
        <v/>
      </c>
      <c r="C58" s="39">
        <f>IF($A58="","",IFERROR(INDEX('11_PRODUSE'!$C$5:$C$104,MATCH($A58,'11_PRODUSE'!$A$5:$A$104,0)),""))</f>
        <v/>
      </c>
      <c r="D58" s="24">
        <f>IF($A58="","",SUMIFS('13_VANZARI'!$H$5:$H$1004,'13_VANZARI'!$E$5:$E$1004,$A58,'13_VANZARI'!$A$5:$A$1004,"&gt;="&amp;'09_PARAMETRI'!$B$5,'13_VANZARI'!$A$5:$A$1004,"&lt;="&amp;'09_PARAMETRI'!$B$6))</f>
        <v/>
      </c>
      <c r="E58" s="24">
        <f>IF($A58="","",SUMIFS('13_VANZARI'!$H$5:$H$1004,'13_VANZARI'!$E$5:$E$1004,$A58,'13_VANZARI'!$A$5:$A$1004,"&gt;="&amp;'09_PARAMETRI'!$B$7,'13_VANZARI'!$A$5:$A$1004,"&lt;="&amp;'09_PARAMETRI'!$B$8))</f>
        <v/>
      </c>
      <c r="F58" s="25">
        <f>IF($A58="","",IFERROR(IF($E58=0,"",($D58-$E58)/ABS($E58)),""))</f>
        <v/>
      </c>
      <c r="G58" s="24">
        <f>IF($A58="","",SUMIFS('13_VANZARI'!$K$5:$K$1004,'13_VANZARI'!$E$5:$E$1004,$A58,'13_VANZARI'!$A$5:$A$1004,"&gt;="&amp;'09_PARAMETRI'!$B$5,'13_VANZARI'!$A$5:$A$1004,"&lt;="&amp;'09_PARAMETRI'!$B$6))</f>
        <v/>
      </c>
      <c r="H58" s="25">
        <f>IF($A58="","",IFERROR($G58/$D58,""))</f>
        <v/>
      </c>
      <c r="I58" s="24">
        <f>IF($A58="","",SUMIFS('13_VANZARI'!$G$5:$G$1004,'13_VANZARI'!$E$5:$E$1004,$A58,'13_VANZARI'!$A$5:$A$1004,"&gt;="&amp;'09_PARAMETRI'!$B$5,'13_VANZARI'!$A$5:$A$1004,"&lt;="&amp;'09_PARAMETRI'!$B$6))</f>
        <v/>
      </c>
      <c r="J58" s="48">
        <f>IF($A58="","",IFERROR($D58/$I58,""))</f>
        <v/>
      </c>
      <c r="K58" s="24">
        <f>IF($A58="","",SUMPRODUCT(('10_CLIENTI'!$A$5:$A$204&lt;&gt;"")*(SUMIFS('13_VANZARI'!$H$5:$H$1004,'13_VANZARI'!$E$5:$E$1004,$A58,'13_VANZARI'!$D$5:$D$1004,'10_CLIENTI'!$A$5:$A$204,'13_VANZARI'!$A$5:$A$1004,"&gt;="&amp;'09_PARAMETRI'!$B$5,'13_VANZARI'!$A$5:$A$1004,"&lt;="&amp;'09_PARAMETRI'!$B$6)&lt;&gt;0)))</f>
        <v/>
      </c>
      <c r="L58" s="25">
        <f>IF($A58="","",IFERROR($K58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8" s="39">
        <f>IF($A58="","",IF(AND($D58&gt;0,$H58&lt;&gt;"",$H58&lt;'09_PARAMETRI'!$B$15),"Marjă sub referință",IF(AND($F58&lt;&gt;"",$F58&gt;='09_PARAMETRI'!$B$14,$L58&lt;0.3),"Creștere + penetrare mică",IF(AND($F58&lt;&gt;"",$F58&lt;='09_PARAMETRI'!$B$13),"Produs în scădere",IF($D58=0,"Fără vânzări","Stabil")))))</f>
        <v/>
      </c>
      <c r="N58" s="39">
        <f>IF($A58="","",IF($M58="Marjă sub referință","Marjă / preț",IF($M58="Creștere + penetrare mică","Creștere produs",IF($M58="Produs în scădere","Cross-sell",IF($M58="Fără vânzări","Proces / operațional","Cross-sell")))))</f>
        <v/>
      </c>
      <c r="O58" s="24">
        <f>IF($A58="","",IFERROR(IF($M58="Marjă sub referință",MAX(0,$D58*('09_PARAMETRI'!$B$15-$H58)),IF($M58="Creștere + penetrare mică",$D58*0.5,IF($M58="Produs în scădere",MAX(0,$E58-$D58),$D58*0.1))),""))</f>
        <v/>
      </c>
      <c r="P58" s="48">
        <f>IF(OR($A58="",$D58="",N($D58)&lt;=0),"",$D58+ROW()/1000000)</f>
        <v/>
      </c>
    </row>
    <row r="59">
      <c r="A59" s="39">
        <f>IF('11_PRODUSE'!$A59="","",'11_PRODUSE'!$A59)</f>
        <v/>
      </c>
      <c r="B59" s="39">
        <f>IF($A59="","",IFERROR(INDEX('11_PRODUSE'!$B$5:$B$104,MATCH($A59,'11_PRODUSE'!$A$5:$A$104,0)),""))</f>
        <v/>
      </c>
      <c r="C59" s="39">
        <f>IF($A59="","",IFERROR(INDEX('11_PRODUSE'!$C$5:$C$104,MATCH($A59,'11_PRODUSE'!$A$5:$A$104,0)),""))</f>
        <v/>
      </c>
      <c r="D59" s="24">
        <f>IF($A59="","",SUMIFS('13_VANZARI'!$H$5:$H$1004,'13_VANZARI'!$E$5:$E$1004,$A59,'13_VANZARI'!$A$5:$A$1004,"&gt;="&amp;'09_PARAMETRI'!$B$5,'13_VANZARI'!$A$5:$A$1004,"&lt;="&amp;'09_PARAMETRI'!$B$6))</f>
        <v/>
      </c>
      <c r="E59" s="24">
        <f>IF($A59="","",SUMIFS('13_VANZARI'!$H$5:$H$1004,'13_VANZARI'!$E$5:$E$1004,$A59,'13_VANZARI'!$A$5:$A$1004,"&gt;="&amp;'09_PARAMETRI'!$B$7,'13_VANZARI'!$A$5:$A$1004,"&lt;="&amp;'09_PARAMETRI'!$B$8))</f>
        <v/>
      </c>
      <c r="F59" s="25">
        <f>IF($A59="","",IFERROR(IF($E59=0,"",($D59-$E59)/ABS($E59)),""))</f>
        <v/>
      </c>
      <c r="G59" s="24">
        <f>IF($A59="","",SUMIFS('13_VANZARI'!$K$5:$K$1004,'13_VANZARI'!$E$5:$E$1004,$A59,'13_VANZARI'!$A$5:$A$1004,"&gt;="&amp;'09_PARAMETRI'!$B$5,'13_VANZARI'!$A$5:$A$1004,"&lt;="&amp;'09_PARAMETRI'!$B$6))</f>
        <v/>
      </c>
      <c r="H59" s="25">
        <f>IF($A59="","",IFERROR($G59/$D59,""))</f>
        <v/>
      </c>
      <c r="I59" s="24">
        <f>IF($A59="","",SUMIFS('13_VANZARI'!$G$5:$G$1004,'13_VANZARI'!$E$5:$E$1004,$A59,'13_VANZARI'!$A$5:$A$1004,"&gt;="&amp;'09_PARAMETRI'!$B$5,'13_VANZARI'!$A$5:$A$1004,"&lt;="&amp;'09_PARAMETRI'!$B$6))</f>
        <v/>
      </c>
      <c r="J59" s="48">
        <f>IF($A59="","",IFERROR($D59/$I59,""))</f>
        <v/>
      </c>
      <c r="K59" s="24">
        <f>IF($A59="","",SUMPRODUCT(('10_CLIENTI'!$A$5:$A$204&lt;&gt;"")*(SUMIFS('13_VANZARI'!$H$5:$H$1004,'13_VANZARI'!$E$5:$E$1004,$A59,'13_VANZARI'!$D$5:$D$1004,'10_CLIENTI'!$A$5:$A$204,'13_VANZARI'!$A$5:$A$1004,"&gt;="&amp;'09_PARAMETRI'!$B$5,'13_VANZARI'!$A$5:$A$1004,"&lt;="&amp;'09_PARAMETRI'!$B$6)&lt;&gt;0)))</f>
        <v/>
      </c>
      <c r="L59" s="25">
        <f>IF($A59="","",IFERROR($K59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59" s="39">
        <f>IF($A59="","",IF(AND($D59&gt;0,$H59&lt;&gt;"",$H59&lt;'09_PARAMETRI'!$B$15),"Marjă sub referință",IF(AND($F59&lt;&gt;"",$F59&gt;='09_PARAMETRI'!$B$14,$L59&lt;0.3),"Creștere + penetrare mică",IF(AND($F59&lt;&gt;"",$F59&lt;='09_PARAMETRI'!$B$13),"Produs în scădere",IF($D59=0,"Fără vânzări","Stabil")))))</f>
        <v/>
      </c>
      <c r="N59" s="39">
        <f>IF($A59="","",IF($M59="Marjă sub referință","Marjă / preț",IF($M59="Creștere + penetrare mică","Creștere produs",IF($M59="Produs în scădere","Cross-sell",IF($M59="Fără vânzări","Proces / operațional","Cross-sell")))))</f>
        <v/>
      </c>
      <c r="O59" s="24">
        <f>IF($A59="","",IFERROR(IF($M59="Marjă sub referință",MAX(0,$D59*('09_PARAMETRI'!$B$15-$H59)),IF($M59="Creștere + penetrare mică",$D59*0.5,IF($M59="Produs în scădere",MAX(0,$E59-$D59),$D59*0.1))),""))</f>
        <v/>
      </c>
      <c r="P59" s="48">
        <f>IF(OR($A59="",$D59="",N($D59)&lt;=0),"",$D59+ROW()/1000000)</f>
        <v/>
      </c>
    </row>
    <row r="60">
      <c r="A60" s="39">
        <f>IF('11_PRODUSE'!$A60="","",'11_PRODUSE'!$A60)</f>
        <v/>
      </c>
      <c r="B60" s="39">
        <f>IF($A60="","",IFERROR(INDEX('11_PRODUSE'!$B$5:$B$104,MATCH($A60,'11_PRODUSE'!$A$5:$A$104,0)),""))</f>
        <v/>
      </c>
      <c r="C60" s="39">
        <f>IF($A60="","",IFERROR(INDEX('11_PRODUSE'!$C$5:$C$104,MATCH($A60,'11_PRODUSE'!$A$5:$A$104,0)),""))</f>
        <v/>
      </c>
      <c r="D60" s="24">
        <f>IF($A60="","",SUMIFS('13_VANZARI'!$H$5:$H$1004,'13_VANZARI'!$E$5:$E$1004,$A60,'13_VANZARI'!$A$5:$A$1004,"&gt;="&amp;'09_PARAMETRI'!$B$5,'13_VANZARI'!$A$5:$A$1004,"&lt;="&amp;'09_PARAMETRI'!$B$6))</f>
        <v/>
      </c>
      <c r="E60" s="24">
        <f>IF($A60="","",SUMIFS('13_VANZARI'!$H$5:$H$1004,'13_VANZARI'!$E$5:$E$1004,$A60,'13_VANZARI'!$A$5:$A$1004,"&gt;="&amp;'09_PARAMETRI'!$B$7,'13_VANZARI'!$A$5:$A$1004,"&lt;="&amp;'09_PARAMETRI'!$B$8))</f>
        <v/>
      </c>
      <c r="F60" s="25">
        <f>IF($A60="","",IFERROR(IF($E60=0,"",($D60-$E60)/ABS($E60)),""))</f>
        <v/>
      </c>
      <c r="G60" s="24">
        <f>IF($A60="","",SUMIFS('13_VANZARI'!$K$5:$K$1004,'13_VANZARI'!$E$5:$E$1004,$A60,'13_VANZARI'!$A$5:$A$1004,"&gt;="&amp;'09_PARAMETRI'!$B$5,'13_VANZARI'!$A$5:$A$1004,"&lt;="&amp;'09_PARAMETRI'!$B$6))</f>
        <v/>
      </c>
      <c r="H60" s="25">
        <f>IF($A60="","",IFERROR($G60/$D60,""))</f>
        <v/>
      </c>
      <c r="I60" s="24">
        <f>IF($A60="","",SUMIFS('13_VANZARI'!$G$5:$G$1004,'13_VANZARI'!$E$5:$E$1004,$A60,'13_VANZARI'!$A$5:$A$1004,"&gt;="&amp;'09_PARAMETRI'!$B$5,'13_VANZARI'!$A$5:$A$1004,"&lt;="&amp;'09_PARAMETRI'!$B$6))</f>
        <v/>
      </c>
      <c r="J60" s="48">
        <f>IF($A60="","",IFERROR($D60/$I60,""))</f>
        <v/>
      </c>
      <c r="K60" s="24">
        <f>IF($A60="","",SUMPRODUCT(('10_CLIENTI'!$A$5:$A$204&lt;&gt;"")*(SUMIFS('13_VANZARI'!$H$5:$H$1004,'13_VANZARI'!$E$5:$E$1004,$A60,'13_VANZARI'!$D$5:$D$1004,'10_CLIENTI'!$A$5:$A$204,'13_VANZARI'!$A$5:$A$1004,"&gt;="&amp;'09_PARAMETRI'!$B$5,'13_VANZARI'!$A$5:$A$1004,"&lt;="&amp;'09_PARAMETRI'!$B$6)&lt;&gt;0)))</f>
        <v/>
      </c>
      <c r="L60" s="25">
        <f>IF($A60="","",IFERROR($K60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0" s="39">
        <f>IF($A60="","",IF(AND($D60&gt;0,$H60&lt;&gt;"",$H60&lt;'09_PARAMETRI'!$B$15),"Marjă sub referință",IF(AND($F60&lt;&gt;"",$F60&gt;='09_PARAMETRI'!$B$14,$L60&lt;0.3),"Creștere + penetrare mică",IF(AND($F60&lt;&gt;"",$F60&lt;='09_PARAMETRI'!$B$13),"Produs în scădere",IF($D60=0,"Fără vânzări","Stabil")))))</f>
        <v/>
      </c>
      <c r="N60" s="39">
        <f>IF($A60="","",IF($M60="Marjă sub referință","Marjă / preț",IF($M60="Creștere + penetrare mică","Creștere produs",IF($M60="Produs în scădere","Cross-sell",IF($M60="Fără vânzări","Proces / operațional","Cross-sell")))))</f>
        <v/>
      </c>
      <c r="O60" s="24">
        <f>IF($A60="","",IFERROR(IF($M60="Marjă sub referință",MAX(0,$D60*('09_PARAMETRI'!$B$15-$H60)),IF($M60="Creștere + penetrare mică",$D60*0.5,IF($M60="Produs în scădere",MAX(0,$E60-$D60),$D60*0.1))),""))</f>
        <v/>
      </c>
      <c r="P60" s="48">
        <f>IF(OR($A60="",$D60="",N($D60)&lt;=0),"",$D60+ROW()/1000000)</f>
        <v/>
      </c>
    </row>
    <row r="61">
      <c r="A61" s="39">
        <f>IF('11_PRODUSE'!$A61="","",'11_PRODUSE'!$A61)</f>
        <v/>
      </c>
      <c r="B61" s="39">
        <f>IF($A61="","",IFERROR(INDEX('11_PRODUSE'!$B$5:$B$104,MATCH($A61,'11_PRODUSE'!$A$5:$A$104,0)),""))</f>
        <v/>
      </c>
      <c r="C61" s="39">
        <f>IF($A61="","",IFERROR(INDEX('11_PRODUSE'!$C$5:$C$104,MATCH($A61,'11_PRODUSE'!$A$5:$A$104,0)),""))</f>
        <v/>
      </c>
      <c r="D61" s="24">
        <f>IF($A61="","",SUMIFS('13_VANZARI'!$H$5:$H$1004,'13_VANZARI'!$E$5:$E$1004,$A61,'13_VANZARI'!$A$5:$A$1004,"&gt;="&amp;'09_PARAMETRI'!$B$5,'13_VANZARI'!$A$5:$A$1004,"&lt;="&amp;'09_PARAMETRI'!$B$6))</f>
        <v/>
      </c>
      <c r="E61" s="24">
        <f>IF($A61="","",SUMIFS('13_VANZARI'!$H$5:$H$1004,'13_VANZARI'!$E$5:$E$1004,$A61,'13_VANZARI'!$A$5:$A$1004,"&gt;="&amp;'09_PARAMETRI'!$B$7,'13_VANZARI'!$A$5:$A$1004,"&lt;="&amp;'09_PARAMETRI'!$B$8))</f>
        <v/>
      </c>
      <c r="F61" s="25">
        <f>IF($A61="","",IFERROR(IF($E61=0,"",($D61-$E61)/ABS($E61)),""))</f>
        <v/>
      </c>
      <c r="G61" s="24">
        <f>IF($A61="","",SUMIFS('13_VANZARI'!$K$5:$K$1004,'13_VANZARI'!$E$5:$E$1004,$A61,'13_VANZARI'!$A$5:$A$1004,"&gt;="&amp;'09_PARAMETRI'!$B$5,'13_VANZARI'!$A$5:$A$1004,"&lt;="&amp;'09_PARAMETRI'!$B$6))</f>
        <v/>
      </c>
      <c r="H61" s="25">
        <f>IF($A61="","",IFERROR($G61/$D61,""))</f>
        <v/>
      </c>
      <c r="I61" s="24">
        <f>IF($A61="","",SUMIFS('13_VANZARI'!$G$5:$G$1004,'13_VANZARI'!$E$5:$E$1004,$A61,'13_VANZARI'!$A$5:$A$1004,"&gt;="&amp;'09_PARAMETRI'!$B$5,'13_VANZARI'!$A$5:$A$1004,"&lt;="&amp;'09_PARAMETRI'!$B$6))</f>
        <v/>
      </c>
      <c r="J61" s="48">
        <f>IF($A61="","",IFERROR($D61/$I61,""))</f>
        <v/>
      </c>
      <c r="K61" s="24">
        <f>IF($A61="","",SUMPRODUCT(('10_CLIENTI'!$A$5:$A$204&lt;&gt;"")*(SUMIFS('13_VANZARI'!$H$5:$H$1004,'13_VANZARI'!$E$5:$E$1004,$A61,'13_VANZARI'!$D$5:$D$1004,'10_CLIENTI'!$A$5:$A$204,'13_VANZARI'!$A$5:$A$1004,"&gt;="&amp;'09_PARAMETRI'!$B$5,'13_VANZARI'!$A$5:$A$1004,"&lt;="&amp;'09_PARAMETRI'!$B$6)&lt;&gt;0)))</f>
        <v/>
      </c>
      <c r="L61" s="25">
        <f>IF($A61="","",IFERROR($K61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1" s="39">
        <f>IF($A61="","",IF(AND($D61&gt;0,$H61&lt;&gt;"",$H61&lt;'09_PARAMETRI'!$B$15),"Marjă sub referință",IF(AND($F61&lt;&gt;"",$F61&gt;='09_PARAMETRI'!$B$14,$L61&lt;0.3),"Creștere + penetrare mică",IF(AND($F61&lt;&gt;"",$F61&lt;='09_PARAMETRI'!$B$13),"Produs în scădere",IF($D61=0,"Fără vânzări","Stabil")))))</f>
        <v/>
      </c>
      <c r="N61" s="39">
        <f>IF($A61="","",IF($M61="Marjă sub referință","Marjă / preț",IF($M61="Creștere + penetrare mică","Creștere produs",IF($M61="Produs în scădere","Cross-sell",IF($M61="Fără vânzări","Proces / operațional","Cross-sell")))))</f>
        <v/>
      </c>
      <c r="O61" s="24">
        <f>IF($A61="","",IFERROR(IF($M61="Marjă sub referință",MAX(0,$D61*('09_PARAMETRI'!$B$15-$H61)),IF($M61="Creștere + penetrare mică",$D61*0.5,IF($M61="Produs în scădere",MAX(0,$E61-$D61),$D61*0.1))),""))</f>
        <v/>
      </c>
      <c r="P61" s="48">
        <f>IF(OR($A61="",$D61="",N($D61)&lt;=0),"",$D61+ROW()/1000000)</f>
        <v/>
      </c>
    </row>
    <row r="62">
      <c r="A62" s="39">
        <f>IF('11_PRODUSE'!$A62="","",'11_PRODUSE'!$A62)</f>
        <v/>
      </c>
      <c r="B62" s="39">
        <f>IF($A62="","",IFERROR(INDEX('11_PRODUSE'!$B$5:$B$104,MATCH($A62,'11_PRODUSE'!$A$5:$A$104,0)),""))</f>
        <v/>
      </c>
      <c r="C62" s="39">
        <f>IF($A62="","",IFERROR(INDEX('11_PRODUSE'!$C$5:$C$104,MATCH($A62,'11_PRODUSE'!$A$5:$A$104,0)),""))</f>
        <v/>
      </c>
      <c r="D62" s="24">
        <f>IF($A62="","",SUMIFS('13_VANZARI'!$H$5:$H$1004,'13_VANZARI'!$E$5:$E$1004,$A62,'13_VANZARI'!$A$5:$A$1004,"&gt;="&amp;'09_PARAMETRI'!$B$5,'13_VANZARI'!$A$5:$A$1004,"&lt;="&amp;'09_PARAMETRI'!$B$6))</f>
        <v/>
      </c>
      <c r="E62" s="24">
        <f>IF($A62="","",SUMIFS('13_VANZARI'!$H$5:$H$1004,'13_VANZARI'!$E$5:$E$1004,$A62,'13_VANZARI'!$A$5:$A$1004,"&gt;="&amp;'09_PARAMETRI'!$B$7,'13_VANZARI'!$A$5:$A$1004,"&lt;="&amp;'09_PARAMETRI'!$B$8))</f>
        <v/>
      </c>
      <c r="F62" s="25">
        <f>IF($A62="","",IFERROR(IF($E62=0,"",($D62-$E62)/ABS($E62)),""))</f>
        <v/>
      </c>
      <c r="G62" s="24">
        <f>IF($A62="","",SUMIFS('13_VANZARI'!$K$5:$K$1004,'13_VANZARI'!$E$5:$E$1004,$A62,'13_VANZARI'!$A$5:$A$1004,"&gt;="&amp;'09_PARAMETRI'!$B$5,'13_VANZARI'!$A$5:$A$1004,"&lt;="&amp;'09_PARAMETRI'!$B$6))</f>
        <v/>
      </c>
      <c r="H62" s="25">
        <f>IF($A62="","",IFERROR($G62/$D62,""))</f>
        <v/>
      </c>
      <c r="I62" s="24">
        <f>IF($A62="","",SUMIFS('13_VANZARI'!$G$5:$G$1004,'13_VANZARI'!$E$5:$E$1004,$A62,'13_VANZARI'!$A$5:$A$1004,"&gt;="&amp;'09_PARAMETRI'!$B$5,'13_VANZARI'!$A$5:$A$1004,"&lt;="&amp;'09_PARAMETRI'!$B$6))</f>
        <v/>
      </c>
      <c r="J62" s="48">
        <f>IF($A62="","",IFERROR($D62/$I62,""))</f>
        <v/>
      </c>
      <c r="K62" s="24">
        <f>IF($A62="","",SUMPRODUCT(('10_CLIENTI'!$A$5:$A$204&lt;&gt;"")*(SUMIFS('13_VANZARI'!$H$5:$H$1004,'13_VANZARI'!$E$5:$E$1004,$A62,'13_VANZARI'!$D$5:$D$1004,'10_CLIENTI'!$A$5:$A$204,'13_VANZARI'!$A$5:$A$1004,"&gt;="&amp;'09_PARAMETRI'!$B$5,'13_VANZARI'!$A$5:$A$1004,"&lt;="&amp;'09_PARAMETRI'!$B$6)&lt;&gt;0)))</f>
        <v/>
      </c>
      <c r="L62" s="25">
        <f>IF($A62="","",IFERROR($K62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2" s="39">
        <f>IF($A62="","",IF(AND($D62&gt;0,$H62&lt;&gt;"",$H62&lt;'09_PARAMETRI'!$B$15),"Marjă sub referință",IF(AND($F62&lt;&gt;"",$F62&gt;='09_PARAMETRI'!$B$14,$L62&lt;0.3),"Creștere + penetrare mică",IF(AND($F62&lt;&gt;"",$F62&lt;='09_PARAMETRI'!$B$13),"Produs în scădere",IF($D62=0,"Fără vânzări","Stabil")))))</f>
        <v/>
      </c>
      <c r="N62" s="39">
        <f>IF($A62="","",IF($M62="Marjă sub referință","Marjă / preț",IF($M62="Creștere + penetrare mică","Creștere produs",IF($M62="Produs în scădere","Cross-sell",IF($M62="Fără vânzări","Proces / operațional","Cross-sell")))))</f>
        <v/>
      </c>
      <c r="O62" s="24">
        <f>IF($A62="","",IFERROR(IF($M62="Marjă sub referință",MAX(0,$D62*('09_PARAMETRI'!$B$15-$H62)),IF($M62="Creștere + penetrare mică",$D62*0.5,IF($M62="Produs în scădere",MAX(0,$E62-$D62),$D62*0.1))),""))</f>
        <v/>
      </c>
      <c r="P62" s="48">
        <f>IF(OR($A62="",$D62="",N($D62)&lt;=0),"",$D62+ROW()/1000000)</f>
        <v/>
      </c>
    </row>
    <row r="63">
      <c r="A63" s="39">
        <f>IF('11_PRODUSE'!$A63="","",'11_PRODUSE'!$A63)</f>
        <v/>
      </c>
      <c r="B63" s="39">
        <f>IF($A63="","",IFERROR(INDEX('11_PRODUSE'!$B$5:$B$104,MATCH($A63,'11_PRODUSE'!$A$5:$A$104,0)),""))</f>
        <v/>
      </c>
      <c r="C63" s="39">
        <f>IF($A63="","",IFERROR(INDEX('11_PRODUSE'!$C$5:$C$104,MATCH($A63,'11_PRODUSE'!$A$5:$A$104,0)),""))</f>
        <v/>
      </c>
      <c r="D63" s="24">
        <f>IF($A63="","",SUMIFS('13_VANZARI'!$H$5:$H$1004,'13_VANZARI'!$E$5:$E$1004,$A63,'13_VANZARI'!$A$5:$A$1004,"&gt;="&amp;'09_PARAMETRI'!$B$5,'13_VANZARI'!$A$5:$A$1004,"&lt;="&amp;'09_PARAMETRI'!$B$6))</f>
        <v/>
      </c>
      <c r="E63" s="24">
        <f>IF($A63="","",SUMIFS('13_VANZARI'!$H$5:$H$1004,'13_VANZARI'!$E$5:$E$1004,$A63,'13_VANZARI'!$A$5:$A$1004,"&gt;="&amp;'09_PARAMETRI'!$B$7,'13_VANZARI'!$A$5:$A$1004,"&lt;="&amp;'09_PARAMETRI'!$B$8))</f>
        <v/>
      </c>
      <c r="F63" s="25">
        <f>IF($A63="","",IFERROR(IF($E63=0,"",($D63-$E63)/ABS($E63)),""))</f>
        <v/>
      </c>
      <c r="G63" s="24">
        <f>IF($A63="","",SUMIFS('13_VANZARI'!$K$5:$K$1004,'13_VANZARI'!$E$5:$E$1004,$A63,'13_VANZARI'!$A$5:$A$1004,"&gt;="&amp;'09_PARAMETRI'!$B$5,'13_VANZARI'!$A$5:$A$1004,"&lt;="&amp;'09_PARAMETRI'!$B$6))</f>
        <v/>
      </c>
      <c r="H63" s="25">
        <f>IF($A63="","",IFERROR($G63/$D63,""))</f>
        <v/>
      </c>
      <c r="I63" s="24">
        <f>IF($A63="","",SUMIFS('13_VANZARI'!$G$5:$G$1004,'13_VANZARI'!$E$5:$E$1004,$A63,'13_VANZARI'!$A$5:$A$1004,"&gt;="&amp;'09_PARAMETRI'!$B$5,'13_VANZARI'!$A$5:$A$1004,"&lt;="&amp;'09_PARAMETRI'!$B$6))</f>
        <v/>
      </c>
      <c r="J63" s="48">
        <f>IF($A63="","",IFERROR($D63/$I63,""))</f>
        <v/>
      </c>
      <c r="K63" s="24">
        <f>IF($A63="","",SUMPRODUCT(('10_CLIENTI'!$A$5:$A$204&lt;&gt;"")*(SUMIFS('13_VANZARI'!$H$5:$H$1004,'13_VANZARI'!$E$5:$E$1004,$A63,'13_VANZARI'!$D$5:$D$1004,'10_CLIENTI'!$A$5:$A$204,'13_VANZARI'!$A$5:$A$1004,"&gt;="&amp;'09_PARAMETRI'!$B$5,'13_VANZARI'!$A$5:$A$1004,"&lt;="&amp;'09_PARAMETRI'!$B$6)&lt;&gt;0)))</f>
        <v/>
      </c>
      <c r="L63" s="25">
        <f>IF($A63="","",IFERROR($K63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3" s="39">
        <f>IF($A63="","",IF(AND($D63&gt;0,$H63&lt;&gt;"",$H63&lt;'09_PARAMETRI'!$B$15),"Marjă sub referință",IF(AND($F63&lt;&gt;"",$F63&gt;='09_PARAMETRI'!$B$14,$L63&lt;0.3),"Creștere + penetrare mică",IF(AND($F63&lt;&gt;"",$F63&lt;='09_PARAMETRI'!$B$13),"Produs în scădere",IF($D63=0,"Fără vânzări","Stabil")))))</f>
        <v/>
      </c>
      <c r="N63" s="39">
        <f>IF($A63="","",IF($M63="Marjă sub referință","Marjă / preț",IF($M63="Creștere + penetrare mică","Creștere produs",IF($M63="Produs în scădere","Cross-sell",IF($M63="Fără vânzări","Proces / operațional","Cross-sell")))))</f>
        <v/>
      </c>
      <c r="O63" s="24">
        <f>IF($A63="","",IFERROR(IF($M63="Marjă sub referință",MAX(0,$D63*('09_PARAMETRI'!$B$15-$H63)),IF($M63="Creștere + penetrare mică",$D63*0.5,IF($M63="Produs în scădere",MAX(0,$E63-$D63),$D63*0.1))),""))</f>
        <v/>
      </c>
      <c r="P63" s="48">
        <f>IF(OR($A63="",$D63="",N($D63)&lt;=0),"",$D63+ROW()/1000000)</f>
        <v/>
      </c>
    </row>
    <row r="64">
      <c r="A64" s="39">
        <f>IF('11_PRODUSE'!$A64="","",'11_PRODUSE'!$A64)</f>
        <v/>
      </c>
      <c r="B64" s="39">
        <f>IF($A64="","",IFERROR(INDEX('11_PRODUSE'!$B$5:$B$104,MATCH($A64,'11_PRODUSE'!$A$5:$A$104,0)),""))</f>
        <v/>
      </c>
      <c r="C64" s="39">
        <f>IF($A64="","",IFERROR(INDEX('11_PRODUSE'!$C$5:$C$104,MATCH($A64,'11_PRODUSE'!$A$5:$A$104,0)),""))</f>
        <v/>
      </c>
      <c r="D64" s="24">
        <f>IF($A64="","",SUMIFS('13_VANZARI'!$H$5:$H$1004,'13_VANZARI'!$E$5:$E$1004,$A64,'13_VANZARI'!$A$5:$A$1004,"&gt;="&amp;'09_PARAMETRI'!$B$5,'13_VANZARI'!$A$5:$A$1004,"&lt;="&amp;'09_PARAMETRI'!$B$6))</f>
        <v/>
      </c>
      <c r="E64" s="24">
        <f>IF($A64="","",SUMIFS('13_VANZARI'!$H$5:$H$1004,'13_VANZARI'!$E$5:$E$1004,$A64,'13_VANZARI'!$A$5:$A$1004,"&gt;="&amp;'09_PARAMETRI'!$B$7,'13_VANZARI'!$A$5:$A$1004,"&lt;="&amp;'09_PARAMETRI'!$B$8))</f>
        <v/>
      </c>
      <c r="F64" s="25">
        <f>IF($A64="","",IFERROR(IF($E64=0,"",($D64-$E64)/ABS($E64)),""))</f>
        <v/>
      </c>
      <c r="G64" s="24">
        <f>IF($A64="","",SUMIFS('13_VANZARI'!$K$5:$K$1004,'13_VANZARI'!$E$5:$E$1004,$A64,'13_VANZARI'!$A$5:$A$1004,"&gt;="&amp;'09_PARAMETRI'!$B$5,'13_VANZARI'!$A$5:$A$1004,"&lt;="&amp;'09_PARAMETRI'!$B$6))</f>
        <v/>
      </c>
      <c r="H64" s="25">
        <f>IF($A64="","",IFERROR($G64/$D64,""))</f>
        <v/>
      </c>
      <c r="I64" s="24">
        <f>IF($A64="","",SUMIFS('13_VANZARI'!$G$5:$G$1004,'13_VANZARI'!$E$5:$E$1004,$A64,'13_VANZARI'!$A$5:$A$1004,"&gt;="&amp;'09_PARAMETRI'!$B$5,'13_VANZARI'!$A$5:$A$1004,"&lt;="&amp;'09_PARAMETRI'!$B$6))</f>
        <v/>
      </c>
      <c r="J64" s="48">
        <f>IF($A64="","",IFERROR($D64/$I64,""))</f>
        <v/>
      </c>
      <c r="K64" s="24">
        <f>IF($A64="","",SUMPRODUCT(('10_CLIENTI'!$A$5:$A$204&lt;&gt;"")*(SUMIFS('13_VANZARI'!$H$5:$H$1004,'13_VANZARI'!$E$5:$E$1004,$A64,'13_VANZARI'!$D$5:$D$1004,'10_CLIENTI'!$A$5:$A$204,'13_VANZARI'!$A$5:$A$1004,"&gt;="&amp;'09_PARAMETRI'!$B$5,'13_VANZARI'!$A$5:$A$1004,"&lt;="&amp;'09_PARAMETRI'!$B$6)&lt;&gt;0)))</f>
        <v/>
      </c>
      <c r="L64" s="25">
        <f>IF($A64="","",IFERROR($K64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4" s="39">
        <f>IF($A64="","",IF(AND($D64&gt;0,$H64&lt;&gt;"",$H64&lt;'09_PARAMETRI'!$B$15),"Marjă sub referință",IF(AND($F64&lt;&gt;"",$F64&gt;='09_PARAMETRI'!$B$14,$L64&lt;0.3),"Creștere + penetrare mică",IF(AND($F64&lt;&gt;"",$F64&lt;='09_PARAMETRI'!$B$13),"Produs în scădere",IF($D64=0,"Fără vânzări","Stabil")))))</f>
        <v/>
      </c>
      <c r="N64" s="39">
        <f>IF($A64="","",IF($M64="Marjă sub referință","Marjă / preț",IF($M64="Creștere + penetrare mică","Creștere produs",IF($M64="Produs în scădere","Cross-sell",IF($M64="Fără vânzări","Proces / operațional","Cross-sell")))))</f>
        <v/>
      </c>
      <c r="O64" s="24">
        <f>IF($A64="","",IFERROR(IF($M64="Marjă sub referință",MAX(0,$D64*('09_PARAMETRI'!$B$15-$H64)),IF($M64="Creștere + penetrare mică",$D64*0.5,IF($M64="Produs în scădere",MAX(0,$E64-$D64),$D64*0.1))),""))</f>
        <v/>
      </c>
      <c r="P64" s="48">
        <f>IF(OR($A64="",$D64="",N($D64)&lt;=0),"",$D64+ROW()/1000000)</f>
        <v/>
      </c>
    </row>
    <row r="65">
      <c r="A65" s="39">
        <f>IF('11_PRODUSE'!$A65="","",'11_PRODUSE'!$A65)</f>
        <v/>
      </c>
      <c r="B65" s="39">
        <f>IF($A65="","",IFERROR(INDEX('11_PRODUSE'!$B$5:$B$104,MATCH($A65,'11_PRODUSE'!$A$5:$A$104,0)),""))</f>
        <v/>
      </c>
      <c r="C65" s="39">
        <f>IF($A65="","",IFERROR(INDEX('11_PRODUSE'!$C$5:$C$104,MATCH($A65,'11_PRODUSE'!$A$5:$A$104,0)),""))</f>
        <v/>
      </c>
      <c r="D65" s="24">
        <f>IF($A65="","",SUMIFS('13_VANZARI'!$H$5:$H$1004,'13_VANZARI'!$E$5:$E$1004,$A65,'13_VANZARI'!$A$5:$A$1004,"&gt;="&amp;'09_PARAMETRI'!$B$5,'13_VANZARI'!$A$5:$A$1004,"&lt;="&amp;'09_PARAMETRI'!$B$6))</f>
        <v/>
      </c>
      <c r="E65" s="24">
        <f>IF($A65="","",SUMIFS('13_VANZARI'!$H$5:$H$1004,'13_VANZARI'!$E$5:$E$1004,$A65,'13_VANZARI'!$A$5:$A$1004,"&gt;="&amp;'09_PARAMETRI'!$B$7,'13_VANZARI'!$A$5:$A$1004,"&lt;="&amp;'09_PARAMETRI'!$B$8))</f>
        <v/>
      </c>
      <c r="F65" s="25">
        <f>IF($A65="","",IFERROR(IF($E65=0,"",($D65-$E65)/ABS($E65)),""))</f>
        <v/>
      </c>
      <c r="G65" s="24">
        <f>IF($A65="","",SUMIFS('13_VANZARI'!$K$5:$K$1004,'13_VANZARI'!$E$5:$E$1004,$A65,'13_VANZARI'!$A$5:$A$1004,"&gt;="&amp;'09_PARAMETRI'!$B$5,'13_VANZARI'!$A$5:$A$1004,"&lt;="&amp;'09_PARAMETRI'!$B$6))</f>
        <v/>
      </c>
      <c r="H65" s="25">
        <f>IF($A65="","",IFERROR($G65/$D65,""))</f>
        <v/>
      </c>
      <c r="I65" s="24">
        <f>IF($A65="","",SUMIFS('13_VANZARI'!$G$5:$G$1004,'13_VANZARI'!$E$5:$E$1004,$A65,'13_VANZARI'!$A$5:$A$1004,"&gt;="&amp;'09_PARAMETRI'!$B$5,'13_VANZARI'!$A$5:$A$1004,"&lt;="&amp;'09_PARAMETRI'!$B$6))</f>
        <v/>
      </c>
      <c r="J65" s="48">
        <f>IF($A65="","",IFERROR($D65/$I65,""))</f>
        <v/>
      </c>
      <c r="K65" s="24">
        <f>IF($A65="","",SUMPRODUCT(('10_CLIENTI'!$A$5:$A$204&lt;&gt;"")*(SUMIFS('13_VANZARI'!$H$5:$H$1004,'13_VANZARI'!$E$5:$E$1004,$A65,'13_VANZARI'!$D$5:$D$1004,'10_CLIENTI'!$A$5:$A$204,'13_VANZARI'!$A$5:$A$1004,"&gt;="&amp;'09_PARAMETRI'!$B$5,'13_VANZARI'!$A$5:$A$1004,"&lt;="&amp;'09_PARAMETRI'!$B$6)&lt;&gt;0)))</f>
        <v/>
      </c>
      <c r="L65" s="25">
        <f>IF($A65="","",IFERROR($K65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5" s="39">
        <f>IF($A65="","",IF(AND($D65&gt;0,$H65&lt;&gt;"",$H65&lt;'09_PARAMETRI'!$B$15),"Marjă sub referință",IF(AND($F65&lt;&gt;"",$F65&gt;='09_PARAMETRI'!$B$14,$L65&lt;0.3),"Creștere + penetrare mică",IF(AND($F65&lt;&gt;"",$F65&lt;='09_PARAMETRI'!$B$13),"Produs în scădere",IF($D65=0,"Fără vânzări","Stabil")))))</f>
        <v/>
      </c>
      <c r="N65" s="39">
        <f>IF($A65="","",IF($M65="Marjă sub referință","Marjă / preț",IF($M65="Creștere + penetrare mică","Creștere produs",IF($M65="Produs în scădere","Cross-sell",IF($M65="Fără vânzări","Proces / operațional","Cross-sell")))))</f>
        <v/>
      </c>
      <c r="O65" s="24">
        <f>IF($A65="","",IFERROR(IF($M65="Marjă sub referință",MAX(0,$D65*('09_PARAMETRI'!$B$15-$H65)),IF($M65="Creștere + penetrare mică",$D65*0.5,IF($M65="Produs în scădere",MAX(0,$E65-$D65),$D65*0.1))),""))</f>
        <v/>
      </c>
      <c r="P65" s="48">
        <f>IF(OR($A65="",$D65="",N($D65)&lt;=0),"",$D65+ROW()/1000000)</f>
        <v/>
      </c>
    </row>
    <row r="66">
      <c r="A66" s="39">
        <f>IF('11_PRODUSE'!$A66="","",'11_PRODUSE'!$A66)</f>
        <v/>
      </c>
      <c r="B66" s="39">
        <f>IF($A66="","",IFERROR(INDEX('11_PRODUSE'!$B$5:$B$104,MATCH($A66,'11_PRODUSE'!$A$5:$A$104,0)),""))</f>
        <v/>
      </c>
      <c r="C66" s="39">
        <f>IF($A66="","",IFERROR(INDEX('11_PRODUSE'!$C$5:$C$104,MATCH($A66,'11_PRODUSE'!$A$5:$A$104,0)),""))</f>
        <v/>
      </c>
      <c r="D66" s="24">
        <f>IF($A66="","",SUMIFS('13_VANZARI'!$H$5:$H$1004,'13_VANZARI'!$E$5:$E$1004,$A66,'13_VANZARI'!$A$5:$A$1004,"&gt;="&amp;'09_PARAMETRI'!$B$5,'13_VANZARI'!$A$5:$A$1004,"&lt;="&amp;'09_PARAMETRI'!$B$6))</f>
        <v/>
      </c>
      <c r="E66" s="24">
        <f>IF($A66="","",SUMIFS('13_VANZARI'!$H$5:$H$1004,'13_VANZARI'!$E$5:$E$1004,$A66,'13_VANZARI'!$A$5:$A$1004,"&gt;="&amp;'09_PARAMETRI'!$B$7,'13_VANZARI'!$A$5:$A$1004,"&lt;="&amp;'09_PARAMETRI'!$B$8))</f>
        <v/>
      </c>
      <c r="F66" s="25">
        <f>IF($A66="","",IFERROR(IF($E66=0,"",($D66-$E66)/ABS($E66)),""))</f>
        <v/>
      </c>
      <c r="G66" s="24">
        <f>IF($A66="","",SUMIFS('13_VANZARI'!$K$5:$K$1004,'13_VANZARI'!$E$5:$E$1004,$A66,'13_VANZARI'!$A$5:$A$1004,"&gt;="&amp;'09_PARAMETRI'!$B$5,'13_VANZARI'!$A$5:$A$1004,"&lt;="&amp;'09_PARAMETRI'!$B$6))</f>
        <v/>
      </c>
      <c r="H66" s="25">
        <f>IF($A66="","",IFERROR($G66/$D66,""))</f>
        <v/>
      </c>
      <c r="I66" s="24">
        <f>IF($A66="","",SUMIFS('13_VANZARI'!$G$5:$G$1004,'13_VANZARI'!$E$5:$E$1004,$A66,'13_VANZARI'!$A$5:$A$1004,"&gt;="&amp;'09_PARAMETRI'!$B$5,'13_VANZARI'!$A$5:$A$1004,"&lt;="&amp;'09_PARAMETRI'!$B$6))</f>
        <v/>
      </c>
      <c r="J66" s="48">
        <f>IF($A66="","",IFERROR($D66/$I66,""))</f>
        <v/>
      </c>
      <c r="K66" s="24">
        <f>IF($A66="","",SUMPRODUCT(('10_CLIENTI'!$A$5:$A$204&lt;&gt;"")*(SUMIFS('13_VANZARI'!$H$5:$H$1004,'13_VANZARI'!$E$5:$E$1004,$A66,'13_VANZARI'!$D$5:$D$1004,'10_CLIENTI'!$A$5:$A$204,'13_VANZARI'!$A$5:$A$1004,"&gt;="&amp;'09_PARAMETRI'!$B$5,'13_VANZARI'!$A$5:$A$1004,"&lt;="&amp;'09_PARAMETRI'!$B$6)&lt;&gt;0)))</f>
        <v/>
      </c>
      <c r="L66" s="25">
        <f>IF($A66="","",IFERROR($K66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6" s="39">
        <f>IF($A66="","",IF(AND($D66&gt;0,$H66&lt;&gt;"",$H66&lt;'09_PARAMETRI'!$B$15),"Marjă sub referință",IF(AND($F66&lt;&gt;"",$F66&gt;='09_PARAMETRI'!$B$14,$L66&lt;0.3),"Creștere + penetrare mică",IF(AND($F66&lt;&gt;"",$F66&lt;='09_PARAMETRI'!$B$13),"Produs în scădere",IF($D66=0,"Fără vânzări","Stabil")))))</f>
        <v/>
      </c>
      <c r="N66" s="39">
        <f>IF($A66="","",IF($M66="Marjă sub referință","Marjă / preț",IF($M66="Creștere + penetrare mică","Creștere produs",IF($M66="Produs în scădere","Cross-sell",IF($M66="Fără vânzări","Proces / operațional","Cross-sell")))))</f>
        <v/>
      </c>
      <c r="O66" s="24">
        <f>IF($A66="","",IFERROR(IF($M66="Marjă sub referință",MAX(0,$D66*('09_PARAMETRI'!$B$15-$H66)),IF($M66="Creștere + penetrare mică",$D66*0.5,IF($M66="Produs în scădere",MAX(0,$E66-$D66),$D66*0.1))),""))</f>
        <v/>
      </c>
      <c r="P66" s="48">
        <f>IF(OR($A66="",$D66="",N($D66)&lt;=0),"",$D66+ROW()/1000000)</f>
        <v/>
      </c>
    </row>
    <row r="67">
      <c r="A67" s="39">
        <f>IF('11_PRODUSE'!$A67="","",'11_PRODUSE'!$A67)</f>
        <v/>
      </c>
      <c r="B67" s="39">
        <f>IF($A67="","",IFERROR(INDEX('11_PRODUSE'!$B$5:$B$104,MATCH($A67,'11_PRODUSE'!$A$5:$A$104,0)),""))</f>
        <v/>
      </c>
      <c r="C67" s="39">
        <f>IF($A67="","",IFERROR(INDEX('11_PRODUSE'!$C$5:$C$104,MATCH($A67,'11_PRODUSE'!$A$5:$A$104,0)),""))</f>
        <v/>
      </c>
      <c r="D67" s="24">
        <f>IF($A67="","",SUMIFS('13_VANZARI'!$H$5:$H$1004,'13_VANZARI'!$E$5:$E$1004,$A67,'13_VANZARI'!$A$5:$A$1004,"&gt;="&amp;'09_PARAMETRI'!$B$5,'13_VANZARI'!$A$5:$A$1004,"&lt;="&amp;'09_PARAMETRI'!$B$6))</f>
        <v/>
      </c>
      <c r="E67" s="24">
        <f>IF($A67="","",SUMIFS('13_VANZARI'!$H$5:$H$1004,'13_VANZARI'!$E$5:$E$1004,$A67,'13_VANZARI'!$A$5:$A$1004,"&gt;="&amp;'09_PARAMETRI'!$B$7,'13_VANZARI'!$A$5:$A$1004,"&lt;="&amp;'09_PARAMETRI'!$B$8))</f>
        <v/>
      </c>
      <c r="F67" s="25">
        <f>IF($A67="","",IFERROR(IF($E67=0,"",($D67-$E67)/ABS($E67)),""))</f>
        <v/>
      </c>
      <c r="G67" s="24">
        <f>IF($A67="","",SUMIFS('13_VANZARI'!$K$5:$K$1004,'13_VANZARI'!$E$5:$E$1004,$A67,'13_VANZARI'!$A$5:$A$1004,"&gt;="&amp;'09_PARAMETRI'!$B$5,'13_VANZARI'!$A$5:$A$1004,"&lt;="&amp;'09_PARAMETRI'!$B$6))</f>
        <v/>
      </c>
      <c r="H67" s="25">
        <f>IF($A67="","",IFERROR($G67/$D67,""))</f>
        <v/>
      </c>
      <c r="I67" s="24">
        <f>IF($A67="","",SUMIFS('13_VANZARI'!$G$5:$G$1004,'13_VANZARI'!$E$5:$E$1004,$A67,'13_VANZARI'!$A$5:$A$1004,"&gt;="&amp;'09_PARAMETRI'!$B$5,'13_VANZARI'!$A$5:$A$1004,"&lt;="&amp;'09_PARAMETRI'!$B$6))</f>
        <v/>
      </c>
      <c r="J67" s="48">
        <f>IF($A67="","",IFERROR($D67/$I67,""))</f>
        <v/>
      </c>
      <c r="K67" s="24">
        <f>IF($A67="","",SUMPRODUCT(('10_CLIENTI'!$A$5:$A$204&lt;&gt;"")*(SUMIFS('13_VANZARI'!$H$5:$H$1004,'13_VANZARI'!$E$5:$E$1004,$A67,'13_VANZARI'!$D$5:$D$1004,'10_CLIENTI'!$A$5:$A$204,'13_VANZARI'!$A$5:$A$1004,"&gt;="&amp;'09_PARAMETRI'!$B$5,'13_VANZARI'!$A$5:$A$1004,"&lt;="&amp;'09_PARAMETRI'!$B$6)&lt;&gt;0)))</f>
        <v/>
      </c>
      <c r="L67" s="25">
        <f>IF($A67="","",IFERROR($K67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7" s="39">
        <f>IF($A67="","",IF(AND($D67&gt;0,$H67&lt;&gt;"",$H67&lt;'09_PARAMETRI'!$B$15),"Marjă sub referință",IF(AND($F67&lt;&gt;"",$F67&gt;='09_PARAMETRI'!$B$14,$L67&lt;0.3),"Creștere + penetrare mică",IF(AND($F67&lt;&gt;"",$F67&lt;='09_PARAMETRI'!$B$13),"Produs în scădere",IF($D67=0,"Fără vânzări","Stabil")))))</f>
        <v/>
      </c>
      <c r="N67" s="39">
        <f>IF($A67="","",IF($M67="Marjă sub referință","Marjă / preț",IF($M67="Creștere + penetrare mică","Creștere produs",IF($M67="Produs în scădere","Cross-sell",IF($M67="Fără vânzări","Proces / operațional","Cross-sell")))))</f>
        <v/>
      </c>
      <c r="O67" s="24">
        <f>IF($A67="","",IFERROR(IF($M67="Marjă sub referință",MAX(0,$D67*('09_PARAMETRI'!$B$15-$H67)),IF($M67="Creștere + penetrare mică",$D67*0.5,IF($M67="Produs în scădere",MAX(0,$E67-$D67),$D67*0.1))),""))</f>
        <v/>
      </c>
      <c r="P67" s="48">
        <f>IF(OR($A67="",$D67="",N($D67)&lt;=0),"",$D67+ROW()/1000000)</f>
        <v/>
      </c>
    </row>
    <row r="68">
      <c r="A68" s="39">
        <f>IF('11_PRODUSE'!$A68="","",'11_PRODUSE'!$A68)</f>
        <v/>
      </c>
      <c r="B68" s="39">
        <f>IF($A68="","",IFERROR(INDEX('11_PRODUSE'!$B$5:$B$104,MATCH($A68,'11_PRODUSE'!$A$5:$A$104,0)),""))</f>
        <v/>
      </c>
      <c r="C68" s="39">
        <f>IF($A68="","",IFERROR(INDEX('11_PRODUSE'!$C$5:$C$104,MATCH($A68,'11_PRODUSE'!$A$5:$A$104,0)),""))</f>
        <v/>
      </c>
      <c r="D68" s="24">
        <f>IF($A68="","",SUMIFS('13_VANZARI'!$H$5:$H$1004,'13_VANZARI'!$E$5:$E$1004,$A68,'13_VANZARI'!$A$5:$A$1004,"&gt;="&amp;'09_PARAMETRI'!$B$5,'13_VANZARI'!$A$5:$A$1004,"&lt;="&amp;'09_PARAMETRI'!$B$6))</f>
        <v/>
      </c>
      <c r="E68" s="24">
        <f>IF($A68="","",SUMIFS('13_VANZARI'!$H$5:$H$1004,'13_VANZARI'!$E$5:$E$1004,$A68,'13_VANZARI'!$A$5:$A$1004,"&gt;="&amp;'09_PARAMETRI'!$B$7,'13_VANZARI'!$A$5:$A$1004,"&lt;="&amp;'09_PARAMETRI'!$B$8))</f>
        <v/>
      </c>
      <c r="F68" s="25">
        <f>IF($A68="","",IFERROR(IF($E68=0,"",($D68-$E68)/ABS($E68)),""))</f>
        <v/>
      </c>
      <c r="G68" s="24">
        <f>IF($A68="","",SUMIFS('13_VANZARI'!$K$5:$K$1004,'13_VANZARI'!$E$5:$E$1004,$A68,'13_VANZARI'!$A$5:$A$1004,"&gt;="&amp;'09_PARAMETRI'!$B$5,'13_VANZARI'!$A$5:$A$1004,"&lt;="&amp;'09_PARAMETRI'!$B$6))</f>
        <v/>
      </c>
      <c r="H68" s="25">
        <f>IF($A68="","",IFERROR($G68/$D68,""))</f>
        <v/>
      </c>
      <c r="I68" s="24">
        <f>IF($A68="","",SUMIFS('13_VANZARI'!$G$5:$G$1004,'13_VANZARI'!$E$5:$E$1004,$A68,'13_VANZARI'!$A$5:$A$1004,"&gt;="&amp;'09_PARAMETRI'!$B$5,'13_VANZARI'!$A$5:$A$1004,"&lt;="&amp;'09_PARAMETRI'!$B$6))</f>
        <v/>
      </c>
      <c r="J68" s="48">
        <f>IF($A68="","",IFERROR($D68/$I68,""))</f>
        <v/>
      </c>
      <c r="K68" s="24">
        <f>IF($A68="","",SUMPRODUCT(('10_CLIENTI'!$A$5:$A$204&lt;&gt;"")*(SUMIFS('13_VANZARI'!$H$5:$H$1004,'13_VANZARI'!$E$5:$E$1004,$A68,'13_VANZARI'!$D$5:$D$1004,'10_CLIENTI'!$A$5:$A$204,'13_VANZARI'!$A$5:$A$1004,"&gt;="&amp;'09_PARAMETRI'!$B$5,'13_VANZARI'!$A$5:$A$1004,"&lt;="&amp;'09_PARAMETRI'!$B$6)&lt;&gt;0)))</f>
        <v/>
      </c>
      <c r="L68" s="25">
        <f>IF($A68="","",IFERROR($K68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8" s="39">
        <f>IF($A68="","",IF(AND($D68&gt;0,$H68&lt;&gt;"",$H68&lt;'09_PARAMETRI'!$B$15),"Marjă sub referință",IF(AND($F68&lt;&gt;"",$F68&gt;='09_PARAMETRI'!$B$14,$L68&lt;0.3),"Creștere + penetrare mică",IF(AND($F68&lt;&gt;"",$F68&lt;='09_PARAMETRI'!$B$13),"Produs în scădere",IF($D68=0,"Fără vânzări","Stabil")))))</f>
        <v/>
      </c>
      <c r="N68" s="39">
        <f>IF($A68="","",IF($M68="Marjă sub referință","Marjă / preț",IF($M68="Creștere + penetrare mică","Creștere produs",IF($M68="Produs în scădere","Cross-sell",IF($M68="Fără vânzări","Proces / operațional","Cross-sell")))))</f>
        <v/>
      </c>
      <c r="O68" s="24">
        <f>IF($A68="","",IFERROR(IF($M68="Marjă sub referință",MAX(0,$D68*('09_PARAMETRI'!$B$15-$H68)),IF($M68="Creștere + penetrare mică",$D68*0.5,IF($M68="Produs în scădere",MAX(0,$E68-$D68),$D68*0.1))),""))</f>
        <v/>
      </c>
      <c r="P68" s="48">
        <f>IF(OR($A68="",$D68="",N($D68)&lt;=0),"",$D68+ROW()/1000000)</f>
        <v/>
      </c>
    </row>
    <row r="69">
      <c r="A69" s="39">
        <f>IF('11_PRODUSE'!$A69="","",'11_PRODUSE'!$A69)</f>
        <v/>
      </c>
      <c r="B69" s="39">
        <f>IF($A69="","",IFERROR(INDEX('11_PRODUSE'!$B$5:$B$104,MATCH($A69,'11_PRODUSE'!$A$5:$A$104,0)),""))</f>
        <v/>
      </c>
      <c r="C69" s="39">
        <f>IF($A69="","",IFERROR(INDEX('11_PRODUSE'!$C$5:$C$104,MATCH($A69,'11_PRODUSE'!$A$5:$A$104,0)),""))</f>
        <v/>
      </c>
      <c r="D69" s="24">
        <f>IF($A69="","",SUMIFS('13_VANZARI'!$H$5:$H$1004,'13_VANZARI'!$E$5:$E$1004,$A69,'13_VANZARI'!$A$5:$A$1004,"&gt;="&amp;'09_PARAMETRI'!$B$5,'13_VANZARI'!$A$5:$A$1004,"&lt;="&amp;'09_PARAMETRI'!$B$6))</f>
        <v/>
      </c>
      <c r="E69" s="24">
        <f>IF($A69="","",SUMIFS('13_VANZARI'!$H$5:$H$1004,'13_VANZARI'!$E$5:$E$1004,$A69,'13_VANZARI'!$A$5:$A$1004,"&gt;="&amp;'09_PARAMETRI'!$B$7,'13_VANZARI'!$A$5:$A$1004,"&lt;="&amp;'09_PARAMETRI'!$B$8))</f>
        <v/>
      </c>
      <c r="F69" s="25">
        <f>IF($A69="","",IFERROR(IF($E69=0,"",($D69-$E69)/ABS($E69)),""))</f>
        <v/>
      </c>
      <c r="G69" s="24">
        <f>IF($A69="","",SUMIFS('13_VANZARI'!$K$5:$K$1004,'13_VANZARI'!$E$5:$E$1004,$A69,'13_VANZARI'!$A$5:$A$1004,"&gt;="&amp;'09_PARAMETRI'!$B$5,'13_VANZARI'!$A$5:$A$1004,"&lt;="&amp;'09_PARAMETRI'!$B$6))</f>
        <v/>
      </c>
      <c r="H69" s="25">
        <f>IF($A69="","",IFERROR($G69/$D69,""))</f>
        <v/>
      </c>
      <c r="I69" s="24">
        <f>IF($A69="","",SUMIFS('13_VANZARI'!$G$5:$G$1004,'13_VANZARI'!$E$5:$E$1004,$A69,'13_VANZARI'!$A$5:$A$1004,"&gt;="&amp;'09_PARAMETRI'!$B$5,'13_VANZARI'!$A$5:$A$1004,"&lt;="&amp;'09_PARAMETRI'!$B$6))</f>
        <v/>
      </c>
      <c r="J69" s="48">
        <f>IF($A69="","",IFERROR($D69/$I69,""))</f>
        <v/>
      </c>
      <c r="K69" s="24">
        <f>IF($A69="","",SUMPRODUCT(('10_CLIENTI'!$A$5:$A$204&lt;&gt;"")*(SUMIFS('13_VANZARI'!$H$5:$H$1004,'13_VANZARI'!$E$5:$E$1004,$A69,'13_VANZARI'!$D$5:$D$1004,'10_CLIENTI'!$A$5:$A$204,'13_VANZARI'!$A$5:$A$1004,"&gt;="&amp;'09_PARAMETRI'!$B$5,'13_VANZARI'!$A$5:$A$1004,"&lt;="&amp;'09_PARAMETRI'!$B$6)&lt;&gt;0)))</f>
        <v/>
      </c>
      <c r="L69" s="25">
        <f>IF($A69="","",IFERROR($K69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69" s="39">
        <f>IF($A69="","",IF(AND($D69&gt;0,$H69&lt;&gt;"",$H69&lt;'09_PARAMETRI'!$B$15),"Marjă sub referință",IF(AND($F69&lt;&gt;"",$F69&gt;='09_PARAMETRI'!$B$14,$L69&lt;0.3),"Creștere + penetrare mică",IF(AND($F69&lt;&gt;"",$F69&lt;='09_PARAMETRI'!$B$13),"Produs în scădere",IF($D69=0,"Fără vânzări","Stabil")))))</f>
        <v/>
      </c>
      <c r="N69" s="39">
        <f>IF($A69="","",IF($M69="Marjă sub referință","Marjă / preț",IF($M69="Creștere + penetrare mică","Creștere produs",IF($M69="Produs în scădere","Cross-sell",IF($M69="Fără vânzări","Proces / operațional","Cross-sell")))))</f>
        <v/>
      </c>
      <c r="O69" s="24">
        <f>IF($A69="","",IFERROR(IF($M69="Marjă sub referință",MAX(0,$D69*('09_PARAMETRI'!$B$15-$H69)),IF($M69="Creștere + penetrare mică",$D69*0.5,IF($M69="Produs în scădere",MAX(0,$E69-$D69),$D69*0.1))),""))</f>
        <v/>
      </c>
      <c r="P69" s="48">
        <f>IF(OR($A69="",$D69="",N($D69)&lt;=0),"",$D69+ROW()/1000000)</f>
        <v/>
      </c>
    </row>
    <row r="70">
      <c r="A70" s="39">
        <f>IF('11_PRODUSE'!$A70="","",'11_PRODUSE'!$A70)</f>
        <v/>
      </c>
      <c r="B70" s="39">
        <f>IF($A70="","",IFERROR(INDEX('11_PRODUSE'!$B$5:$B$104,MATCH($A70,'11_PRODUSE'!$A$5:$A$104,0)),""))</f>
        <v/>
      </c>
      <c r="C70" s="39">
        <f>IF($A70="","",IFERROR(INDEX('11_PRODUSE'!$C$5:$C$104,MATCH($A70,'11_PRODUSE'!$A$5:$A$104,0)),""))</f>
        <v/>
      </c>
      <c r="D70" s="24">
        <f>IF($A70="","",SUMIFS('13_VANZARI'!$H$5:$H$1004,'13_VANZARI'!$E$5:$E$1004,$A70,'13_VANZARI'!$A$5:$A$1004,"&gt;="&amp;'09_PARAMETRI'!$B$5,'13_VANZARI'!$A$5:$A$1004,"&lt;="&amp;'09_PARAMETRI'!$B$6))</f>
        <v/>
      </c>
      <c r="E70" s="24">
        <f>IF($A70="","",SUMIFS('13_VANZARI'!$H$5:$H$1004,'13_VANZARI'!$E$5:$E$1004,$A70,'13_VANZARI'!$A$5:$A$1004,"&gt;="&amp;'09_PARAMETRI'!$B$7,'13_VANZARI'!$A$5:$A$1004,"&lt;="&amp;'09_PARAMETRI'!$B$8))</f>
        <v/>
      </c>
      <c r="F70" s="25">
        <f>IF($A70="","",IFERROR(IF($E70=0,"",($D70-$E70)/ABS($E70)),""))</f>
        <v/>
      </c>
      <c r="G70" s="24">
        <f>IF($A70="","",SUMIFS('13_VANZARI'!$K$5:$K$1004,'13_VANZARI'!$E$5:$E$1004,$A70,'13_VANZARI'!$A$5:$A$1004,"&gt;="&amp;'09_PARAMETRI'!$B$5,'13_VANZARI'!$A$5:$A$1004,"&lt;="&amp;'09_PARAMETRI'!$B$6))</f>
        <v/>
      </c>
      <c r="H70" s="25">
        <f>IF($A70="","",IFERROR($G70/$D70,""))</f>
        <v/>
      </c>
      <c r="I70" s="24">
        <f>IF($A70="","",SUMIFS('13_VANZARI'!$G$5:$G$1004,'13_VANZARI'!$E$5:$E$1004,$A70,'13_VANZARI'!$A$5:$A$1004,"&gt;="&amp;'09_PARAMETRI'!$B$5,'13_VANZARI'!$A$5:$A$1004,"&lt;="&amp;'09_PARAMETRI'!$B$6))</f>
        <v/>
      </c>
      <c r="J70" s="48">
        <f>IF($A70="","",IFERROR($D70/$I70,""))</f>
        <v/>
      </c>
      <c r="K70" s="24">
        <f>IF($A70="","",SUMPRODUCT(('10_CLIENTI'!$A$5:$A$204&lt;&gt;"")*(SUMIFS('13_VANZARI'!$H$5:$H$1004,'13_VANZARI'!$E$5:$E$1004,$A70,'13_VANZARI'!$D$5:$D$1004,'10_CLIENTI'!$A$5:$A$204,'13_VANZARI'!$A$5:$A$1004,"&gt;="&amp;'09_PARAMETRI'!$B$5,'13_VANZARI'!$A$5:$A$1004,"&lt;="&amp;'09_PARAMETRI'!$B$6)&lt;&gt;0)))</f>
        <v/>
      </c>
      <c r="L70" s="25">
        <f>IF($A70="","",IFERROR($K70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0" s="39">
        <f>IF($A70="","",IF(AND($D70&gt;0,$H70&lt;&gt;"",$H70&lt;'09_PARAMETRI'!$B$15),"Marjă sub referință",IF(AND($F70&lt;&gt;"",$F70&gt;='09_PARAMETRI'!$B$14,$L70&lt;0.3),"Creștere + penetrare mică",IF(AND($F70&lt;&gt;"",$F70&lt;='09_PARAMETRI'!$B$13),"Produs în scădere",IF($D70=0,"Fără vânzări","Stabil")))))</f>
        <v/>
      </c>
      <c r="N70" s="39">
        <f>IF($A70="","",IF($M70="Marjă sub referință","Marjă / preț",IF($M70="Creștere + penetrare mică","Creștere produs",IF($M70="Produs în scădere","Cross-sell",IF($M70="Fără vânzări","Proces / operațional","Cross-sell")))))</f>
        <v/>
      </c>
      <c r="O70" s="24">
        <f>IF($A70="","",IFERROR(IF($M70="Marjă sub referință",MAX(0,$D70*('09_PARAMETRI'!$B$15-$H70)),IF($M70="Creștere + penetrare mică",$D70*0.5,IF($M70="Produs în scădere",MAX(0,$E70-$D70),$D70*0.1))),""))</f>
        <v/>
      </c>
      <c r="P70" s="48">
        <f>IF(OR($A70="",$D70="",N($D70)&lt;=0),"",$D70+ROW()/1000000)</f>
        <v/>
      </c>
    </row>
    <row r="71">
      <c r="A71" s="39">
        <f>IF('11_PRODUSE'!$A71="","",'11_PRODUSE'!$A71)</f>
        <v/>
      </c>
      <c r="B71" s="39">
        <f>IF($A71="","",IFERROR(INDEX('11_PRODUSE'!$B$5:$B$104,MATCH($A71,'11_PRODUSE'!$A$5:$A$104,0)),""))</f>
        <v/>
      </c>
      <c r="C71" s="39">
        <f>IF($A71="","",IFERROR(INDEX('11_PRODUSE'!$C$5:$C$104,MATCH($A71,'11_PRODUSE'!$A$5:$A$104,0)),""))</f>
        <v/>
      </c>
      <c r="D71" s="24">
        <f>IF($A71="","",SUMIFS('13_VANZARI'!$H$5:$H$1004,'13_VANZARI'!$E$5:$E$1004,$A71,'13_VANZARI'!$A$5:$A$1004,"&gt;="&amp;'09_PARAMETRI'!$B$5,'13_VANZARI'!$A$5:$A$1004,"&lt;="&amp;'09_PARAMETRI'!$B$6))</f>
        <v/>
      </c>
      <c r="E71" s="24">
        <f>IF($A71="","",SUMIFS('13_VANZARI'!$H$5:$H$1004,'13_VANZARI'!$E$5:$E$1004,$A71,'13_VANZARI'!$A$5:$A$1004,"&gt;="&amp;'09_PARAMETRI'!$B$7,'13_VANZARI'!$A$5:$A$1004,"&lt;="&amp;'09_PARAMETRI'!$B$8))</f>
        <v/>
      </c>
      <c r="F71" s="25">
        <f>IF($A71="","",IFERROR(IF($E71=0,"",($D71-$E71)/ABS($E71)),""))</f>
        <v/>
      </c>
      <c r="G71" s="24">
        <f>IF($A71="","",SUMIFS('13_VANZARI'!$K$5:$K$1004,'13_VANZARI'!$E$5:$E$1004,$A71,'13_VANZARI'!$A$5:$A$1004,"&gt;="&amp;'09_PARAMETRI'!$B$5,'13_VANZARI'!$A$5:$A$1004,"&lt;="&amp;'09_PARAMETRI'!$B$6))</f>
        <v/>
      </c>
      <c r="H71" s="25">
        <f>IF($A71="","",IFERROR($G71/$D71,""))</f>
        <v/>
      </c>
      <c r="I71" s="24">
        <f>IF($A71="","",SUMIFS('13_VANZARI'!$G$5:$G$1004,'13_VANZARI'!$E$5:$E$1004,$A71,'13_VANZARI'!$A$5:$A$1004,"&gt;="&amp;'09_PARAMETRI'!$B$5,'13_VANZARI'!$A$5:$A$1004,"&lt;="&amp;'09_PARAMETRI'!$B$6))</f>
        <v/>
      </c>
      <c r="J71" s="48">
        <f>IF($A71="","",IFERROR($D71/$I71,""))</f>
        <v/>
      </c>
      <c r="K71" s="24">
        <f>IF($A71="","",SUMPRODUCT(('10_CLIENTI'!$A$5:$A$204&lt;&gt;"")*(SUMIFS('13_VANZARI'!$H$5:$H$1004,'13_VANZARI'!$E$5:$E$1004,$A71,'13_VANZARI'!$D$5:$D$1004,'10_CLIENTI'!$A$5:$A$204,'13_VANZARI'!$A$5:$A$1004,"&gt;="&amp;'09_PARAMETRI'!$B$5,'13_VANZARI'!$A$5:$A$1004,"&lt;="&amp;'09_PARAMETRI'!$B$6)&lt;&gt;0)))</f>
        <v/>
      </c>
      <c r="L71" s="25">
        <f>IF($A71="","",IFERROR($K71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1" s="39">
        <f>IF($A71="","",IF(AND($D71&gt;0,$H71&lt;&gt;"",$H71&lt;'09_PARAMETRI'!$B$15),"Marjă sub referință",IF(AND($F71&lt;&gt;"",$F71&gt;='09_PARAMETRI'!$B$14,$L71&lt;0.3),"Creștere + penetrare mică",IF(AND($F71&lt;&gt;"",$F71&lt;='09_PARAMETRI'!$B$13),"Produs în scădere",IF($D71=0,"Fără vânzări","Stabil")))))</f>
        <v/>
      </c>
      <c r="N71" s="39">
        <f>IF($A71="","",IF($M71="Marjă sub referință","Marjă / preț",IF($M71="Creștere + penetrare mică","Creștere produs",IF($M71="Produs în scădere","Cross-sell",IF($M71="Fără vânzări","Proces / operațional","Cross-sell")))))</f>
        <v/>
      </c>
      <c r="O71" s="24">
        <f>IF($A71="","",IFERROR(IF($M71="Marjă sub referință",MAX(0,$D71*('09_PARAMETRI'!$B$15-$H71)),IF($M71="Creștere + penetrare mică",$D71*0.5,IF($M71="Produs în scădere",MAX(0,$E71-$D71),$D71*0.1))),""))</f>
        <v/>
      </c>
      <c r="P71" s="48">
        <f>IF(OR($A71="",$D71="",N($D71)&lt;=0),"",$D71+ROW()/1000000)</f>
        <v/>
      </c>
    </row>
    <row r="72">
      <c r="A72" s="39">
        <f>IF('11_PRODUSE'!$A72="","",'11_PRODUSE'!$A72)</f>
        <v/>
      </c>
      <c r="B72" s="39">
        <f>IF($A72="","",IFERROR(INDEX('11_PRODUSE'!$B$5:$B$104,MATCH($A72,'11_PRODUSE'!$A$5:$A$104,0)),""))</f>
        <v/>
      </c>
      <c r="C72" s="39">
        <f>IF($A72="","",IFERROR(INDEX('11_PRODUSE'!$C$5:$C$104,MATCH($A72,'11_PRODUSE'!$A$5:$A$104,0)),""))</f>
        <v/>
      </c>
      <c r="D72" s="24">
        <f>IF($A72="","",SUMIFS('13_VANZARI'!$H$5:$H$1004,'13_VANZARI'!$E$5:$E$1004,$A72,'13_VANZARI'!$A$5:$A$1004,"&gt;="&amp;'09_PARAMETRI'!$B$5,'13_VANZARI'!$A$5:$A$1004,"&lt;="&amp;'09_PARAMETRI'!$B$6))</f>
        <v/>
      </c>
      <c r="E72" s="24">
        <f>IF($A72="","",SUMIFS('13_VANZARI'!$H$5:$H$1004,'13_VANZARI'!$E$5:$E$1004,$A72,'13_VANZARI'!$A$5:$A$1004,"&gt;="&amp;'09_PARAMETRI'!$B$7,'13_VANZARI'!$A$5:$A$1004,"&lt;="&amp;'09_PARAMETRI'!$B$8))</f>
        <v/>
      </c>
      <c r="F72" s="25">
        <f>IF($A72="","",IFERROR(IF($E72=0,"",($D72-$E72)/ABS($E72)),""))</f>
        <v/>
      </c>
      <c r="G72" s="24">
        <f>IF($A72="","",SUMIFS('13_VANZARI'!$K$5:$K$1004,'13_VANZARI'!$E$5:$E$1004,$A72,'13_VANZARI'!$A$5:$A$1004,"&gt;="&amp;'09_PARAMETRI'!$B$5,'13_VANZARI'!$A$5:$A$1004,"&lt;="&amp;'09_PARAMETRI'!$B$6))</f>
        <v/>
      </c>
      <c r="H72" s="25">
        <f>IF($A72="","",IFERROR($G72/$D72,""))</f>
        <v/>
      </c>
      <c r="I72" s="24">
        <f>IF($A72="","",SUMIFS('13_VANZARI'!$G$5:$G$1004,'13_VANZARI'!$E$5:$E$1004,$A72,'13_VANZARI'!$A$5:$A$1004,"&gt;="&amp;'09_PARAMETRI'!$B$5,'13_VANZARI'!$A$5:$A$1004,"&lt;="&amp;'09_PARAMETRI'!$B$6))</f>
        <v/>
      </c>
      <c r="J72" s="48">
        <f>IF($A72="","",IFERROR($D72/$I72,""))</f>
        <v/>
      </c>
      <c r="K72" s="24">
        <f>IF($A72="","",SUMPRODUCT(('10_CLIENTI'!$A$5:$A$204&lt;&gt;"")*(SUMIFS('13_VANZARI'!$H$5:$H$1004,'13_VANZARI'!$E$5:$E$1004,$A72,'13_VANZARI'!$D$5:$D$1004,'10_CLIENTI'!$A$5:$A$204,'13_VANZARI'!$A$5:$A$1004,"&gt;="&amp;'09_PARAMETRI'!$B$5,'13_VANZARI'!$A$5:$A$1004,"&lt;="&amp;'09_PARAMETRI'!$B$6)&lt;&gt;0)))</f>
        <v/>
      </c>
      <c r="L72" s="25">
        <f>IF($A72="","",IFERROR($K72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2" s="39">
        <f>IF($A72="","",IF(AND($D72&gt;0,$H72&lt;&gt;"",$H72&lt;'09_PARAMETRI'!$B$15),"Marjă sub referință",IF(AND($F72&lt;&gt;"",$F72&gt;='09_PARAMETRI'!$B$14,$L72&lt;0.3),"Creștere + penetrare mică",IF(AND($F72&lt;&gt;"",$F72&lt;='09_PARAMETRI'!$B$13),"Produs în scădere",IF($D72=0,"Fără vânzări","Stabil")))))</f>
        <v/>
      </c>
      <c r="N72" s="39">
        <f>IF($A72="","",IF($M72="Marjă sub referință","Marjă / preț",IF($M72="Creștere + penetrare mică","Creștere produs",IF($M72="Produs în scădere","Cross-sell",IF($M72="Fără vânzări","Proces / operațional","Cross-sell")))))</f>
        <v/>
      </c>
      <c r="O72" s="24">
        <f>IF($A72="","",IFERROR(IF($M72="Marjă sub referință",MAX(0,$D72*('09_PARAMETRI'!$B$15-$H72)),IF($M72="Creștere + penetrare mică",$D72*0.5,IF($M72="Produs în scădere",MAX(0,$E72-$D72),$D72*0.1))),""))</f>
        <v/>
      </c>
      <c r="P72" s="48">
        <f>IF(OR($A72="",$D72="",N($D72)&lt;=0),"",$D72+ROW()/1000000)</f>
        <v/>
      </c>
    </row>
    <row r="73">
      <c r="A73" s="39">
        <f>IF('11_PRODUSE'!$A73="","",'11_PRODUSE'!$A73)</f>
        <v/>
      </c>
      <c r="B73" s="39">
        <f>IF($A73="","",IFERROR(INDEX('11_PRODUSE'!$B$5:$B$104,MATCH($A73,'11_PRODUSE'!$A$5:$A$104,0)),""))</f>
        <v/>
      </c>
      <c r="C73" s="39">
        <f>IF($A73="","",IFERROR(INDEX('11_PRODUSE'!$C$5:$C$104,MATCH($A73,'11_PRODUSE'!$A$5:$A$104,0)),""))</f>
        <v/>
      </c>
      <c r="D73" s="24">
        <f>IF($A73="","",SUMIFS('13_VANZARI'!$H$5:$H$1004,'13_VANZARI'!$E$5:$E$1004,$A73,'13_VANZARI'!$A$5:$A$1004,"&gt;="&amp;'09_PARAMETRI'!$B$5,'13_VANZARI'!$A$5:$A$1004,"&lt;="&amp;'09_PARAMETRI'!$B$6))</f>
        <v/>
      </c>
      <c r="E73" s="24">
        <f>IF($A73="","",SUMIFS('13_VANZARI'!$H$5:$H$1004,'13_VANZARI'!$E$5:$E$1004,$A73,'13_VANZARI'!$A$5:$A$1004,"&gt;="&amp;'09_PARAMETRI'!$B$7,'13_VANZARI'!$A$5:$A$1004,"&lt;="&amp;'09_PARAMETRI'!$B$8))</f>
        <v/>
      </c>
      <c r="F73" s="25">
        <f>IF($A73="","",IFERROR(IF($E73=0,"",($D73-$E73)/ABS($E73)),""))</f>
        <v/>
      </c>
      <c r="G73" s="24">
        <f>IF($A73="","",SUMIFS('13_VANZARI'!$K$5:$K$1004,'13_VANZARI'!$E$5:$E$1004,$A73,'13_VANZARI'!$A$5:$A$1004,"&gt;="&amp;'09_PARAMETRI'!$B$5,'13_VANZARI'!$A$5:$A$1004,"&lt;="&amp;'09_PARAMETRI'!$B$6))</f>
        <v/>
      </c>
      <c r="H73" s="25">
        <f>IF($A73="","",IFERROR($G73/$D73,""))</f>
        <v/>
      </c>
      <c r="I73" s="24">
        <f>IF($A73="","",SUMIFS('13_VANZARI'!$G$5:$G$1004,'13_VANZARI'!$E$5:$E$1004,$A73,'13_VANZARI'!$A$5:$A$1004,"&gt;="&amp;'09_PARAMETRI'!$B$5,'13_VANZARI'!$A$5:$A$1004,"&lt;="&amp;'09_PARAMETRI'!$B$6))</f>
        <v/>
      </c>
      <c r="J73" s="48">
        <f>IF($A73="","",IFERROR($D73/$I73,""))</f>
        <v/>
      </c>
      <c r="K73" s="24">
        <f>IF($A73="","",SUMPRODUCT(('10_CLIENTI'!$A$5:$A$204&lt;&gt;"")*(SUMIFS('13_VANZARI'!$H$5:$H$1004,'13_VANZARI'!$E$5:$E$1004,$A73,'13_VANZARI'!$D$5:$D$1004,'10_CLIENTI'!$A$5:$A$204,'13_VANZARI'!$A$5:$A$1004,"&gt;="&amp;'09_PARAMETRI'!$B$5,'13_VANZARI'!$A$5:$A$1004,"&lt;="&amp;'09_PARAMETRI'!$B$6)&lt;&gt;0)))</f>
        <v/>
      </c>
      <c r="L73" s="25">
        <f>IF($A73="","",IFERROR($K73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3" s="39">
        <f>IF($A73="","",IF(AND($D73&gt;0,$H73&lt;&gt;"",$H73&lt;'09_PARAMETRI'!$B$15),"Marjă sub referință",IF(AND($F73&lt;&gt;"",$F73&gt;='09_PARAMETRI'!$B$14,$L73&lt;0.3),"Creștere + penetrare mică",IF(AND($F73&lt;&gt;"",$F73&lt;='09_PARAMETRI'!$B$13),"Produs în scădere",IF($D73=0,"Fără vânzări","Stabil")))))</f>
        <v/>
      </c>
      <c r="N73" s="39">
        <f>IF($A73="","",IF($M73="Marjă sub referință","Marjă / preț",IF($M73="Creștere + penetrare mică","Creștere produs",IF($M73="Produs în scădere","Cross-sell",IF($M73="Fără vânzări","Proces / operațional","Cross-sell")))))</f>
        <v/>
      </c>
      <c r="O73" s="24">
        <f>IF($A73="","",IFERROR(IF($M73="Marjă sub referință",MAX(0,$D73*('09_PARAMETRI'!$B$15-$H73)),IF($M73="Creștere + penetrare mică",$D73*0.5,IF($M73="Produs în scădere",MAX(0,$E73-$D73),$D73*0.1))),""))</f>
        <v/>
      </c>
      <c r="P73" s="48">
        <f>IF(OR($A73="",$D73="",N($D73)&lt;=0),"",$D73+ROW()/1000000)</f>
        <v/>
      </c>
    </row>
    <row r="74">
      <c r="A74" s="39">
        <f>IF('11_PRODUSE'!$A74="","",'11_PRODUSE'!$A74)</f>
        <v/>
      </c>
      <c r="B74" s="39">
        <f>IF($A74="","",IFERROR(INDEX('11_PRODUSE'!$B$5:$B$104,MATCH($A74,'11_PRODUSE'!$A$5:$A$104,0)),""))</f>
        <v/>
      </c>
      <c r="C74" s="39">
        <f>IF($A74="","",IFERROR(INDEX('11_PRODUSE'!$C$5:$C$104,MATCH($A74,'11_PRODUSE'!$A$5:$A$104,0)),""))</f>
        <v/>
      </c>
      <c r="D74" s="24">
        <f>IF($A74="","",SUMIFS('13_VANZARI'!$H$5:$H$1004,'13_VANZARI'!$E$5:$E$1004,$A74,'13_VANZARI'!$A$5:$A$1004,"&gt;="&amp;'09_PARAMETRI'!$B$5,'13_VANZARI'!$A$5:$A$1004,"&lt;="&amp;'09_PARAMETRI'!$B$6))</f>
        <v/>
      </c>
      <c r="E74" s="24">
        <f>IF($A74="","",SUMIFS('13_VANZARI'!$H$5:$H$1004,'13_VANZARI'!$E$5:$E$1004,$A74,'13_VANZARI'!$A$5:$A$1004,"&gt;="&amp;'09_PARAMETRI'!$B$7,'13_VANZARI'!$A$5:$A$1004,"&lt;="&amp;'09_PARAMETRI'!$B$8))</f>
        <v/>
      </c>
      <c r="F74" s="25">
        <f>IF($A74="","",IFERROR(IF($E74=0,"",($D74-$E74)/ABS($E74)),""))</f>
        <v/>
      </c>
      <c r="G74" s="24">
        <f>IF($A74="","",SUMIFS('13_VANZARI'!$K$5:$K$1004,'13_VANZARI'!$E$5:$E$1004,$A74,'13_VANZARI'!$A$5:$A$1004,"&gt;="&amp;'09_PARAMETRI'!$B$5,'13_VANZARI'!$A$5:$A$1004,"&lt;="&amp;'09_PARAMETRI'!$B$6))</f>
        <v/>
      </c>
      <c r="H74" s="25">
        <f>IF($A74="","",IFERROR($G74/$D74,""))</f>
        <v/>
      </c>
      <c r="I74" s="24">
        <f>IF($A74="","",SUMIFS('13_VANZARI'!$G$5:$G$1004,'13_VANZARI'!$E$5:$E$1004,$A74,'13_VANZARI'!$A$5:$A$1004,"&gt;="&amp;'09_PARAMETRI'!$B$5,'13_VANZARI'!$A$5:$A$1004,"&lt;="&amp;'09_PARAMETRI'!$B$6))</f>
        <v/>
      </c>
      <c r="J74" s="48">
        <f>IF($A74="","",IFERROR($D74/$I74,""))</f>
        <v/>
      </c>
      <c r="K74" s="24">
        <f>IF($A74="","",SUMPRODUCT(('10_CLIENTI'!$A$5:$A$204&lt;&gt;"")*(SUMIFS('13_VANZARI'!$H$5:$H$1004,'13_VANZARI'!$E$5:$E$1004,$A74,'13_VANZARI'!$D$5:$D$1004,'10_CLIENTI'!$A$5:$A$204,'13_VANZARI'!$A$5:$A$1004,"&gt;="&amp;'09_PARAMETRI'!$B$5,'13_VANZARI'!$A$5:$A$1004,"&lt;="&amp;'09_PARAMETRI'!$B$6)&lt;&gt;0)))</f>
        <v/>
      </c>
      <c r="L74" s="25">
        <f>IF($A74="","",IFERROR($K74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4" s="39">
        <f>IF($A74="","",IF(AND($D74&gt;0,$H74&lt;&gt;"",$H74&lt;'09_PARAMETRI'!$B$15),"Marjă sub referință",IF(AND($F74&lt;&gt;"",$F74&gt;='09_PARAMETRI'!$B$14,$L74&lt;0.3),"Creștere + penetrare mică",IF(AND($F74&lt;&gt;"",$F74&lt;='09_PARAMETRI'!$B$13),"Produs în scădere",IF($D74=0,"Fără vânzări","Stabil")))))</f>
        <v/>
      </c>
      <c r="N74" s="39">
        <f>IF($A74="","",IF($M74="Marjă sub referință","Marjă / preț",IF($M74="Creștere + penetrare mică","Creștere produs",IF($M74="Produs în scădere","Cross-sell",IF($M74="Fără vânzări","Proces / operațional","Cross-sell")))))</f>
        <v/>
      </c>
      <c r="O74" s="24">
        <f>IF($A74="","",IFERROR(IF($M74="Marjă sub referință",MAX(0,$D74*('09_PARAMETRI'!$B$15-$H74)),IF($M74="Creștere + penetrare mică",$D74*0.5,IF($M74="Produs în scădere",MAX(0,$E74-$D74),$D74*0.1))),""))</f>
        <v/>
      </c>
      <c r="P74" s="48">
        <f>IF(OR($A74="",$D74="",N($D74)&lt;=0),"",$D74+ROW()/1000000)</f>
        <v/>
      </c>
    </row>
    <row r="75">
      <c r="A75" s="39">
        <f>IF('11_PRODUSE'!$A75="","",'11_PRODUSE'!$A75)</f>
        <v/>
      </c>
      <c r="B75" s="39">
        <f>IF($A75="","",IFERROR(INDEX('11_PRODUSE'!$B$5:$B$104,MATCH($A75,'11_PRODUSE'!$A$5:$A$104,0)),""))</f>
        <v/>
      </c>
      <c r="C75" s="39">
        <f>IF($A75="","",IFERROR(INDEX('11_PRODUSE'!$C$5:$C$104,MATCH($A75,'11_PRODUSE'!$A$5:$A$104,0)),""))</f>
        <v/>
      </c>
      <c r="D75" s="24">
        <f>IF($A75="","",SUMIFS('13_VANZARI'!$H$5:$H$1004,'13_VANZARI'!$E$5:$E$1004,$A75,'13_VANZARI'!$A$5:$A$1004,"&gt;="&amp;'09_PARAMETRI'!$B$5,'13_VANZARI'!$A$5:$A$1004,"&lt;="&amp;'09_PARAMETRI'!$B$6))</f>
        <v/>
      </c>
      <c r="E75" s="24">
        <f>IF($A75="","",SUMIFS('13_VANZARI'!$H$5:$H$1004,'13_VANZARI'!$E$5:$E$1004,$A75,'13_VANZARI'!$A$5:$A$1004,"&gt;="&amp;'09_PARAMETRI'!$B$7,'13_VANZARI'!$A$5:$A$1004,"&lt;="&amp;'09_PARAMETRI'!$B$8))</f>
        <v/>
      </c>
      <c r="F75" s="25">
        <f>IF($A75="","",IFERROR(IF($E75=0,"",($D75-$E75)/ABS($E75)),""))</f>
        <v/>
      </c>
      <c r="G75" s="24">
        <f>IF($A75="","",SUMIFS('13_VANZARI'!$K$5:$K$1004,'13_VANZARI'!$E$5:$E$1004,$A75,'13_VANZARI'!$A$5:$A$1004,"&gt;="&amp;'09_PARAMETRI'!$B$5,'13_VANZARI'!$A$5:$A$1004,"&lt;="&amp;'09_PARAMETRI'!$B$6))</f>
        <v/>
      </c>
      <c r="H75" s="25">
        <f>IF($A75="","",IFERROR($G75/$D75,""))</f>
        <v/>
      </c>
      <c r="I75" s="24">
        <f>IF($A75="","",SUMIFS('13_VANZARI'!$G$5:$G$1004,'13_VANZARI'!$E$5:$E$1004,$A75,'13_VANZARI'!$A$5:$A$1004,"&gt;="&amp;'09_PARAMETRI'!$B$5,'13_VANZARI'!$A$5:$A$1004,"&lt;="&amp;'09_PARAMETRI'!$B$6))</f>
        <v/>
      </c>
      <c r="J75" s="48">
        <f>IF($A75="","",IFERROR($D75/$I75,""))</f>
        <v/>
      </c>
      <c r="K75" s="24">
        <f>IF($A75="","",SUMPRODUCT(('10_CLIENTI'!$A$5:$A$204&lt;&gt;"")*(SUMIFS('13_VANZARI'!$H$5:$H$1004,'13_VANZARI'!$E$5:$E$1004,$A75,'13_VANZARI'!$D$5:$D$1004,'10_CLIENTI'!$A$5:$A$204,'13_VANZARI'!$A$5:$A$1004,"&gt;="&amp;'09_PARAMETRI'!$B$5,'13_VANZARI'!$A$5:$A$1004,"&lt;="&amp;'09_PARAMETRI'!$B$6)&lt;&gt;0)))</f>
        <v/>
      </c>
      <c r="L75" s="25">
        <f>IF($A75="","",IFERROR($K75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5" s="39">
        <f>IF($A75="","",IF(AND($D75&gt;0,$H75&lt;&gt;"",$H75&lt;'09_PARAMETRI'!$B$15),"Marjă sub referință",IF(AND($F75&lt;&gt;"",$F75&gt;='09_PARAMETRI'!$B$14,$L75&lt;0.3),"Creștere + penetrare mică",IF(AND($F75&lt;&gt;"",$F75&lt;='09_PARAMETRI'!$B$13),"Produs în scădere",IF($D75=0,"Fără vânzări","Stabil")))))</f>
        <v/>
      </c>
      <c r="N75" s="39">
        <f>IF($A75="","",IF($M75="Marjă sub referință","Marjă / preț",IF($M75="Creștere + penetrare mică","Creștere produs",IF($M75="Produs în scădere","Cross-sell",IF($M75="Fără vânzări","Proces / operațional","Cross-sell")))))</f>
        <v/>
      </c>
      <c r="O75" s="24">
        <f>IF($A75="","",IFERROR(IF($M75="Marjă sub referință",MAX(0,$D75*('09_PARAMETRI'!$B$15-$H75)),IF($M75="Creștere + penetrare mică",$D75*0.5,IF($M75="Produs în scădere",MAX(0,$E75-$D75),$D75*0.1))),""))</f>
        <v/>
      </c>
      <c r="P75" s="48">
        <f>IF(OR($A75="",$D75="",N($D75)&lt;=0),"",$D75+ROW()/1000000)</f>
        <v/>
      </c>
    </row>
    <row r="76">
      <c r="A76" s="39">
        <f>IF('11_PRODUSE'!$A76="","",'11_PRODUSE'!$A76)</f>
        <v/>
      </c>
      <c r="B76" s="39">
        <f>IF($A76="","",IFERROR(INDEX('11_PRODUSE'!$B$5:$B$104,MATCH($A76,'11_PRODUSE'!$A$5:$A$104,0)),""))</f>
        <v/>
      </c>
      <c r="C76" s="39">
        <f>IF($A76="","",IFERROR(INDEX('11_PRODUSE'!$C$5:$C$104,MATCH($A76,'11_PRODUSE'!$A$5:$A$104,0)),""))</f>
        <v/>
      </c>
      <c r="D76" s="24">
        <f>IF($A76="","",SUMIFS('13_VANZARI'!$H$5:$H$1004,'13_VANZARI'!$E$5:$E$1004,$A76,'13_VANZARI'!$A$5:$A$1004,"&gt;="&amp;'09_PARAMETRI'!$B$5,'13_VANZARI'!$A$5:$A$1004,"&lt;="&amp;'09_PARAMETRI'!$B$6))</f>
        <v/>
      </c>
      <c r="E76" s="24">
        <f>IF($A76="","",SUMIFS('13_VANZARI'!$H$5:$H$1004,'13_VANZARI'!$E$5:$E$1004,$A76,'13_VANZARI'!$A$5:$A$1004,"&gt;="&amp;'09_PARAMETRI'!$B$7,'13_VANZARI'!$A$5:$A$1004,"&lt;="&amp;'09_PARAMETRI'!$B$8))</f>
        <v/>
      </c>
      <c r="F76" s="25">
        <f>IF($A76="","",IFERROR(IF($E76=0,"",($D76-$E76)/ABS($E76)),""))</f>
        <v/>
      </c>
      <c r="G76" s="24">
        <f>IF($A76="","",SUMIFS('13_VANZARI'!$K$5:$K$1004,'13_VANZARI'!$E$5:$E$1004,$A76,'13_VANZARI'!$A$5:$A$1004,"&gt;="&amp;'09_PARAMETRI'!$B$5,'13_VANZARI'!$A$5:$A$1004,"&lt;="&amp;'09_PARAMETRI'!$B$6))</f>
        <v/>
      </c>
      <c r="H76" s="25">
        <f>IF($A76="","",IFERROR($G76/$D76,""))</f>
        <v/>
      </c>
      <c r="I76" s="24">
        <f>IF($A76="","",SUMIFS('13_VANZARI'!$G$5:$G$1004,'13_VANZARI'!$E$5:$E$1004,$A76,'13_VANZARI'!$A$5:$A$1004,"&gt;="&amp;'09_PARAMETRI'!$B$5,'13_VANZARI'!$A$5:$A$1004,"&lt;="&amp;'09_PARAMETRI'!$B$6))</f>
        <v/>
      </c>
      <c r="J76" s="48">
        <f>IF($A76="","",IFERROR($D76/$I76,""))</f>
        <v/>
      </c>
      <c r="K76" s="24">
        <f>IF($A76="","",SUMPRODUCT(('10_CLIENTI'!$A$5:$A$204&lt;&gt;"")*(SUMIFS('13_VANZARI'!$H$5:$H$1004,'13_VANZARI'!$E$5:$E$1004,$A76,'13_VANZARI'!$D$5:$D$1004,'10_CLIENTI'!$A$5:$A$204,'13_VANZARI'!$A$5:$A$1004,"&gt;="&amp;'09_PARAMETRI'!$B$5,'13_VANZARI'!$A$5:$A$1004,"&lt;="&amp;'09_PARAMETRI'!$B$6)&lt;&gt;0)))</f>
        <v/>
      </c>
      <c r="L76" s="25">
        <f>IF($A76="","",IFERROR($K76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6" s="39">
        <f>IF($A76="","",IF(AND($D76&gt;0,$H76&lt;&gt;"",$H76&lt;'09_PARAMETRI'!$B$15),"Marjă sub referință",IF(AND($F76&lt;&gt;"",$F76&gt;='09_PARAMETRI'!$B$14,$L76&lt;0.3),"Creștere + penetrare mică",IF(AND($F76&lt;&gt;"",$F76&lt;='09_PARAMETRI'!$B$13),"Produs în scădere",IF($D76=0,"Fără vânzări","Stabil")))))</f>
        <v/>
      </c>
      <c r="N76" s="39">
        <f>IF($A76="","",IF($M76="Marjă sub referință","Marjă / preț",IF($M76="Creștere + penetrare mică","Creștere produs",IF($M76="Produs în scădere","Cross-sell",IF($M76="Fără vânzări","Proces / operațional","Cross-sell")))))</f>
        <v/>
      </c>
      <c r="O76" s="24">
        <f>IF($A76="","",IFERROR(IF($M76="Marjă sub referință",MAX(0,$D76*('09_PARAMETRI'!$B$15-$H76)),IF($M76="Creștere + penetrare mică",$D76*0.5,IF($M76="Produs în scădere",MAX(0,$E76-$D76),$D76*0.1))),""))</f>
        <v/>
      </c>
      <c r="P76" s="48">
        <f>IF(OR($A76="",$D76="",N($D76)&lt;=0),"",$D76+ROW()/1000000)</f>
        <v/>
      </c>
    </row>
    <row r="77">
      <c r="A77" s="39">
        <f>IF('11_PRODUSE'!$A77="","",'11_PRODUSE'!$A77)</f>
        <v/>
      </c>
      <c r="B77" s="39">
        <f>IF($A77="","",IFERROR(INDEX('11_PRODUSE'!$B$5:$B$104,MATCH($A77,'11_PRODUSE'!$A$5:$A$104,0)),""))</f>
        <v/>
      </c>
      <c r="C77" s="39">
        <f>IF($A77="","",IFERROR(INDEX('11_PRODUSE'!$C$5:$C$104,MATCH($A77,'11_PRODUSE'!$A$5:$A$104,0)),""))</f>
        <v/>
      </c>
      <c r="D77" s="24">
        <f>IF($A77="","",SUMIFS('13_VANZARI'!$H$5:$H$1004,'13_VANZARI'!$E$5:$E$1004,$A77,'13_VANZARI'!$A$5:$A$1004,"&gt;="&amp;'09_PARAMETRI'!$B$5,'13_VANZARI'!$A$5:$A$1004,"&lt;="&amp;'09_PARAMETRI'!$B$6))</f>
        <v/>
      </c>
      <c r="E77" s="24">
        <f>IF($A77="","",SUMIFS('13_VANZARI'!$H$5:$H$1004,'13_VANZARI'!$E$5:$E$1004,$A77,'13_VANZARI'!$A$5:$A$1004,"&gt;="&amp;'09_PARAMETRI'!$B$7,'13_VANZARI'!$A$5:$A$1004,"&lt;="&amp;'09_PARAMETRI'!$B$8))</f>
        <v/>
      </c>
      <c r="F77" s="25">
        <f>IF($A77="","",IFERROR(IF($E77=0,"",($D77-$E77)/ABS($E77)),""))</f>
        <v/>
      </c>
      <c r="G77" s="24">
        <f>IF($A77="","",SUMIFS('13_VANZARI'!$K$5:$K$1004,'13_VANZARI'!$E$5:$E$1004,$A77,'13_VANZARI'!$A$5:$A$1004,"&gt;="&amp;'09_PARAMETRI'!$B$5,'13_VANZARI'!$A$5:$A$1004,"&lt;="&amp;'09_PARAMETRI'!$B$6))</f>
        <v/>
      </c>
      <c r="H77" s="25">
        <f>IF($A77="","",IFERROR($G77/$D77,""))</f>
        <v/>
      </c>
      <c r="I77" s="24">
        <f>IF($A77="","",SUMIFS('13_VANZARI'!$G$5:$G$1004,'13_VANZARI'!$E$5:$E$1004,$A77,'13_VANZARI'!$A$5:$A$1004,"&gt;="&amp;'09_PARAMETRI'!$B$5,'13_VANZARI'!$A$5:$A$1004,"&lt;="&amp;'09_PARAMETRI'!$B$6))</f>
        <v/>
      </c>
      <c r="J77" s="48">
        <f>IF($A77="","",IFERROR($D77/$I77,""))</f>
        <v/>
      </c>
      <c r="K77" s="24">
        <f>IF($A77="","",SUMPRODUCT(('10_CLIENTI'!$A$5:$A$204&lt;&gt;"")*(SUMIFS('13_VANZARI'!$H$5:$H$1004,'13_VANZARI'!$E$5:$E$1004,$A77,'13_VANZARI'!$D$5:$D$1004,'10_CLIENTI'!$A$5:$A$204,'13_VANZARI'!$A$5:$A$1004,"&gt;="&amp;'09_PARAMETRI'!$B$5,'13_VANZARI'!$A$5:$A$1004,"&lt;="&amp;'09_PARAMETRI'!$B$6)&lt;&gt;0)))</f>
        <v/>
      </c>
      <c r="L77" s="25">
        <f>IF($A77="","",IFERROR($K77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7" s="39">
        <f>IF($A77="","",IF(AND($D77&gt;0,$H77&lt;&gt;"",$H77&lt;'09_PARAMETRI'!$B$15),"Marjă sub referință",IF(AND($F77&lt;&gt;"",$F77&gt;='09_PARAMETRI'!$B$14,$L77&lt;0.3),"Creștere + penetrare mică",IF(AND($F77&lt;&gt;"",$F77&lt;='09_PARAMETRI'!$B$13),"Produs în scădere",IF($D77=0,"Fără vânzări","Stabil")))))</f>
        <v/>
      </c>
      <c r="N77" s="39">
        <f>IF($A77="","",IF($M77="Marjă sub referință","Marjă / preț",IF($M77="Creștere + penetrare mică","Creștere produs",IF($M77="Produs în scădere","Cross-sell",IF($M77="Fără vânzări","Proces / operațional","Cross-sell")))))</f>
        <v/>
      </c>
      <c r="O77" s="24">
        <f>IF($A77="","",IFERROR(IF($M77="Marjă sub referință",MAX(0,$D77*('09_PARAMETRI'!$B$15-$H77)),IF($M77="Creștere + penetrare mică",$D77*0.5,IF($M77="Produs în scădere",MAX(0,$E77-$D77),$D77*0.1))),""))</f>
        <v/>
      </c>
      <c r="P77" s="48">
        <f>IF(OR($A77="",$D77="",N($D77)&lt;=0),"",$D77+ROW()/1000000)</f>
        <v/>
      </c>
    </row>
    <row r="78">
      <c r="A78" s="39">
        <f>IF('11_PRODUSE'!$A78="","",'11_PRODUSE'!$A78)</f>
        <v/>
      </c>
      <c r="B78" s="39">
        <f>IF($A78="","",IFERROR(INDEX('11_PRODUSE'!$B$5:$B$104,MATCH($A78,'11_PRODUSE'!$A$5:$A$104,0)),""))</f>
        <v/>
      </c>
      <c r="C78" s="39">
        <f>IF($A78="","",IFERROR(INDEX('11_PRODUSE'!$C$5:$C$104,MATCH($A78,'11_PRODUSE'!$A$5:$A$104,0)),""))</f>
        <v/>
      </c>
      <c r="D78" s="24">
        <f>IF($A78="","",SUMIFS('13_VANZARI'!$H$5:$H$1004,'13_VANZARI'!$E$5:$E$1004,$A78,'13_VANZARI'!$A$5:$A$1004,"&gt;="&amp;'09_PARAMETRI'!$B$5,'13_VANZARI'!$A$5:$A$1004,"&lt;="&amp;'09_PARAMETRI'!$B$6))</f>
        <v/>
      </c>
      <c r="E78" s="24">
        <f>IF($A78="","",SUMIFS('13_VANZARI'!$H$5:$H$1004,'13_VANZARI'!$E$5:$E$1004,$A78,'13_VANZARI'!$A$5:$A$1004,"&gt;="&amp;'09_PARAMETRI'!$B$7,'13_VANZARI'!$A$5:$A$1004,"&lt;="&amp;'09_PARAMETRI'!$B$8))</f>
        <v/>
      </c>
      <c r="F78" s="25">
        <f>IF($A78="","",IFERROR(IF($E78=0,"",($D78-$E78)/ABS($E78)),""))</f>
        <v/>
      </c>
      <c r="G78" s="24">
        <f>IF($A78="","",SUMIFS('13_VANZARI'!$K$5:$K$1004,'13_VANZARI'!$E$5:$E$1004,$A78,'13_VANZARI'!$A$5:$A$1004,"&gt;="&amp;'09_PARAMETRI'!$B$5,'13_VANZARI'!$A$5:$A$1004,"&lt;="&amp;'09_PARAMETRI'!$B$6))</f>
        <v/>
      </c>
      <c r="H78" s="25">
        <f>IF($A78="","",IFERROR($G78/$D78,""))</f>
        <v/>
      </c>
      <c r="I78" s="24">
        <f>IF($A78="","",SUMIFS('13_VANZARI'!$G$5:$G$1004,'13_VANZARI'!$E$5:$E$1004,$A78,'13_VANZARI'!$A$5:$A$1004,"&gt;="&amp;'09_PARAMETRI'!$B$5,'13_VANZARI'!$A$5:$A$1004,"&lt;="&amp;'09_PARAMETRI'!$B$6))</f>
        <v/>
      </c>
      <c r="J78" s="48">
        <f>IF($A78="","",IFERROR($D78/$I78,""))</f>
        <v/>
      </c>
      <c r="K78" s="24">
        <f>IF($A78="","",SUMPRODUCT(('10_CLIENTI'!$A$5:$A$204&lt;&gt;"")*(SUMIFS('13_VANZARI'!$H$5:$H$1004,'13_VANZARI'!$E$5:$E$1004,$A78,'13_VANZARI'!$D$5:$D$1004,'10_CLIENTI'!$A$5:$A$204,'13_VANZARI'!$A$5:$A$1004,"&gt;="&amp;'09_PARAMETRI'!$B$5,'13_VANZARI'!$A$5:$A$1004,"&lt;="&amp;'09_PARAMETRI'!$B$6)&lt;&gt;0)))</f>
        <v/>
      </c>
      <c r="L78" s="25">
        <f>IF($A78="","",IFERROR($K78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8" s="39">
        <f>IF($A78="","",IF(AND($D78&gt;0,$H78&lt;&gt;"",$H78&lt;'09_PARAMETRI'!$B$15),"Marjă sub referință",IF(AND($F78&lt;&gt;"",$F78&gt;='09_PARAMETRI'!$B$14,$L78&lt;0.3),"Creștere + penetrare mică",IF(AND($F78&lt;&gt;"",$F78&lt;='09_PARAMETRI'!$B$13),"Produs în scădere",IF($D78=0,"Fără vânzări","Stabil")))))</f>
        <v/>
      </c>
      <c r="N78" s="39">
        <f>IF($A78="","",IF($M78="Marjă sub referință","Marjă / preț",IF($M78="Creștere + penetrare mică","Creștere produs",IF($M78="Produs în scădere","Cross-sell",IF($M78="Fără vânzări","Proces / operațional","Cross-sell")))))</f>
        <v/>
      </c>
      <c r="O78" s="24">
        <f>IF($A78="","",IFERROR(IF($M78="Marjă sub referință",MAX(0,$D78*('09_PARAMETRI'!$B$15-$H78)),IF($M78="Creștere + penetrare mică",$D78*0.5,IF($M78="Produs în scădere",MAX(0,$E78-$D78),$D78*0.1))),""))</f>
        <v/>
      </c>
      <c r="P78" s="48">
        <f>IF(OR($A78="",$D78="",N($D78)&lt;=0),"",$D78+ROW()/1000000)</f>
        <v/>
      </c>
    </row>
    <row r="79">
      <c r="A79" s="39">
        <f>IF('11_PRODUSE'!$A79="","",'11_PRODUSE'!$A79)</f>
        <v/>
      </c>
      <c r="B79" s="39">
        <f>IF($A79="","",IFERROR(INDEX('11_PRODUSE'!$B$5:$B$104,MATCH($A79,'11_PRODUSE'!$A$5:$A$104,0)),""))</f>
        <v/>
      </c>
      <c r="C79" s="39">
        <f>IF($A79="","",IFERROR(INDEX('11_PRODUSE'!$C$5:$C$104,MATCH($A79,'11_PRODUSE'!$A$5:$A$104,0)),""))</f>
        <v/>
      </c>
      <c r="D79" s="24">
        <f>IF($A79="","",SUMIFS('13_VANZARI'!$H$5:$H$1004,'13_VANZARI'!$E$5:$E$1004,$A79,'13_VANZARI'!$A$5:$A$1004,"&gt;="&amp;'09_PARAMETRI'!$B$5,'13_VANZARI'!$A$5:$A$1004,"&lt;="&amp;'09_PARAMETRI'!$B$6))</f>
        <v/>
      </c>
      <c r="E79" s="24">
        <f>IF($A79="","",SUMIFS('13_VANZARI'!$H$5:$H$1004,'13_VANZARI'!$E$5:$E$1004,$A79,'13_VANZARI'!$A$5:$A$1004,"&gt;="&amp;'09_PARAMETRI'!$B$7,'13_VANZARI'!$A$5:$A$1004,"&lt;="&amp;'09_PARAMETRI'!$B$8))</f>
        <v/>
      </c>
      <c r="F79" s="25">
        <f>IF($A79="","",IFERROR(IF($E79=0,"",($D79-$E79)/ABS($E79)),""))</f>
        <v/>
      </c>
      <c r="G79" s="24">
        <f>IF($A79="","",SUMIFS('13_VANZARI'!$K$5:$K$1004,'13_VANZARI'!$E$5:$E$1004,$A79,'13_VANZARI'!$A$5:$A$1004,"&gt;="&amp;'09_PARAMETRI'!$B$5,'13_VANZARI'!$A$5:$A$1004,"&lt;="&amp;'09_PARAMETRI'!$B$6))</f>
        <v/>
      </c>
      <c r="H79" s="25">
        <f>IF($A79="","",IFERROR($G79/$D79,""))</f>
        <v/>
      </c>
      <c r="I79" s="24">
        <f>IF($A79="","",SUMIFS('13_VANZARI'!$G$5:$G$1004,'13_VANZARI'!$E$5:$E$1004,$A79,'13_VANZARI'!$A$5:$A$1004,"&gt;="&amp;'09_PARAMETRI'!$B$5,'13_VANZARI'!$A$5:$A$1004,"&lt;="&amp;'09_PARAMETRI'!$B$6))</f>
        <v/>
      </c>
      <c r="J79" s="48">
        <f>IF($A79="","",IFERROR($D79/$I79,""))</f>
        <v/>
      </c>
      <c r="K79" s="24">
        <f>IF($A79="","",SUMPRODUCT(('10_CLIENTI'!$A$5:$A$204&lt;&gt;"")*(SUMIFS('13_VANZARI'!$H$5:$H$1004,'13_VANZARI'!$E$5:$E$1004,$A79,'13_VANZARI'!$D$5:$D$1004,'10_CLIENTI'!$A$5:$A$204,'13_VANZARI'!$A$5:$A$1004,"&gt;="&amp;'09_PARAMETRI'!$B$5,'13_VANZARI'!$A$5:$A$1004,"&lt;="&amp;'09_PARAMETRI'!$B$6)&lt;&gt;0)))</f>
        <v/>
      </c>
      <c r="L79" s="25">
        <f>IF($A79="","",IFERROR($K79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79" s="39">
        <f>IF($A79="","",IF(AND($D79&gt;0,$H79&lt;&gt;"",$H79&lt;'09_PARAMETRI'!$B$15),"Marjă sub referință",IF(AND($F79&lt;&gt;"",$F79&gt;='09_PARAMETRI'!$B$14,$L79&lt;0.3),"Creștere + penetrare mică",IF(AND($F79&lt;&gt;"",$F79&lt;='09_PARAMETRI'!$B$13),"Produs în scădere",IF($D79=0,"Fără vânzări","Stabil")))))</f>
        <v/>
      </c>
      <c r="N79" s="39">
        <f>IF($A79="","",IF($M79="Marjă sub referință","Marjă / preț",IF($M79="Creștere + penetrare mică","Creștere produs",IF($M79="Produs în scădere","Cross-sell",IF($M79="Fără vânzări","Proces / operațional","Cross-sell")))))</f>
        <v/>
      </c>
      <c r="O79" s="24">
        <f>IF($A79="","",IFERROR(IF($M79="Marjă sub referință",MAX(0,$D79*('09_PARAMETRI'!$B$15-$H79)),IF($M79="Creștere + penetrare mică",$D79*0.5,IF($M79="Produs în scădere",MAX(0,$E79-$D79),$D79*0.1))),""))</f>
        <v/>
      </c>
      <c r="P79" s="48">
        <f>IF(OR($A79="",$D79="",N($D79)&lt;=0),"",$D79+ROW()/1000000)</f>
        <v/>
      </c>
    </row>
    <row r="80">
      <c r="A80" s="39">
        <f>IF('11_PRODUSE'!$A80="","",'11_PRODUSE'!$A80)</f>
        <v/>
      </c>
      <c r="B80" s="39">
        <f>IF($A80="","",IFERROR(INDEX('11_PRODUSE'!$B$5:$B$104,MATCH($A80,'11_PRODUSE'!$A$5:$A$104,0)),""))</f>
        <v/>
      </c>
      <c r="C80" s="39">
        <f>IF($A80="","",IFERROR(INDEX('11_PRODUSE'!$C$5:$C$104,MATCH($A80,'11_PRODUSE'!$A$5:$A$104,0)),""))</f>
        <v/>
      </c>
      <c r="D80" s="24">
        <f>IF($A80="","",SUMIFS('13_VANZARI'!$H$5:$H$1004,'13_VANZARI'!$E$5:$E$1004,$A80,'13_VANZARI'!$A$5:$A$1004,"&gt;="&amp;'09_PARAMETRI'!$B$5,'13_VANZARI'!$A$5:$A$1004,"&lt;="&amp;'09_PARAMETRI'!$B$6))</f>
        <v/>
      </c>
      <c r="E80" s="24">
        <f>IF($A80="","",SUMIFS('13_VANZARI'!$H$5:$H$1004,'13_VANZARI'!$E$5:$E$1004,$A80,'13_VANZARI'!$A$5:$A$1004,"&gt;="&amp;'09_PARAMETRI'!$B$7,'13_VANZARI'!$A$5:$A$1004,"&lt;="&amp;'09_PARAMETRI'!$B$8))</f>
        <v/>
      </c>
      <c r="F80" s="25">
        <f>IF($A80="","",IFERROR(IF($E80=0,"",($D80-$E80)/ABS($E80)),""))</f>
        <v/>
      </c>
      <c r="G80" s="24">
        <f>IF($A80="","",SUMIFS('13_VANZARI'!$K$5:$K$1004,'13_VANZARI'!$E$5:$E$1004,$A80,'13_VANZARI'!$A$5:$A$1004,"&gt;="&amp;'09_PARAMETRI'!$B$5,'13_VANZARI'!$A$5:$A$1004,"&lt;="&amp;'09_PARAMETRI'!$B$6))</f>
        <v/>
      </c>
      <c r="H80" s="25">
        <f>IF($A80="","",IFERROR($G80/$D80,""))</f>
        <v/>
      </c>
      <c r="I80" s="24">
        <f>IF($A80="","",SUMIFS('13_VANZARI'!$G$5:$G$1004,'13_VANZARI'!$E$5:$E$1004,$A80,'13_VANZARI'!$A$5:$A$1004,"&gt;="&amp;'09_PARAMETRI'!$B$5,'13_VANZARI'!$A$5:$A$1004,"&lt;="&amp;'09_PARAMETRI'!$B$6))</f>
        <v/>
      </c>
      <c r="J80" s="48">
        <f>IF($A80="","",IFERROR($D80/$I80,""))</f>
        <v/>
      </c>
      <c r="K80" s="24">
        <f>IF($A80="","",SUMPRODUCT(('10_CLIENTI'!$A$5:$A$204&lt;&gt;"")*(SUMIFS('13_VANZARI'!$H$5:$H$1004,'13_VANZARI'!$E$5:$E$1004,$A80,'13_VANZARI'!$D$5:$D$1004,'10_CLIENTI'!$A$5:$A$204,'13_VANZARI'!$A$5:$A$1004,"&gt;="&amp;'09_PARAMETRI'!$B$5,'13_VANZARI'!$A$5:$A$1004,"&lt;="&amp;'09_PARAMETRI'!$B$6)&lt;&gt;0)))</f>
        <v/>
      </c>
      <c r="L80" s="25">
        <f>IF($A80="","",IFERROR($K80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0" s="39">
        <f>IF($A80="","",IF(AND($D80&gt;0,$H80&lt;&gt;"",$H80&lt;'09_PARAMETRI'!$B$15),"Marjă sub referință",IF(AND($F80&lt;&gt;"",$F80&gt;='09_PARAMETRI'!$B$14,$L80&lt;0.3),"Creștere + penetrare mică",IF(AND($F80&lt;&gt;"",$F80&lt;='09_PARAMETRI'!$B$13),"Produs în scădere",IF($D80=0,"Fără vânzări","Stabil")))))</f>
        <v/>
      </c>
      <c r="N80" s="39">
        <f>IF($A80="","",IF($M80="Marjă sub referință","Marjă / preț",IF($M80="Creștere + penetrare mică","Creștere produs",IF($M80="Produs în scădere","Cross-sell",IF($M80="Fără vânzări","Proces / operațional","Cross-sell")))))</f>
        <v/>
      </c>
      <c r="O80" s="24">
        <f>IF($A80="","",IFERROR(IF($M80="Marjă sub referință",MAX(0,$D80*('09_PARAMETRI'!$B$15-$H80)),IF($M80="Creștere + penetrare mică",$D80*0.5,IF($M80="Produs în scădere",MAX(0,$E80-$D80),$D80*0.1))),""))</f>
        <v/>
      </c>
      <c r="P80" s="48">
        <f>IF(OR($A80="",$D80="",N($D80)&lt;=0),"",$D80+ROW()/1000000)</f>
        <v/>
      </c>
    </row>
    <row r="81">
      <c r="A81" s="39">
        <f>IF('11_PRODUSE'!$A81="","",'11_PRODUSE'!$A81)</f>
        <v/>
      </c>
      <c r="B81" s="39">
        <f>IF($A81="","",IFERROR(INDEX('11_PRODUSE'!$B$5:$B$104,MATCH($A81,'11_PRODUSE'!$A$5:$A$104,0)),""))</f>
        <v/>
      </c>
      <c r="C81" s="39">
        <f>IF($A81="","",IFERROR(INDEX('11_PRODUSE'!$C$5:$C$104,MATCH($A81,'11_PRODUSE'!$A$5:$A$104,0)),""))</f>
        <v/>
      </c>
      <c r="D81" s="24">
        <f>IF($A81="","",SUMIFS('13_VANZARI'!$H$5:$H$1004,'13_VANZARI'!$E$5:$E$1004,$A81,'13_VANZARI'!$A$5:$A$1004,"&gt;="&amp;'09_PARAMETRI'!$B$5,'13_VANZARI'!$A$5:$A$1004,"&lt;="&amp;'09_PARAMETRI'!$B$6))</f>
        <v/>
      </c>
      <c r="E81" s="24">
        <f>IF($A81="","",SUMIFS('13_VANZARI'!$H$5:$H$1004,'13_VANZARI'!$E$5:$E$1004,$A81,'13_VANZARI'!$A$5:$A$1004,"&gt;="&amp;'09_PARAMETRI'!$B$7,'13_VANZARI'!$A$5:$A$1004,"&lt;="&amp;'09_PARAMETRI'!$B$8))</f>
        <v/>
      </c>
      <c r="F81" s="25">
        <f>IF($A81="","",IFERROR(IF($E81=0,"",($D81-$E81)/ABS($E81)),""))</f>
        <v/>
      </c>
      <c r="G81" s="24">
        <f>IF($A81="","",SUMIFS('13_VANZARI'!$K$5:$K$1004,'13_VANZARI'!$E$5:$E$1004,$A81,'13_VANZARI'!$A$5:$A$1004,"&gt;="&amp;'09_PARAMETRI'!$B$5,'13_VANZARI'!$A$5:$A$1004,"&lt;="&amp;'09_PARAMETRI'!$B$6))</f>
        <v/>
      </c>
      <c r="H81" s="25">
        <f>IF($A81="","",IFERROR($G81/$D81,""))</f>
        <v/>
      </c>
      <c r="I81" s="24">
        <f>IF($A81="","",SUMIFS('13_VANZARI'!$G$5:$G$1004,'13_VANZARI'!$E$5:$E$1004,$A81,'13_VANZARI'!$A$5:$A$1004,"&gt;="&amp;'09_PARAMETRI'!$B$5,'13_VANZARI'!$A$5:$A$1004,"&lt;="&amp;'09_PARAMETRI'!$B$6))</f>
        <v/>
      </c>
      <c r="J81" s="48">
        <f>IF($A81="","",IFERROR($D81/$I81,""))</f>
        <v/>
      </c>
      <c r="K81" s="24">
        <f>IF($A81="","",SUMPRODUCT(('10_CLIENTI'!$A$5:$A$204&lt;&gt;"")*(SUMIFS('13_VANZARI'!$H$5:$H$1004,'13_VANZARI'!$E$5:$E$1004,$A81,'13_VANZARI'!$D$5:$D$1004,'10_CLIENTI'!$A$5:$A$204,'13_VANZARI'!$A$5:$A$1004,"&gt;="&amp;'09_PARAMETRI'!$B$5,'13_VANZARI'!$A$5:$A$1004,"&lt;="&amp;'09_PARAMETRI'!$B$6)&lt;&gt;0)))</f>
        <v/>
      </c>
      <c r="L81" s="25">
        <f>IF($A81="","",IFERROR($K81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1" s="39">
        <f>IF($A81="","",IF(AND($D81&gt;0,$H81&lt;&gt;"",$H81&lt;'09_PARAMETRI'!$B$15),"Marjă sub referință",IF(AND($F81&lt;&gt;"",$F81&gt;='09_PARAMETRI'!$B$14,$L81&lt;0.3),"Creștere + penetrare mică",IF(AND($F81&lt;&gt;"",$F81&lt;='09_PARAMETRI'!$B$13),"Produs în scădere",IF($D81=0,"Fără vânzări","Stabil")))))</f>
        <v/>
      </c>
      <c r="N81" s="39">
        <f>IF($A81="","",IF($M81="Marjă sub referință","Marjă / preț",IF($M81="Creștere + penetrare mică","Creștere produs",IF($M81="Produs în scădere","Cross-sell",IF($M81="Fără vânzări","Proces / operațional","Cross-sell")))))</f>
        <v/>
      </c>
      <c r="O81" s="24">
        <f>IF($A81="","",IFERROR(IF($M81="Marjă sub referință",MAX(0,$D81*('09_PARAMETRI'!$B$15-$H81)),IF($M81="Creștere + penetrare mică",$D81*0.5,IF($M81="Produs în scădere",MAX(0,$E81-$D81),$D81*0.1))),""))</f>
        <v/>
      </c>
      <c r="P81" s="48">
        <f>IF(OR($A81="",$D81="",N($D81)&lt;=0),"",$D81+ROW()/1000000)</f>
        <v/>
      </c>
    </row>
    <row r="82">
      <c r="A82" s="39">
        <f>IF('11_PRODUSE'!$A82="","",'11_PRODUSE'!$A82)</f>
        <v/>
      </c>
      <c r="B82" s="39">
        <f>IF($A82="","",IFERROR(INDEX('11_PRODUSE'!$B$5:$B$104,MATCH($A82,'11_PRODUSE'!$A$5:$A$104,0)),""))</f>
        <v/>
      </c>
      <c r="C82" s="39">
        <f>IF($A82="","",IFERROR(INDEX('11_PRODUSE'!$C$5:$C$104,MATCH($A82,'11_PRODUSE'!$A$5:$A$104,0)),""))</f>
        <v/>
      </c>
      <c r="D82" s="24">
        <f>IF($A82="","",SUMIFS('13_VANZARI'!$H$5:$H$1004,'13_VANZARI'!$E$5:$E$1004,$A82,'13_VANZARI'!$A$5:$A$1004,"&gt;="&amp;'09_PARAMETRI'!$B$5,'13_VANZARI'!$A$5:$A$1004,"&lt;="&amp;'09_PARAMETRI'!$B$6))</f>
        <v/>
      </c>
      <c r="E82" s="24">
        <f>IF($A82="","",SUMIFS('13_VANZARI'!$H$5:$H$1004,'13_VANZARI'!$E$5:$E$1004,$A82,'13_VANZARI'!$A$5:$A$1004,"&gt;="&amp;'09_PARAMETRI'!$B$7,'13_VANZARI'!$A$5:$A$1004,"&lt;="&amp;'09_PARAMETRI'!$B$8))</f>
        <v/>
      </c>
      <c r="F82" s="25">
        <f>IF($A82="","",IFERROR(IF($E82=0,"",($D82-$E82)/ABS($E82)),""))</f>
        <v/>
      </c>
      <c r="G82" s="24">
        <f>IF($A82="","",SUMIFS('13_VANZARI'!$K$5:$K$1004,'13_VANZARI'!$E$5:$E$1004,$A82,'13_VANZARI'!$A$5:$A$1004,"&gt;="&amp;'09_PARAMETRI'!$B$5,'13_VANZARI'!$A$5:$A$1004,"&lt;="&amp;'09_PARAMETRI'!$B$6))</f>
        <v/>
      </c>
      <c r="H82" s="25">
        <f>IF($A82="","",IFERROR($G82/$D82,""))</f>
        <v/>
      </c>
      <c r="I82" s="24">
        <f>IF($A82="","",SUMIFS('13_VANZARI'!$G$5:$G$1004,'13_VANZARI'!$E$5:$E$1004,$A82,'13_VANZARI'!$A$5:$A$1004,"&gt;="&amp;'09_PARAMETRI'!$B$5,'13_VANZARI'!$A$5:$A$1004,"&lt;="&amp;'09_PARAMETRI'!$B$6))</f>
        <v/>
      </c>
      <c r="J82" s="48">
        <f>IF($A82="","",IFERROR($D82/$I82,""))</f>
        <v/>
      </c>
      <c r="K82" s="24">
        <f>IF($A82="","",SUMPRODUCT(('10_CLIENTI'!$A$5:$A$204&lt;&gt;"")*(SUMIFS('13_VANZARI'!$H$5:$H$1004,'13_VANZARI'!$E$5:$E$1004,$A82,'13_VANZARI'!$D$5:$D$1004,'10_CLIENTI'!$A$5:$A$204,'13_VANZARI'!$A$5:$A$1004,"&gt;="&amp;'09_PARAMETRI'!$B$5,'13_VANZARI'!$A$5:$A$1004,"&lt;="&amp;'09_PARAMETRI'!$B$6)&lt;&gt;0)))</f>
        <v/>
      </c>
      <c r="L82" s="25">
        <f>IF($A82="","",IFERROR($K82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2" s="39">
        <f>IF($A82="","",IF(AND($D82&gt;0,$H82&lt;&gt;"",$H82&lt;'09_PARAMETRI'!$B$15),"Marjă sub referință",IF(AND($F82&lt;&gt;"",$F82&gt;='09_PARAMETRI'!$B$14,$L82&lt;0.3),"Creștere + penetrare mică",IF(AND($F82&lt;&gt;"",$F82&lt;='09_PARAMETRI'!$B$13),"Produs în scădere",IF($D82=0,"Fără vânzări","Stabil")))))</f>
        <v/>
      </c>
      <c r="N82" s="39">
        <f>IF($A82="","",IF($M82="Marjă sub referință","Marjă / preț",IF($M82="Creștere + penetrare mică","Creștere produs",IF($M82="Produs în scădere","Cross-sell",IF($M82="Fără vânzări","Proces / operațional","Cross-sell")))))</f>
        <v/>
      </c>
      <c r="O82" s="24">
        <f>IF($A82="","",IFERROR(IF($M82="Marjă sub referință",MAX(0,$D82*('09_PARAMETRI'!$B$15-$H82)),IF($M82="Creștere + penetrare mică",$D82*0.5,IF($M82="Produs în scădere",MAX(0,$E82-$D82),$D82*0.1))),""))</f>
        <v/>
      </c>
      <c r="P82" s="48">
        <f>IF(OR($A82="",$D82="",N($D82)&lt;=0),"",$D82+ROW()/1000000)</f>
        <v/>
      </c>
    </row>
    <row r="83">
      <c r="A83" s="39">
        <f>IF('11_PRODUSE'!$A83="","",'11_PRODUSE'!$A83)</f>
        <v/>
      </c>
      <c r="B83" s="39">
        <f>IF($A83="","",IFERROR(INDEX('11_PRODUSE'!$B$5:$B$104,MATCH($A83,'11_PRODUSE'!$A$5:$A$104,0)),""))</f>
        <v/>
      </c>
      <c r="C83" s="39">
        <f>IF($A83="","",IFERROR(INDEX('11_PRODUSE'!$C$5:$C$104,MATCH($A83,'11_PRODUSE'!$A$5:$A$104,0)),""))</f>
        <v/>
      </c>
      <c r="D83" s="24">
        <f>IF($A83="","",SUMIFS('13_VANZARI'!$H$5:$H$1004,'13_VANZARI'!$E$5:$E$1004,$A83,'13_VANZARI'!$A$5:$A$1004,"&gt;="&amp;'09_PARAMETRI'!$B$5,'13_VANZARI'!$A$5:$A$1004,"&lt;="&amp;'09_PARAMETRI'!$B$6))</f>
        <v/>
      </c>
      <c r="E83" s="24">
        <f>IF($A83="","",SUMIFS('13_VANZARI'!$H$5:$H$1004,'13_VANZARI'!$E$5:$E$1004,$A83,'13_VANZARI'!$A$5:$A$1004,"&gt;="&amp;'09_PARAMETRI'!$B$7,'13_VANZARI'!$A$5:$A$1004,"&lt;="&amp;'09_PARAMETRI'!$B$8))</f>
        <v/>
      </c>
      <c r="F83" s="25">
        <f>IF($A83="","",IFERROR(IF($E83=0,"",($D83-$E83)/ABS($E83)),""))</f>
        <v/>
      </c>
      <c r="G83" s="24">
        <f>IF($A83="","",SUMIFS('13_VANZARI'!$K$5:$K$1004,'13_VANZARI'!$E$5:$E$1004,$A83,'13_VANZARI'!$A$5:$A$1004,"&gt;="&amp;'09_PARAMETRI'!$B$5,'13_VANZARI'!$A$5:$A$1004,"&lt;="&amp;'09_PARAMETRI'!$B$6))</f>
        <v/>
      </c>
      <c r="H83" s="25">
        <f>IF($A83="","",IFERROR($G83/$D83,""))</f>
        <v/>
      </c>
      <c r="I83" s="24">
        <f>IF($A83="","",SUMIFS('13_VANZARI'!$G$5:$G$1004,'13_VANZARI'!$E$5:$E$1004,$A83,'13_VANZARI'!$A$5:$A$1004,"&gt;="&amp;'09_PARAMETRI'!$B$5,'13_VANZARI'!$A$5:$A$1004,"&lt;="&amp;'09_PARAMETRI'!$B$6))</f>
        <v/>
      </c>
      <c r="J83" s="48">
        <f>IF($A83="","",IFERROR($D83/$I83,""))</f>
        <v/>
      </c>
      <c r="K83" s="24">
        <f>IF($A83="","",SUMPRODUCT(('10_CLIENTI'!$A$5:$A$204&lt;&gt;"")*(SUMIFS('13_VANZARI'!$H$5:$H$1004,'13_VANZARI'!$E$5:$E$1004,$A83,'13_VANZARI'!$D$5:$D$1004,'10_CLIENTI'!$A$5:$A$204,'13_VANZARI'!$A$5:$A$1004,"&gt;="&amp;'09_PARAMETRI'!$B$5,'13_VANZARI'!$A$5:$A$1004,"&lt;="&amp;'09_PARAMETRI'!$B$6)&lt;&gt;0)))</f>
        <v/>
      </c>
      <c r="L83" s="25">
        <f>IF($A83="","",IFERROR($K83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3" s="39">
        <f>IF($A83="","",IF(AND($D83&gt;0,$H83&lt;&gt;"",$H83&lt;'09_PARAMETRI'!$B$15),"Marjă sub referință",IF(AND($F83&lt;&gt;"",$F83&gt;='09_PARAMETRI'!$B$14,$L83&lt;0.3),"Creștere + penetrare mică",IF(AND($F83&lt;&gt;"",$F83&lt;='09_PARAMETRI'!$B$13),"Produs în scădere",IF($D83=0,"Fără vânzări","Stabil")))))</f>
        <v/>
      </c>
      <c r="N83" s="39">
        <f>IF($A83="","",IF($M83="Marjă sub referință","Marjă / preț",IF($M83="Creștere + penetrare mică","Creștere produs",IF($M83="Produs în scădere","Cross-sell",IF($M83="Fără vânzări","Proces / operațional","Cross-sell")))))</f>
        <v/>
      </c>
      <c r="O83" s="24">
        <f>IF($A83="","",IFERROR(IF($M83="Marjă sub referință",MAX(0,$D83*('09_PARAMETRI'!$B$15-$H83)),IF($M83="Creștere + penetrare mică",$D83*0.5,IF($M83="Produs în scădere",MAX(0,$E83-$D83),$D83*0.1))),""))</f>
        <v/>
      </c>
      <c r="P83" s="48">
        <f>IF(OR($A83="",$D83="",N($D83)&lt;=0),"",$D83+ROW()/1000000)</f>
        <v/>
      </c>
    </row>
    <row r="84">
      <c r="A84" s="39">
        <f>IF('11_PRODUSE'!$A84="","",'11_PRODUSE'!$A84)</f>
        <v/>
      </c>
      <c r="B84" s="39">
        <f>IF($A84="","",IFERROR(INDEX('11_PRODUSE'!$B$5:$B$104,MATCH($A84,'11_PRODUSE'!$A$5:$A$104,0)),""))</f>
        <v/>
      </c>
      <c r="C84" s="39">
        <f>IF($A84="","",IFERROR(INDEX('11_PRODUSE'!$C$5:$C$104,MATCH($A84,'11_PRODUSE'!$A$5:$A$104,0)),""))</f>
        <v/>
      </c>
      <c r="D84" s="24">
        <f>IF($A84="","",SUMIFS('13_VANZARI'!$H$5:$H$1004,'13_VANZARI'!$E$5:$E$1004,$A84,'13_VANZARI'!$A$5:$A$1004,"&gt;="&amp;'09_PARAMETRI'!$B$5,'13_VANZARI'!$A$5:$A$1004,"&lt;="&amp;'09_PARAMETRI'!$B$6))</f>
        <v/>
      </c>
      <c r="E84" s="24">
        <f>IF($A84="","",SUMIFS('13_VANZARI'!$H$5:$H$1004,'13_VANZARI'!$E$5:$E$1004,$A84,'13_VANZARI'!$A$5:$A$1004,"&gt;="&amp;'09_PARAMETRI'!$B$7,'13_VANZARI'!$A$5:$A$1004,"&lt;="&amp;'09_PARAMETRI'!$B$8))</f>
        <v/>
      </c>
      <c r="F84" s="25">
        <f>IF($A84="","",IFERROR(IF($E84=0,"",($D84-$E84)/ABS($E84)),""))</f>
        <v/>
      </c>
      <c r="G84" s="24">
        <f>IF($A84="","",SUMIFS('13_VANZARI'!$K$5:$K$1004,'13_VANZARI'!$E$5:$E$1004,$A84,'13_VANZARI'!$A$5:$A$1004,"&gt;="&amp;'09_PARAMETRI'!$B$5,'13_VANZARI'!$A$5:$A$1004,"&lt;="&amp;'09_PARAMETRI'!$B$6))</f>
        <v/>
      </c>
      <c r="H84" s="25">
        <f>IF($A84="","",IFERROR($G84/$D84,""))</f>
        <v/>
      </c>
      <c r="I84" s="24">
        <f>IF($A84="","",SUMIFS('13_VANZARI'!$G$5:$G$1004,'13_VANZARI'!$E$5:$E$1004,$A84,'13_VANZARI'!$A$5:$A$1004,"&gt;="&amp;'09_PARAMETRI'!$B$5,'13_VANZARI'!$A$5:$A$1004,"&lt;="&amp;'09_PARAMETRI'!$B$6))</f>
        <v/>
      </c>
      <c r="J84" s="48">
        <f>IF($A84="","",IFERROR($D84/$I84,""))</f>
        <v/>
      </c>
      <c r="K84" s="24">
        <f>IF($A84="","",SUMPRODUCT(('10_CLIENTI'!$A$5:$A$204&lt;&gt;"")*(SUMIFS('13_VANZARI'!$H$5:$H$1004,'13_VANZARI'!$E$5:$E$1004,$A84,'13_VANZARI'!$D$5:$D$1004,'10_CLIENTI'!$A$5:$A$204,'13_VANZARI'!$A$5:$A$1004,"&gt;="&amp;'09_PARAMETRI'!$B$5,'13_VANZARI'!$A$5:$A$1004,"&lt;="&amp;'09_PARAMETRI'!$B$6)&lt;&gt;0)))</f>
        <v/>
      </c>
      <c r="L84" s="25">
        <f>IF($A84="","",IFERROR($K84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4" s="39">
        <f>IF($A84="","",IF(AND($D84&gt;0,$H84&lt;&gt;"",$H84&lt;'09_PARAMETRI'!$B$15),"Marjă sub referință",IF(AND($F84&lt;&gt;"",$F84&gt;='09_PARAMETRI'!$B$14,$L84&lt;0.3),"Creștere + penetrare mică",IF(AND($F84&lt;&gt;"",$F84&lt;='09_PARAMETRI'!$B$13),"Produs în scădere",IF($D84=0,"Fără vânzări","Stabil")))))</f>
        <v/>
      </c>
      <c r="N84" s="39">
        <f>IF($A84="","",IF($M84="Marjă sub referință","Marjă / preț",IF($M84="Creștere + penetrare mică","Creștere produs",IF($M84="Produs în scădere","Cross-sell",IF($M84="Fără vânzări","Proces / operațional","Cross-sell")))))</f>
        <v/>
      </c>
      <c r="O84" s="24">
        <f>IF($A84="","",IFERROR(IF($M84="Marjă sub referință",MAX(0,$D84*('09_PARAMETRI'!$B$15-$H84)),IF($M84="Creștere + penetrare mică",$D84*0.5,IF($M84="Produs în scădere",MAX(0,$E84-$D84),$D84*0.1))),""))</f>
        <v/>
      </c>
      <c r="P84" s="48">
        <f>IF(OR($A84="",$D84="",N($D84)&lt;=0),"",$D84+ROW()/1000000)</f>
        <v/>
      </c>
    </row>
    <row r="85">
      <c r="A85" s="39">
        <f>IF('11_PRODUSE'!$A85="","",'11_PRODUSE'!$A85)</f>
        <v/>
      </c>
      <c r="B85" s="39">
        <f>IF($A85="","",IFERROR(INDEX('11_PRODUSE'!$B$5:$B$104,MATCH($A85,'11_PRODUSE'!$A$5:$A$104,0)),""))</f>
        <v/>
      </c>
      <c r="C85" s="39">
        <f>IF($A85="","",IFERROR(INDEX('11_PRODUSE'!$C$5:$C$104,MATCH($A85,'11_PRODUSE'!$A$5:$A$104,0)),""))</f>
        <v/>
      </c>
      <c r="D85" s="24">
        <f>IF($A85="","",SUMIFS('13_VANZARI'!$H$5:$H$1004,'13_VANZARI'!$E$5:$E$1004,$A85,'13_VANZARI'!$A$5:$A$1004,"&gt;="&amp;'09_PARAMETRI'!$B$5,'13_VANZARI'!$A$5:$A$1004,"&lt;="&amp;'09_PARAMETRI'!$B$6))</f>
        <v/>
      </c>
      <c r="E85" s="24">
        <f>IF($A85="","",SUMIFS('13_VANZARI'!$H$5:$H$1004,'13_VANZARI'!$E$5:$E$1004,$A85,'13_VANZARI'!$A$5:$A$1004,"&gt;="&amp;'09_PARAMETRI'!$B$7,'13_VANZARI'!$A$5:$A$1004,"&lt;="&amp;'09_PARAMETRI'!$B$8))</f>
        <v/>
      </c>
      <c r="F85" s="25">
        <f>IF($A85="","",IFERROR(IF($E85=0,"",($D85-$E85)/ABS($E85)),""))</f>
        <v/>
      </c>
      <c r="G85" s="24">
        <f>IF($A85="","",SUMIFS('13_VANZARI'!$K$5:$K$1004,'13_VANZARI'!$E$5:$E$1004,$A85,'13_VANZARI'!$A$5:$A$1004,"&gt;="&amp;'09_PARAMETRI'!$B$5,'13_VANZARI'!$A$5:$A$1004,"&lt;="&amp;'09_PARAMETRI'!$B$6))</f>
        <v/>
      </c>
      <c r="H85" s="25">
        <f>IF($A85="","",IFERROR($G85/$D85,""))</f>
        <v/>
      </c>
      <c r="I85" s="24">
        <f>IF($A85="","",SUMIFS('13_VANZARI'!$G$5:$G$1004,'13_VANZARI'!$E$5:$E$1004,$A85,'13_VANZARI'!$A$5:$A$1004,"&gt;="&amp;'09_PARAMETRI'!$B$5,'13_VANZARI'!$A$5:$A$1004,"&lt;="&amp;'09_PARAMETRI'!$B$6))</f>
        <v/>
      </c>
      <c r="J85" s="48">
        <f>IF($A85="","",IFERROR($D85/$I85,""))</f>
        <v/>
      </c>
      <c r="K85" s="24">
        <f>IF($A85="","",SUMPRODUCT(('10_CLIENTI'!$A$5:$A$204&lt;&gt;"")*(SUMIFS('13_VANZARI'!$H$5:$H$1004,'13_VANZARI'!$E$5:$E$1004,$A85,'13_VANZARI'!$D$5:$D$1004,'10_CLIENTI'!$A$5:$A$204,'13_VANZARI'!$A$5:$A$1004,"&gt;="&amp;'09_PARAMETRI'!$B$5,'13_VANZARI'!$A$5:$A$1004,"&lt;="&amp;'09_PARAMETRI'!$B$6)&lt;&gt;0)))</f>
        <v/>
      </c>
      <c r="L85" s="25">
        <f>IF($A85="","",IFERROR($K85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5" s="39">
        <f>IF($A85="","",IF(AND($D85&gt;0,$H85&lt;&gt;"",$H85&lt;'09_PARAMETRI'!$B$15),"Marjă sub referință",IF(AND($F85&lt;&gt;"",$F85&gt;='09_PARAMETRI'!$B$14,$L85&lt;0.3),"Creștere + penetrare mică",IF(AND($F85&lt;&gt;"",$F85&lt;='09_PARAMETRI'!$B$13),"Produs în scădere",IF($D85=0,"Fără vânzări","Stabil")))))</f>
        <v/>
      </c>
      <c r="N85" s="39">
        <f>IF($A85="","",IF($M85="Marjă sub referință","Marjă / preț",IF($M85="Creștere + penetrare mică","Creștere produs",IF($M85="Produs în scădere","Cross-sell",IF($M85="Fără vânzări","Proces / operațional","Cross-sell")))))</f>
        <v/>
      </c>
      <c r="O85" s="24">
        <f>IF($A85="","",IFERROR(IF($M85="Marjă sub referință",MAX(0,$D85*('09_PARAMETRI'!$B$15-$H85)),IF($M85="Creștere + penetrare mică",$D85*0.5,IF($M85="Produs în scădere",MAX(0,$E85-$D85),$D85*0.1))),""))</f>
        <v/>
      </c>
      <c r="P85" s="48">
        <f>IF(OR($A85="",$D85="",N($D85)&lt;=0),"",$D85+ROW()/1000000)</f>
        <v/>
      </c>
    </row>
    <row r="86">
      <c r="A86" s="39">
        <f>IF('11_PRODUSE'!$A86="","",'11_PRODUSE'!$A86)</f>
        <v/>
      </c>
      <c r="B86" s="39">
        <f>IF($A86="","",IFERROR(INDEX('11_PRODUSE'!$B$5:$B$104,MATCH($A86,'11_PRODUSE'!$A$5:$A$104,0)),""))</f>
        <v/>
      </c>
      <c r="C86" s="39">
        <f>IF($A86="","",IFERROR(INDEX('11_PRODUSE'!$C$5:$C$104,MATCH($A86,'11_PRODUSE'!$A$5:$A$104,0)),""))</f>
        <v/>
      </c>
      <c r="D86" s="24">
        <f>IF($A86="","",SUMIFS('13_VANZARI'!$H$5:$H$1004,'13_VANZARI'!$E$5:$E$1004,$A86,'13_VANZARI'!$A$5:$A$1004,"&gt;="&amp;'09_PARAMETRI'!$B$5,'13_VANZARI'!$A$5:$A$1004,"&lt;="&amp;'09_PARAMETRI'!$B$6))</f>
        <v/>
      </c>
      <c r="E86" s="24">
        <f>IF($A86="","",SUMIFS('13_VANZARI'!$H$5:$H$1004,'13_VANZARI'!$E$5:$E$1004,$A86,'13_VANZARI'!$A$5:$A$1004,"&gt;="&amp;'09_PARAMETRI'!$B$7,'13_VANZARI'!$A$5:$A$1004,"&lt;="&amp;'09_PARAMETRI'!$B$8))</f>
        <v/>
      </c>
      <c r="F86" s="25">
        <f>IF($A86="","",IFERROR(IF($E86=0,"",($D86-$E86)/ABS($E86)),""))</f>
        <v/>
      </c>
      <c r="G86" s="24">
        <f>IF($A86="","",SUMIFS('13_VANZARI'!$K$5:$K$1004,'13_VANZARI'!$E$5:$E$1004,$A86,'13_VANZARI'!$A$5:$A$1004,"&gt;="&amp;'09_PARAMETRI'!$B$5,'13_VANZARI'!$A$5:$A$1004,"&lt;="&amp;'09_PARAMETRI'!$B$6))</f>
        <v/>
      </c>
      <c r="H86" s="25">
        <f>IF($A86="","",IFERROR($G86/$D86,""))</f>
        <v/>
      </c>
      <c r="I86" s="24">
        <f>IF($A86="","",SUMIFS('13_VANZARI'!$G$5:$G$1004,'13_VANZARI'!$E$5:$E$1004,$A86,'13_VANZARI'!$A$5:$A$1004,"&gt;="&amp;'09_PARAMETRI'!$B$5,'13_VANZARI'!$A$5:$A$1004,"&lt;="&amp;'09_PARAMETRI'!$B$6))</f>
        <v/>
      </c>
      <c r="J86" s="48">
        <f>IF($A86="","",IFERROR($D86/$I86,""))</f>
        <v/>
      </c>
      <c r="K86" s="24">
        <f>IF($A86="","",SUMPRODUCT(('10_CLIENTI'!$A$5:$A$204&lt;&gt;"")*(SUMIFS('13_VANZARI'!$H$5:$H$1004,'13_VANZARI'!$E$5:$E$1004,$A86,'13_VANZARI'!$D$5:$D$1004,'10_CLIENTI'!$A$5:$A$204,'13_VANZARI'!$A$5:$A$1004,"&gt;="&amp;'09_PARAMETRI'!$B$5,'13_VANZARI'!$A$5:$A$1004,"&lt;="&amp;'09_PARAMETRI'!$B$6)&lt;&gt;0)))</f>
        <v/>
      </c>
      <c r="L86" s="25">
        <f>IF($A86="","",IFERROR($K86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6" s="39">
        <f>IF($A86="","",IF(AND($D86&gt;0,$H86&lt;&gt;"",$H86&lt;'09_PARAMETRI'!$B$15),"Marjă sub referință",IF(AND($F86&lt;&gt;"",$F86&gt;='09_PARAMETRI'!$B$14,$L86&lt;0.3),"Creștere + penetrare mică",IF(AND($F86&lt;&gt;"",$F86&lt;='09_PARAMETRI'!$B$13),"Produs în scădere",IF($D86=0,"Fără vânzări","Stabil")))))</f>
        <v/>
      </c>
      <c r="N86" s="39">
        <f>IF($A86="","",IF($M86="Marjă sub referință","Marjă / preț",IF($M86="Creștere + penetrare mică","Creștere produs",IF($M86="Produs în scădere","Cross-sell",IF($M86="Fără vânzări","Proces / operațional","Cross-sell")))))</f>
        <v/>
      </c>
      <c r="O86" s="24">
        <f>IF($A86="","",IFERROR(IF($M86="Marjă sub referință",MAX(0,$D86*('09_PARAMETRI'!$B$15-$H86)),IF($M86="Creștere + penetrare mică",$D86*0.5,IF($M86="Produs în scădere",MAX(0,$E86-$D86),$D86*0.1))),""))</f>
        <v/>
      </c>
      <c r="P86" s="48">
        <f>IF(OR($A86="",$D86="",N($D86)&lt;=0),"",$D86+ROW()/1000000)</f>
        <v/>
      </c>
    </row>
    <row r="87">
      <c r="A87" s="39">
        <f>IF('11_PRODUSE'!$A87="","",'11_PRODUSE'!$A87)</f>
        <v/>
      </c>
      <c r="B87" s="39">
        <f>IF($A87="","",IFERROR(INDEX('11_PRODUSE'!$B$5:$B$104,MATCH($A87,'11_PRODUSE'!$A$5:$A$104,0)),""))</f>
        <v/>
      </c>
      <c r="C87" s="39">
        <f>IF($A87="","",IFERROR(INDEX('11_PRODUSE'!$C$5:$C$104,MATCH($A87,'11_PRODUSE'!$A$5:$A$104,0)),""))</f>
        <v/>
      </c>
      <c r="D87" s="24">
        <f>IF($A87="","",SUMIFS('13_VANZARI'!$H$5:$H$1004,'13_VANZARI'!$E$5:$E$1004,$A87,'13_VANZARI'!$A$5:$A$1004,"&gt;="&amp;'09_PARAMETRI'!$B$5,'13_VANZARI'!$A$5:$A$1004,"&lt;="&amp;'09_PARAMETRI'!$B$6))</f>
        <v/>
      </c>
      <c r="E87" s="24">
        <f>IF($A87="","",SUMIFS('13_VANZARI'!$H$5:$H$1004,'13_VANZARI'!$E$5:$E$1004,$A87,'13_VANZARI'!$A$5:$A$1004,"&gt;="&amp;'09_PARAMETRI'!$B$7,'13_VANZARI'!$A$5:$A$1004,"&lt;="&amp;'09_PARAMETRI'!$B$8))</f>
        <v/>
      </c>
      <c r="F87" s="25">
        <f>IF($A87="","",IFERROR(IF($E87=0,"",($D87-$E87)/ABS($E87)),""))</f>
        <v/>
      </c>
      <c r="G87" s="24">
        <f>IF($A87="","",SUMIFS('13_VANZARI'!$K$5:$K$1004,'13_VANZARI'!$E$5:$E$1004,$A87,'13_VANZARI'!$A$5:$A$1004,"&gt;="&amp;'09_PARAMETRI'!$B$5,'13_VANZARI'!$A$5:$A$1004,"&lt;="&amp;'09_PARAMETRI'!$B$6))</f>
        <v/>
      </c>
      <c r="H87" s="25">
        <f>IF($A87="","",IFERROR($G87/$D87,""))</f>
        <v/>
      </c>
      <c r="I87" s="24">
        <f>IF($A87="","",SUMIFS('13_VANZARI'!$G$5:$G$1004,'13_VANZARI'!$E$5:$E$1004,$A87,'13_VANZARI'!$A$5:$A$1004,"&gt;="&amp;'09_PARAMETRI'!$B$5,'13_VANZARI'!$A$5:$A$1004,"&lt;="&amp;'09_PARAMETRI'!$B$6))</f>
        <v/>
      </c>
      <c r="J87" s="48">
        <f>IF($A87="","",IFERROR($D87/$I87,""))</f>
        <v/>
      </c>
      <c r="K87" s="24">
        <f>IF($A87="","",SUMPRODUCT(('10_CLIENTI'!$A$5:$A$204&lt;&gt;"")*(SUMIFS('13_VANZARI'!$H$5:$H$1004,'13_VANZARI'!$E$5:$E$1004,$A87,'13_VANZARI'!$D$5:$D$1004,'10_CLIENTI'!$A$5:$A$204,'13_VANZARI'!$A$5:$A$1004,"&gt;="&amp;'09_PARAMETRI'!$B$5,'13_VANZARI'!$A$5:$A$1004,"&lt;="&amp;'09_PARAMETRI'!$B$6)&lt;&gt;0)))</f>
        <v/>
      </c>
      <c r="L87" s="25">
        <f>IF($A87="","",IFERROR($K87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7" s="39">
        <f>IF($A87="","",IF(AND($D87&gt;0,$H87&lt;&gt;"",$H87&lt;'09_PARAMETRI'!$B$15),"Marjă sub referință",IF(AND($F87&lt;&gt;"",$F87&gt;='09_PARAMETRI'!$B$14,$L87&lt;0.3),"Creștere + penetrare mică",IF(AND($F87&lt;&gt;"",$F87&lt;='09_PARAMETRI'!$B$13),"Produs în scădere",IF($D87=0,"Fără vânzări","Stabil")))))</f>
        <v/>
      </c>
      <c r="N87" s="39">
        <f>IF($A87="","",IF($M87="Marjă sub referință","Marjă / preț",IF($M87="Creștere + penetrare mică","Creștere produs",IF($M87="Produs în scădere","Cross-sell",IF($M87="Fără vânzări","Proces / operațional","Cross-sell")))))</f>
        <v/>
      </c>
      <c r="O87" s="24">
        <f>IF($A87="","",IFERROR(IF($M87="Marjă sub referință",MAX(0,$D87*('09_PARAMETRI'!$B$15-$H87)),IF($M87="Creștere + penetrare mică",$D87*0.5,IF($M87="Produs în scădere",MAX(0,$E87-$D87),$D87*0.1))),""))</f>
        <v/>
      </c>
      <c r="P87" s="48">
        <f>IF(OR($A87="",$D87="",N($D87)&lt;=0),"",$D87+ROW()/1000000)</f>
        <v/>
      </c>
    </row>
    <row r="88">
      <c r="A88" s="39">
        <f>IF('11_PRODUSE'!$A88="","",'11_PRODUSE'!$A88)</f>
        <v/>
      </c>
      <c r="B88" s="39">
        <f>IF($A88="","",IFERROR(INDEX('11_PRODUSE'!$B$5:$B$104,MATCH($A88,'11_PRODUSE'!$A$5:$A$104,0)),""))</f>
        <v/>
      </c>
      <c r="C88" s="39">
        <f>IF($A88="","",IFERROR(INDEX('11_PRODUSE'!$C$5:$C$104,MATCH($A88,'11_PRODUSE'!$A$5:$A$104,0)),""))</f>
        <v/>
      </c>
      <c r="D88" s="24">
        <f>IF($A88="","",SUMIFS('13_VANZARI'!$H$5:$H$1004,'13_VANZARI'!$E$5:$E$1004,$A88,'13_VANZARI'!$A$5:$A$1004,"&gt;="&amp;'09_PARAMETRI'!$B$5,'13_VANZARI'!$A$5:$A$1004,"&lt;="&amp;'09_PARAMETRI'!$B$6))</f>
        <v/>
      </c>
      <c r="E88" s="24">
        <f>IF($A88="","",SUMIFS('13_VANZARI'!$H$5:$H$1004,'13_VANZARI'!$E$5:$E$1004,$A88,'13_VANZARI'!$A$5:$A$1004,"&gt;="&amp;'09_PARAMETRI'!$B$7,'13_VANZARI'!$A$5:$A$1004,"&lt;="&amp;'09_PARAMETRI'!$B$8))</f>
        <v/>
      </c>
      <c r="F88" s="25">
        <f>IF($A88="","",IFERROR(IF($E88=0,"",($D88-$E88)/ABS($E88)),""))</f>
        <v/>
      </c>
      <c r="G88" s="24">
        <f>IF($A88="","",SUMIFS('13_VANZARI'!$K$5:$K$1004,'13_VANZARI'!$E$5:$E$1004,$A88,'13_VANZARI'!$A$5:$A$1004,"&gt;="&amp;'09_PARAMETRI'!$B$5,'13_VANZARI'!$A$5:$A$1004,"&lt;="&amp;'09_PARAMETRI'!$B$6))</f>
        <v/>
      </c>
      <c r="H88" s="25">
        <f>IF($A88="","",IFERROR($G88/$D88,""))</f>
        <v/>
      </c>
      <c r="I88" s="24">
        <f>IF($A88="","",SUMIFS('13_VANZARI'!$G$5:$G$1004,'13_VANZARI'!$E$5:$E$1004,$A88,'13_VANZARI'!$A$5:$A$1004,"&gt;="&amp;'09_PARAMETRI'!$B$5,'13_VANZARI'!$A$5:$A$1004,"&lt;="&amp;'09_PARAMETRI'!$B$6))</f>
        <v/>
      </c>
      <c r="J88" s="48">
        <f>IF($A88="","",IFERROR($D88/$I88,""))</f>
        <v/>
      </c>
      <c r="K88" s="24">
        <f>IF($A88="","",SUMPRODUCT(('10_CLIENTI'!$A$5:$A$204&lt;&gt;"")*(SUMIFS('13_VANZARI'!$H$5:$H$1004,'13_VANZARI'!$E$5:$E$1004,$A88,'13_VANZARI'!$D$5:$D$1004,'10_CLIENTI'!$A$5:$A$204,'13_VANZARI'!$A$5:$A$1004,"&gt;="&amp;'09_PARAMETRI'!$B$5,'13_VANZARI'!$A$5:$A$1004,"&lt;="&amp;'09_PARAMETRI'!$B$6)&lt;&gt;0)))</f>
        <v/>
      </c>
      <c r="L88" s="25">
        <f>IF($A88="","",IFERROR($K88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8" s="39">
        <f>IF($A88="","",IF(AND($D88&gt;0,$H88&lt;&gt;"",$H88&lt;'09_PARAMETRI'!$B$15),"Marjă sub referință",IF(AND($F88&lt;&gt;"",$F88&gt;='09_PARAMETRI'!$B$14,$L88&lt;0.3),"Creștere + penetrare mică",IF(AND($F88&lt;&gt;"",$F88&lt;='09_PARAMETRI'!$B$13),"Produs în scădere",IF($D88=0,"Fără vânzări","Stabil")))))</f>
        <v/>
      </c>
      <c r="N88" s="39">
        <f>IF($A88="","",IF($M88="Marjă sub referință","Marjă / preț",IF($M88="Creștere + penetrare mică","Creștere produs",IF($M88="Produs în scădere","Cross-sell",IF($M88="Fără vânzări","Proces / operațional","Cross-sell")))))</f>
        <v/>
      </c>
      <c r="O88" s="24">
        <f>IF($A88="","",IFERROR(IF($M88="Marjă sub referință",MAX(0,$D88*('09_PARAMETRI'!$B$15-$H88)),IF($M88="Creștere + penetrare mică",$D88*0.5,IF($M88="Produs în scădere",MAX(0,$E88-$D88),$D88*0.1))),""))</f>
        <v/>
      </c>
      <c r="P88" s="48">
        <f>IF(OR($A88="",$D88="",N($D88)&lt;=0),"",$D88+ROW()/1000000)</f>
        <v/>
      </c>
    </row>
    <row r="89">
      <c r="A89" s="39">
        <f>IF('11_PRODUSE'!$A89="","",'11_PRODUSE'!$A89)</f>
        <v/>
      </c>
      <c r="B89" s="39">
        <f>IF($A89="","",IFERROR(INDEX('11_PRODUSE'!$B$5:$B$104,MATCH($A89,'11_PRODUSE'!$A$5:$A$104,0)),""))</f>
        <v/>
      </c>
      <c r="C89" s="39">
        <f>IF($A89="","",IFERROR(INDEX('11_PRODUSE'!$C$5:$C$104,MATCH($A89,'11_PRODUSE'!$A$5:$A$104,0)),""))</f>
        <v/>
      </c>
      <c r="D89" s="24">
        <f>IF($A89="","",SUMIFS('13_VANZARI'!$H$5:$H$1004,'13_VANZARI'!$E$5:$E$1004,$A89,'13_VANZARI'!$A$5:$A$1004,"&gt;="&amp;'09_PARAMETRI'!$B$5,'13_VANZARI'!$A$5:$A$1004,"&lt;="&amp;'09_PARAMETRI'!$B$6))</f>
        <v/>
      </c>
      <c r="E89" s="24">
        <f>IF($A89="","",SUMIFS('13_VANZARI'!$H$5:$H$1004,'13_VANZARI'!$E$5:$E$1004,$A89,'13_VANZARI'!$A$5:$A$1004,"&gt;="&amp;'09_PARAMETRI'!$B$7,'13_VANZARI'!$A$5:$A$1004,"&lt;="&amp;'09_PARAMETRI'!$B$8))</f>
        <v/>
      </c>
      <c r="F89" s="25">
        <f>IF($A89="","",IFERROR(IF($E89=0,"",($D89-$E89)/ABS($E89)),""))</f>
        <v/>
      </c>
      <c r="G89" s="24">
        <f>IF($A89="","",SUMIFS('13_VANZARI'!$K$5:$K$1004,'13_VANZARI'!$E$5:$E$1004,$A89,'13_VANZARI'!$A$5:$A$1004,"&gt;="&amp;'09_PARAMETRI'!$B$5,'13_VANZARI'!$A$5:$A$1004,"&lt;="&amp;'09_PARAMETRI'!$B$6))</f>
        <v/>
      </c>
      <c r="H89" s="25">
        <f>IF($A89="","",IFERROR($G89/$D89,""))</f>
        <v/>
      </c>
      <c r="I89" s="24">
        <f>IF($A89="","",SUMIFS('13_VANZARI'!$G$5:$G$1004,'13_VANZARI'!$E$5:$E$1004,$A89,'13_VANZARI'!$A$5:$A$1004,"&gt;="&amp;'09_PARAMETRI'!$B$5,'13_VANZARI'!$A$5:$A$1004,"&lt;="&amp;'09_PARAMETRI'!$B$6))</f>
        <v/>
      </c>
      <c r="J89" s="48">
        <f>IF($A89="","",IFERROR($D89/$I89,""))</f>
        <v/>
      </c>
      <c r="K89" s="24">
        <f>IF($A89="","",SUMPRODUCT(('10_CLIENTI'!$A$5:$A$204&lt;&gt;"")*(SUMIFS('13_VANZARI'!$H$5:$H$1004,'13_VANZARI'!$E$5:$E$1004,$A89,'13_VANZARI'!$D$5:$D$1004,'10_CLIENTI'!$A$5:$A$204,'13_VANZARI'!$A$5:$A$1004,"&gt;="&amp;'09_PARAMETRI'!$B$5,'13_VANZARI'!$A$5:$A$1004,"&lt;="&amp;'09_PARAMETRI'!$B$6)&lt;&gt;0)))</f>
        <v/>
      </c>
      <c r="L89" s="25">
        <f>IF($A89="","",IFERROR($K89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89" s="39">
        <f>IF($A89="","",IF(AND($D89&gt;0,$H89&lt;&gt;"",$H89&lt;'09_PARAMETRI'!$B$15),"Marjă sub referință",IF(AND($F89&lt;&gt;"",$F89&gt;='09_PARAMETRI'!$B$14,$L89&lt;0.3),"Creștere + penetrare mică",IF(AND($F89&lt;&gt;"",$F89&lt;='09_PARAMETRI'!$B$13),"Produs în scădere",IF($D89=0,"Fără vânzări","Stabil")))))</f>
        <v/>
      </c>
      <c r="N89" s="39">
        <f>IF($A89="","",IF($M89="Marjă sub referință","Marjă / preț",IF($M89="Creștere + penetrare mică","Creștere produs",IF($M89="Produs în scădere","Cross-sell",IF($M89="Fără vânzări","Proces / operațional","Cross-sell")))))</f>
        <v/>
      </c>
      <c r="O89" s="24">
        <f>IF($A89="","",IFERROR(IF($M89="Marjă sub referință",MAX(0,$D89*('09_PARAMETRI'!$B$15-$H89)),IF($M89="Creștere + penetrare mică",$D89*0.5,IF($M89="Produs în scădere",MAX(0,$E89-$D89),$D89*0.1))),""))</f>
        <v/>
      </c>
      <c r="P89" s="48">
        <f>IF(OR($A89="",$D89="",N($D89)&lt;=0),"",$D89+ROW()/1000000)</f>
        <v/>
      </c>
    </row>
    <row r="90">
      <c r="A90" s="39">
        <f>IF('11_PRODUSE'!$A90="","",'11_PRODUSE'!$A90)</f>
        <v/>
      </c>
      <c r="B90" s="39">
        <f>IF($A90="","",IFERROR(INDEX('11_PRODUSE'!$B$5:$B$104,MATCH($A90,'11_PRODUSE'!$A$5:$A$104,0)),""))</f>
        <v/>
      </c>
      <c r="C90" s="39">
        <f>IF($A90="","",IFERROR(INDEX('11_PRODUSE'!$C$5:$C$104,MATCH($A90,'11_PRODUSE'!$A$5:$A$104,0)),""))</f>
        <v/>
      </c>
      <c r="D90" s="24">
        <f>IF($A90="","",SUMIFS('13_VANZARI'!$H$5:$H$1004,'13_VANZARI'!$E$5:$E$1004,$A90,'13_VANZARI'!$A$5:$A$1004,"&gt;="&amp;'09_PARAMETRI'!$B$5,'13_VANZARI'!$A$5:$A$1004,"&lt;="&amp;'09_PARAMETRI'!$B$6))</f>
        <v/>
      </c>
      <c r="E90" s="24">
        <f>IF($A90="","",SUMIFS('13_VANZARI'!$H$5:$H$1004,'13_VANZARI'!$E$5:$E$1004,$A90,'13_VANZARI'!$A$5:$A$1004,"&gt;="&amp;'09_PARAMETRI'!$B$7,'13_VANZARI'!$A$5:$A$1004,"&lt;="&amp;'09_PARAMETRI'!$B$8))</f>
        <v/>
      </c>
      <c r="F90" s="25">
        <f>IF($A90="","",IFERROR(IF($E90=0,"",($D90-$E90)/ABS($E90)),""))</f>
        <v/>
      </c>
      <c r="G90" s="24">
        <f>IF($A90="","",SUMIFS('13_VANZARI'!$K$5:$K$1004,'13_VANZARI'!$E$5:$E$1004,$A90,'13_VANZARI'!$A$5:$A$1004,"&gt;="&amp;'09_PARAMETRI'!$B$5,'13_VANZARI'!$A$5:$A$1004,"&lt;="&amp;'09_PARAMETRI'!$B$6))</f>
        <v/>
      </c>
      <c r="H90" s="25">
        <f>IF($A90="","",IFERROR($G90/$D90,""))</f>
        <v/>
      </c>
      <c r="I90" s="24">
        <f>IF($A90="","",SUMIFS('13_VANZARI'!$G$5:$G$1004,'13_VANZARI'!$E$5:$E$1004,$A90,'13_VANZARI'!$A$5:$A$1004,"&gt;="&amp;'09_PARAMETRI'!$B$5,'13_VANZARI'!$A$5:$A$1004,"&lt;="&amp;'09_PARAMETRI'!$B$6))</f>
        <v/>
      </c>
      <c r="J90" s="48">
        <f>IF($A90="","",IFERROR($D90/$I90,""))</f>
        <v/>
      </c>
      <c r="K90" s="24">
        <f>IF($A90="","",SUMPRODUCT(('10_CLIENTI'!$A$5:$A$204&lt;&gt;"")*(SUMIFS('13_VANZARI'!$H$5:$H$1004,'13_VANZARI'!$E$5:$E$1004,$A90,'13_VANZARI'!$D$5:$D$1004,'10_CLIENTI'!$A$5:$A$204,'13_VANZARI'!$A$5:$A$1004,"&gt;="&amp;'09_PARAMETRI'!$B$5,'13_VANZARI'!$A$5:$A$1004,"&lt;="&amp;'09_PARAMETRI'!$B$6)&lt;&gt;0)))</f>
        <v/>
      </c>
      <c r="L90" s="25">
        <f>IF($A90="","",IFERROR($K90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0" s="39">
        <f>IF($A90="","",IF(AND($D90&gt;0,$H90&lt;&gt;"",$H90&lt;'09_PARAMETRI'!$B$15),"Marjă sub referință",IF(AND($F90&lt;&gt;"",$F90&gt;='09_PARAMETRI'!$B$14,$L90&lt;0.3),"Creștere + penetrare mică",IF(AND($F90&lt;&gt;"",$F90&lt;='09_PARAMETRI'!$B$13),"Produs în scădere",IF($D90=0,"Fără vânzări","Stabil")))))</f>
        <v/>
      </c>
      <c r="N90" s="39">
        <f>IF($A90="","",IF($M90="Marjă sub referință","Marjă / preț",IF($M90="Creștere + penetrare mică","Creștere produs",IF($M90="Produs în scădere","Cross-sell",IF($M90="Fără vânzări","Proces / operațional","Cross-sell")))))</f>
        <v/>
      </c>
      <c r="O90" s="24">
        <f>IF($A90="","",IFERROR(IF($M90="Marjă sub referință",MAX(0,$D90*('09_PARAMETRI'!$B$15-$H90)),IF($M90="Creștere + penetrare mică",$D90*0.5,IF($M90="Produs în scădere",MAX(0,$E90-$D90),$D90*0.1))),""))</f>
        <v/>
      </c>
      <c r="P90" s="48">
        <f>IF(OR($A90="",$D90="",N($D90)&lt;=0),"",$D90+ROW()/1000000)</f>
        <v/>
      </c>
    </row>
    <row r="91">
      <c r="A91" s="39">
        <f>IF('11_PRODUSE'!$A91="","",'11_PRODUSE'!$A91)</f>
        <v/>
      </c>
      <c r="B91" s="39">
        <f>IF($A91="","",IFERROR(INDEX('11_PRODUSE'!$B$5:$B$104,MATCH($A91,'11_PRODUSE'!$A$5:$A$104,0)),""))</f>
        <v/>
      </c>
      <c r="C91" s="39">
        <f>IF($A91="","",IFERROR(INDEX('11_PRODUSE'!$C$5:$C$104,MATCH($A91,'11_PRODUSE'!$A$5:$A$104,0)),""))</f>
        <v/>
      </c>
      <c r="D91" s="24">
        <f>IF($A91="","",SUMIFS('13_VANZARI'!$H$5:$H$1004,'13_VANZARI'!$E$5:$E$1004,$A91,'13_VANZARI'!$A$5:$A$1004,"&gt;="&amp;'09_PARAMETRI'!$B$5,'13_VANZARI'!$A$5:$A$1004,"&lt;="&amp;'09_PARAMETRI'!$B$6))</f>
        <v/>
      </c>
      <c r="E91" s="24">
        <f>IF($A91="","",SUMIFS('13_VANZARI'!$H$5:$H$1004,'13_VANZARI'!$E$5:$E$1004,$A91,'13_VANZARI'!$A$5:$A$1004,"&gt;="&amp;'09_PARAMETRI'!$B$7,'13_VANZARI'!$A$5:$A$1004,"&lt;="&amp;'09_PARAMETRI'!$B$8))</f>
        <v/>
      </c>
      <c r="F91" s="25">
        <f>IF($A91="","",IFERROR(IF($E91=0,"",($D91-$E91)/ABS($E91)),""))</f>
        <v/>
      </c>
      <c r="G91" s="24">
        <f>IF($A91="","",SUMIFS('13_VANZARI'!$K$5:$K$1004,'13_VANZARI'!$E$5:$E$1004,$A91,'13_VANZARI'!$A$5:$A$1004,"&gt;="&amp;'09_PARAMETRI'!$B$5,'13_VANZARI'!$A$5:$A$1004,"&lt;="&amp;'09_PARAMETRI'!$B$6))</f>
        <v/>
      </c>
      <c r="H91" s="25">
        <f>IF($A91="","",IFERROR($G91/$D91,""))</f>
        <v/>
      </c>
      <c r="I91" s="24">
        <f>IF($A91="","",SUMIFS('13_VANZARI'!$G$5:$G$1004,'13_VANZARI'!$E$5:$E$1004,$A91,'13_VANZARI'!$A$5:$A$1004,"&gt;="&amp;'09_PARAMETRI'!$B$5,'13_VANZARI'!$A$5:$A$1004,"&lt;="&amp;'09_PARAMETRI'!$B$6))</f>
        <v/>
      </c>
      <c r="J91" s="48">
        <f>IF($A91="","",IFERROR($D91/$I91,""))</f>
        <v/>
      </c>
      <c r="K91" s="24">
        <f>IF($A91="","",SUMPRODUCT(('10_CLIENTI'!$A$5:$A$204&lt;&gt;"")*(SUMIFS('13_VANZARI'!$H$5:$H$1004,'13_VANZARI'!$E$5:$E$1004,$A91,'13_VANZARI'!$D$5:$D$1004,'10_CLIENTI'!$A$5:$A$204,'13_VANZARI'!$A$5:$A$1004,"&gt;="&amp;'09_PARAMETRI'!$B$5,'13_VANZARI'!$A$5:$A$1004,"&lt;="&amp;'09_PARAMETRI'!$B$6)&lt;&gt;0)))</f>
        <v/>
      </c>
      <c r="L91" s="25">
        <f>IF($A91="","",IFERROR($K91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1" s="39">
        <f>IF($A91="","",IF(AND($D91&gt;0,$H91&lt;&gt;"",$H91&lt;'09_PARAMETRI'!$B$15),"Marjă sub referință",IF(AND($F91&lt;&gt;"",$F91&gt;='09_PARAMETRI'!$B$14,$L91&lt;0.3),"Creștere + penetrare mică",IF(AND($F91&lt;&gt;"",$F91&lt;='09_PARAMETRI'!$B$13),"Produs în scădere",IF($D91=0,"Fără vânzări","Stabil")))))</f>
        <v/>
      </c>
      <c r="N91" s="39">
        <f>IF($A91="","",IF($M91="Marjă sub referință","Marjă / preț",IF($M91="Creștere + penetrare mică","Creștere produs",IF($M91="Produs în scădere","Cross-sell",IF($M91="Fără vânzări","Proces / operațional","Cross-sell")))))</f>
        <v/>
      </c>
      <c r="O91" s="24">
        <f>IF($A91="","",IFERROR(IF($M91="Marjă sub referință",MAX(0,$D91*('09_PARAMETRI'!$B$15-$H91)),IF($M91="Creștere + penetrare mică",$D91*0.5,IF($M91="Produs în scădere",MAX(0,$E91-$D91),$D91*0.1))),""))</f>
        <v/>
      </c>
      <c r="P91" s="48">
        <f>IF(OR($A91="",$D91="",N($D91)&lt;=0),"",$D91+ROW()/1000000)</f>
        <v/>
      </c>
    </row>
    <row r="92">
      <c r="A92" s="39">
        <f>IF('11_PRODUSE'!$A92="","",'11_PRODUSE'!$A92)</f>
        <v/>
      </c>
      <c r="B92" s="39">
        <f>IF($A92="","",IFERROR(INDEX('11_PRODUSE'!$B$5:$B$104,MATCH($A92,'11_PRODUSE'!$A$5:$A$104,0)),""))</f>
        <v/>
      </c>
      <c r="C92" s="39">
        <f>IF($A92="","",IFERROR(INDEX('11_PRODUSE'!$C$5:$C$104,MATCH($A92,'11_PRODUSE'!$A$5:$A$104,0)),""))</f>
        <v/>
      </c>
      <c r="D92" s="24">
        <f>IF($A92="","",SUMIFS('13_VANZARI'!$H$5:$H$1004,'13_VANZARI'!$E$5:$E$1004,$A92,'13_VANZARI'!$A$5:$A$1004,"&gt;="&amp;'09_PARAMETRI'!$B$5,'13_VANZARI'!$A$5:$A$1004,"&lt;="&amp;'09_PARAMETRI'!$B$6))</f>
        <v/>
      </c>
      <c r="E92" s="24">
        <f>IF($A92="","",SUMIFS('13_VANZARI'!$H$5:$H$1004,'13_VANZARI'!$E$5:$E$1004,$A92,'13_VANZARI'!$A$5:$A$1004,"&gt;="&amp;'09_PARAMETRI'!$B$7,'13_VANZARI'!$A$5:$A$1004,"&lt;="&amp;'09_PARAMETRI'!$B$8))</f>
        <v/>
      </c>
      <c r="F92" s="25">
        <f>IF($A92="","",IFERROR(IF($E92=0,"",($D92-$E92)/ABS($E92)),""))</f>
        <v/>
      </c>
      <c r="G92" s="24">
        <f>IF($A92="","",SUMIFS('13_VANZARI'!$K$5:$K$1004,'13_VANZARI'!$E$5:$E$1004,$A92,'13_VANZARI'!$A$5:$A$1004,"&gt;="&amp;'09_PARAMETRI'!$B$5,'13_VANZARI'!$A$5:$A$1004,"&lt;="&amp;'09_PARAMETRI'!$B$6))</f>
        <v/>
      </c>
      <c r="H92" s="25">
        <f>IF($A92="","",IFERROR($G92/$D92,""))</f>
        <v/>
      </c>
      <c r="I92" s="24">
        <f>IF($A92="","",SUMIFS('13_VANZARI'!$G$5:$G$1004,'13_VANZARI'!$E$5:$E$1004,$A92,'13_VANZARI'!$A$5:$A$1004,"&gt;="&amp;'09_PARAMETRI'!$B$5,'13_VANZARI'!$A$5:$A$1004,"&lt;="&amp;'09_PARAMETRI'!$B$6))</f>
        <v/>
      </c>
      <c r="J92" s="48">
        <f>IF($A92="","",IFERROR($D92/$I92,""))</f>
        <v/>
      </c>
      <c r="K92" s="24">
        <f>IF($A92="","",SUMPRODUCT(('10_CLIENTI'!$A$5:$A$204&lt;&gt;"")*(SUMIFS('13_VANZARI'!$H$5:$H$1004,'13_VANZARI'!$E$5:$E$1004,$A92,'13_VANZARI'!$D$5:$D$1004,'10_CLIENTI'!$A$5:$A$204,'13_VANZARI'!$A$5:$A$1004,"&gt;="&amp;'09_PARAMETRI'!$B$5,'13_VANZARI'!$A$5:$A$1004,"&lt;="&amp;'09_PARAMETRI'!$B$6)&lt;&gt;0)))</f>
        <v/>
      </c>
      <c r="L92" s="25">
        <f>IF($A92="","",IFERROR($K92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2" s="39">
        <f>IF($A92="","",IF(AND($D92&gt;0,$H92&lt;&gt;"",$H92&lt;'09_PARAMETRI'!$B$15),"Marjă sub referință",IF(AND($F92&lt;&gt;"",$F92&gt;='09_PARAMETRI'!$B$14,$L92&lt;0.3),"Creștere + penetrare mică",IF(AND($F92&lt;&gt;"",$F92&lt;='09_PARAMETRI'!$B$13),"Produs în scădere",IF($D92=0,"Fără vânzări","Stabil")))))</f>
        <v/>
      </c>
      <c r="N92" s="39">
        <f>IF($A92="","",IF($M92="Marjă sub referință","Marjă / preț",IF($M92="Creștere + penetrare mică","Creștere produs",IF($M92="Produs în scădere","Cross-sell",IF($M92="Fără vânzări","Proces / operațional","Cross-sell")))))</f>
        <v/>
      </c>
      <c r="O92" s="24">
        <f>IF($A92="","",IFERROR(IF($M92="Marjă sub referință",MAX(0,$D92*('09_PARAMETRI'!$B$15-$H92)),IF($M92="Creștere + penetrare mică",$D92*0.5,IF($M92="Produs în scădere",MAX(0,$E92-$D92),$D92*0.1))),""))</f>
        <v/>
      </c>
      <c r="P92" s="48">
        <f>IF(OR($A92="",$D92="",N($D92)&lt;=0),"",$D92+ROW()/1000000)</f>
        <v/>
      </c>
    </row>
    <row r="93">
      <c r="A93" s="39">
        <f>IF('11_PRODUSE'!$A93="","",'11_PRODUSE'!$A93)</f>
        <v/>
      </c>
      <c r="B93" s="39">
        <f>IF($A93="","",IFERROR(INDEX('11_PRODUSE'!$B$5:$B$104,MATCH($A93,'11_PRODUSE'!$A$5:$A$104,0)),""))</f>
        <v/>
      </c>
      <c r="C93" s="39">
        <f>IF($A93="","",IFERROR(INDEX('11_PRODUSE'!$C$5:$C$104,MATCH($A93,'11_PRODUSE'!$A$5:$A$104,0)),""))</f>
        <v/>
      </c>
      <c r="D93" s="24">
        <f>IF($A93="","",SUMIFS('13_VANZARI'!$H$5:$H$1004,'13_VANZARI'!$E$5:$E$1004,$A93,'13_VANZARI'!$A$5:$A$1004,"&gt;="&amp;'09_PARAMETRI'!$B$5,'13_VANZARI'!$A$5:$A$1004,"&lt;="&amp;'09_PARAMETRI'!$B$6))</f>
        <v/>
      </c>
      <c r="E93" s="24">
        <f>IF($A93="","",SUMIFS('13_VANZARI'!$H$5:$H$1004,'13_VANZARI'!$E$5:$E$1004,$A93,'13_VANZARI'!$A$5:$A$1004,"&gt;="&amp;'09_PARAMETRI'!$B$7,'13_VANZARI'!$A$5:$A$1004,"&lt;="&amp;'09_PARAMETRI'!$B$8))</f>
        <v/>
      </c>
      <c r="F93" s="25">
        <f>IF($A93="","",IFERROR(IF($E93=0,"",($D93-$E93)/ABS($E93)),""))</f>
        <v/>
      </c>
      <c r="G93" s="24">
        <f>IF($A93="","",SUMIFS('13_VANZARI'!$K$5:$K$1004,'13_VANZARI'!$E$5:$E$1004,$A93,'13_VANZARI'!$A$5:$A$1004,"&gt;="&amp;'09_PARAMETRI'!$B$5,'13_VANZARI'!$A$5:$A$1004,"&lt;="&amp;'09_PARAMETRI'!$B$6))</f>
        <v/>
      </c>
      <c r="H93" s="25">
        <f>IF($A93="","",IFERROR($G93/$D93,""))</f>
        <v/>
      </c>
      <c r="I93" s="24">
        <f>IF($A93="","",SUMIFS('13_VANZARI'!$G$5:$G$1004,'13_VANZARI'!$E$5:$E$1004,$A93,'13_VANZARI'!$A$5:$A$1004,"&gt;="&amp;'09_PARAMETRI'!$B$5,'13_VANZARI'!$A$5:$A$1004,"&lt;="&amp;'09_PARAMETRI'!$B$6))</f>
        <v/>
      </c>
      <c r="J93" s="48">
        <f>IF($A93="","",IFERROR($D93/$I93,""))</f>
        <v/>
      </c>
      <c r="K93" s="24">
        <f>IF($A93="","",SUMPRODUCT(('10_CLIENTI'!$A$5:$A$204&lt;&gt;"")*(SUMIFS('13_VANZARI'!$H$5:$H$1004,'13_VANZARI'!$E$5:$E$1004,$A93,'13_VANZARI'!$D$5:$D$1004,'10_CLIENTI'!$A$5:$A$204,'13_VANZARI'!$A$5:$A$1004,"&gt;="&amp;'09_PARAMETRI'!$B$5,'13_VANZARI'!$A$5:$A$1004,"&lt;="&amp;'09_PARAMETRI'!$B$6)&lt;&gt;0)))</f>
        <v/>
      </c>
      <c r="L93" s="25">
        <f>IF($A93="","",IFERROR($K93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3" s="39">
        <f>IF($A93="","",IF(AND($D93&gt;0,$H93&lt;&gt;"",$H93&lt;'09_PARAMETRI'!$B$15),"Marjă sub referință",IF(AND($F93&lt;&gt;"",$F93&gt;='09_PARAMETRI'!$B$14,$L93&lt;0.3),"Creștere + penetrare mică",IF(AND($F93&lt;&gt;"",$F93&lt;='09_PARAMETRI'!$B$13),"Produs în scădere",IF($D93=0,"Fără vânzări","Stabil")))))</f>
        <v/>
      </c>
      <c r="N93" s="39">
        <f>IF($A93="","",IF($M93="Marjă sub referință","Marjă / preț",IF($M93="Creștere + penetrare mică","Creștere produs",IF($M93="Produs în scădere","Cross-sell",IF($M93="Fără vânzări","Proces / operațional","Cross-sell")))))</f>
        <v/>
      </c>
      <c r="O93" s="24">
        <f>IF($A93="","",IFERROR(IF($M93="Marjă sub referință",MAX(0,$D93*('09_PARAMETRI'!$B$15-$H93)),IF($M93="Creștere + penetrare mică",$D93*0.5,IF($M93="Produs în scădere",MAX(0,$E93-$D93),$D93*0.1))),""))</f>
        <v/>
      </c>
      <c r="P93" s="48">
        <f>IF(OR($A93="",$D93="",N($D93)&lt;=0),"",$D93+ROW()/1000000)</f>
        <v/>
      </c>
    </row>
    <row r="94">
      <c r="A94" s="39">
        <f>IF('11_PRODUSE'!$A94="","",'11_PRODUSE'!$A94)</f>
        <v/>
      </c>
      <c r="B94" s="39">
        <f>IF($A94="","",IFERROR(INDEX('11_PRODUSE'!$B$5:$B$104,MATCH($A94,'11_PRODUSE'!$A$5:$A$104,0)),""))</f>
        <v/>
      </c>
      <c r="C94" s="39">
        <f>IF($A94="","",IFERROR(INDEX('11_PRODUSE'!$C$5:$C$104,MATCH($A94,'11_PRODUSE'!$A$5:$A$104,0)),""))</f>
        <v/>
      </c>
      <c r="D94" s="24">
        <f>IF($A94="","",SUMIFS('13_VANZARI'!$H$5:$H$1004,'13_VANZARI'!$E$5:$E$1004,$A94,'13_VANZARI'!$A$5:$A$1004,"&gt;="&amp;'09_PARAMETRI'!$B$5,'13_VANZARI'!$A$5:$A$1004,"&lt;="&amp;'09_PARAMETRI'!$B$6))</f>
        <v/>
      </c>
      <c r="E94" s="24">
        <f>IF($A94="","",SUMIFS('13_VANZARI'!$H$5:$H$1004,'13_VANZARI'!$E$5:$E$1004,$A94,'13_VANZARI'!$A$5:$A$1004,"&gt;="&amp;'09_PARAMETRI'!$B$7,'13_VANZARI'!$A$5:$A$1004,"&lt;="&amp;'09_PARAMETRI'!$B$8))</f>
        <v/>
      </c>
      <c r="F94" s="25">
        <f>IF($A94="","",IFERROR(IF($E94=0,"",($D94-$E94)/ABS($E94)),""))</f>
        <v/>
      </c>
      <c r="G94" s="24">
        <f>IF($A94="","",SUMIFS('13_VANZARI'!$K$5:$K$1004,'13_VANZARI'!$E$5:$E$1004,$A94,'13_VANZARI'!$A$5:$A$1004,"&gt;="&amp;'09_PARAMETRI'!$B$5,'13_VANZARI'!$A$5:$A$1004,"&lt;="&amp;'09_PARAMETRI'!$B$6))</f>
        <v/>
      </c>
      <c r="H94" s="25">
        <f>IF($A94="","",IFERROR($G94/$D94,""))</f>
        <v/>
      </c>
      <c r="I94" s="24">
        <f>IF($A94="","",SUMIFS('13_VANZARI'!$G$5:$G$1004,'13_VANZARI'!$E$5:$E$1004,$A94,'13_VANZARI'!$A$5:$A$1004,"&gt;="&amp;'09_PARAMETRI'!$B$5,'13_VANZARI'!$A$5:$A$1004,"&lt;="&amp;'09_PARAMETRI'!$B$6))</f>
        <v/>
      </c>
      <c r="J94" s="48">
        <f>IF($A94="","",IFERROR($D94/$I94,""))</f>
        <v/>
      </c>
      <c r="K94" s="24">
        <f>IF($A94="","",SUMPRODUCT(('10_CLIENTI'!$A$5:$A$204&lt;&gt;"")*(SUMIFS('13_VANZARI'!$H$5:$H$1004,'13_VANZARI'!$E$5:$E$1004,$A94,'13_VANZARI'!$D$5:$D$1004,'10_CLIENTI'!$A$5:$A$204,'13_VANZARI'!$A$5:$A$1004,"&gt;="&amp;'09_PARAMETRI'!$B$5,'13_VANZARI'!$A$5:$A$1004,"&lt;="&amp;'09_PARAMETRI'!$B$6)&lt;&gt;0)))</f>
        <v/>
      </c>
      <c r="L94" s="25">
        <f>IF($A94="","",IFERROR($K94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4" s="39">
        <f>IF($A94="","",IF(AND($D94&gt;0,$H94&lt;&gt;"",$H94&lt;'09_PARAMETRI'!$B$15),"Marjă sub referință",IF(AND($F94&lt;&gt;"",$F94&gt;='09_PARAMETRI'!$B$14,$L94&lt;0.3),"Creștere + penetrare mică",IF(AND($F94&lt;&gt;"",$F94&lt;='09_PARAMETRI'!$B$13),"Produs în scădere",IF($D94=0,"Fără vânzări","Stabil")))))</f>
        <v/>
      </c>
      <c r="N94" s="39">
        <f>IF($A94="","",IF($M94="Marjă sub referință","Marjă / preț",IF($M94="Creștere + penetrare mică","Creștere produs",IF($M94="Produs în scădere","Cross-sell",IF($M94="Fără vânzări","Proces / operațional","Cross-sell")))))</f>
        <v/>
      </c>
      <c r="O94" s="24">
        <f>IF($A94="","",IFERROR(IF($M94="Marjă sub referință",MAX(0,$D94*('09_PARAMETRI'!$B$15-$H94)),IF($M94="Creștere + penetrare mică",$D94*0.5,IF($M94="Produs în scădere",MAX(0,$E94-$D94),$D94*0.1))),""))</f>
        <v/>
      </c>
      <c r="P94" s="48">
        <f>IF(OR($A94="",$D94="",N($D94)&lt;=0),"",$D94+ROW()/1000000)</f>
        <v/>
      </c>
    </row>
    <row r="95">
      <c r="A95" s="39">
        <f>IF('11_PRODUSE'!$A95="","",'11_PRODUSE'!$A95)</f>
        <v/>
      </c>
      <c r="B95" s="39">
        <f>IF($A95="","",IFERROR(INDEX('11_PRODUSE'!$B$5:$B$104,MATCH($A95,'11_PRODUSE'!$A$5:$A$104,0)),""))</f>
        <v/>
      </c>
      <c r="C95" s="39">
        <f>IF($A95="","",IFERROR(INDEX('11_PRODUSE'!$C$5:$C$104,MATCH($A95,'11_PRODUSE'!$A$5:$A$104,0)),""))</f>
        <v/>
      </c>
      <c r="D95" s="24">
        <f>IF($A95="","",SUMIFS('13_VANZARI'!$H$5:$H$1004,'13_VANZARI'!$E$5:$E$1004,$A95,'13_VANZARI'!$A$5:$A$1004,"&gt;="&amp;'09_PARAMETRI'!$B$5,'13_VANZARI'!$A$5:$A$1004,"&lt;="&amp;'09_PARAMETRI'!$B$6))</f>
        <v/>
      </c>
      <c r="E95" s="24">
        <f>IF($A95="","",SUMIFS('13_VANZARI'!$H$5:$H$1004,'13_VANZARI'!$E$5:$E$1004,$A95,'13_VANZARI'!$A$5:$A$1004,"&gt;="&amp;'09_PARAMETRI'!$B$7,'13_VANZARI'!$A$5:$A$1004,"&lt;="&amp;'09_PARAMETRI'!$B$8))</f>
        <v/>
      </c>
      <c r="F95" s="25">
        <f>IF($A95="","",IFERROR(IF($E95=0,"",($D95-$E95)/ABS($E95)),""))</f>
        <v/>
      </c>
      <c r="G95" s="24">
        <f>IF($A95="","",SUMIFS('13_VANZARI'!$K$5:$K$1004,'13_VANZARI'!$E$5:$E$1004,$A95,'13_VANZARI'!$A$5:$A$1004,"&gt;="&amp;'09_PARAMETRI'!$B$5,'13_VANZARI'!$A$5:$A$1004,"&lt;="&amp;'09_PARAMETRI'!$B$6))</f>
        <v/>
      </c>
      <c r="H95" s="25">
        <f>IF($A95="","",IFERROR($G95/$D95,""))</f>
        <v/>
      </c>
      <c r="I95" s="24">
        <f>IF($A95="","",SUMIFS('13_VANZARI'!$G$5:$G$1004,'13_VANZARI'!$E$5:$E$1004,$A95,'13_VANZARI'!$A$5:$A$1004,"&gt;="&amp;'09_PARAMETRI'!$B$5,'13_VANZARI'!$A$5:$A$1004,"&lt;="&amp;'09_PARAMETRI'!$B$6))</f>
        <v/>
      </c>
      <c r="J95" s="48">
        <f>IF($A95="","",IFERROR($D95/$I95,""))</f>
        <v/>
      </c>
      <c r="K95" s="24">
        <f>IF($A95="","",SUMPRODUCT(('10_CLIENTI'!$A$5:$A$204&lt;&gt;"")*(SUMIFS('13_VANZARI'!$H$5:$H$1004,'13_VANZARI'!$E$5:$E$1004,$A95,'13_VANZARI'!$D$5:$D$1004,'10_CLIENTI'!$A$5:$A$204,'13_VANZARI'!$A$5:$A$1004,"&gt;="&amp;'09_PARAMETRI'!$B$5,'13_VANZARI'!$A$5:$A$1004,"&lt;="&amp;'09_PARAMETRI'!$B$6)&lt;&gt;0)))</f>
        <v/>
      </c>
      <c r="L95" s="25">
        <f>IF($A95="","",IFERROR($K95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5" s="39">
        <f>IF($A95="","",IF(AND($D95&gt;0,$H95&lt;&gt;"",$H95&lt;'09_PARAMETRI'!$B$15),"Marjă sub referință",IF(AND($F95&lt;&gt;"",$F95&gt;='09_PARAMETRI'!$B$14,$L95&lt;0.3),"Creștere + penetrare mică",IF(AND($F95&lt;&gt;"",$F95&lt;='09_PARAMETRI'!$B$13),"Produs în scădere",IF($D95=0,"Fără vânzări","Stabil")))))</f>
        <v/>
      </c>
      <c r="N95" s="39">
        <f>IF($A95="","",IF($M95="Marjă sub referință","Marjă / preț",IF($M95="Creștere + penetrare mică","Creștere produs",IF($M95="Produs în scădere","Cross-sell",IF($M95="Fără vânzări","Proces / operațional","Cross-sell")))))</f>
        <v/>
      </c>
      <c r="O95" s="24">
        <f>IF($A95="","",IFERROR(IF($M95="Marjă sub referință",MAX(0,$D95*('09_PARAMETRI'!$B$15-$H95)),IF($M95="Creștere + penetrare mică",$D95*0.5,IF($M95="Produs în scădere",MAX(0,$E95-$D95),$D95*0.1))),""))</f>
        <v/>
      </c>
      <c r="P95" s="48">
        <f>IF(OR($A95="",$D95="",N($D95)&lt;=0),"",$D95+ROW()/1000000)</f>
        <v/>
      </c>
    </row>
    <row r="96">
      <c r="A96" s="39">
        <f>IF('11_PRODUSE'!$A96="","",'11_PRODUSE'!$A96)</f>
        <v/>
      </c>
      <c r="B96" s="39">
        <f>IF($A96="","",IFERROR(INDEX('11_PRODUSE'!$B$5:$B$104,MATCH($A96,'11_PRODUSE'!$A$5:$A$104,0)),""))</f>
        <v/>
      </c>
      <c r="C96" s="39">
        <f>IF($A96="","",IFERROR(INDEX('11_PRODUSE'!$C$5:$C$104,MATCH($A96,'11_PRODUSE'!$A$5:$A$104,0)),""))</f>
        <v/>
      </c>
      <c r="D96" s="24">
        <f>IF($A96="","",SUMIFS('13_VANZARI'!$H$5:$H$1004,'13_VANZARI'!$E$5:$E$1004,$A96,'13_VANZARI'!$A$5:$A$1004,"&gt;="&amp;'09_PARAMETRI'!$B$5,'13_VANZARI'!$A$5:$A$1004,"&lt;="&amp;'09_PARAMETRI'!$B$6))</f>
        <v/>
      </c>
      <c r="E96" s="24">
        <f>IF($A96="","",SUMIFS('13_VANZARI'!$H$5:$H$1004,'13_VANZARI'!$E$5:$E$1004,$A96,'13_VANZARI'!$A$5:$A$1004,"&gt;="&amp;'09_PARAMETRI'!$B$7,'13_VANZARI'!$A$5:$A$1004,"&lt;="&amp;'09_PARAMETRI'!$B$8))</f>
        <v/>
      </c>
      <c r="F96" s="25">
        <f>IF($A96="","",IFERROR(IF($E96=0,"",($D96-$E96)/ABS($E96)),""))</f>
        <v/>
      </c>
      <c r="G96" s="24">
        <f>IF($A96="","",SUMIFS('13_VANZARI'!$K$5:$K$1004,'13_VANZARI'!$E$5:$E$1004,$A96,'13_VANZARI'!$A$5:$A$1004,"&gt;="&amp;'09_PARAMETRI'!$B$5,'13_VANZARI'!$A$5:$A$1004,"&lt;="&amp;'09_PARAMETRI'!$B$6))</f>
        <v/>
      </c>
      <c r="H96" s="25">
        <f>IF($A96="","",IFERROR($G96/$D96,""))</f>
        <v/>
      </c>
      <c r="I96" s="24">
        <f>IF($A96="","",SUMIFS('13_VANZARI'!$G$5:$G$1004,'13_VANZARI'!$E$5:$E$1004,$A96,'13_VANZARI'!$A$5:$A$1004,"&gt;="&amp;'09_PARAMETRI'!$B$5,'13_VANZARI'!$A$5:$A$1004,"&lt;="&amp;'09_PARAMETRI'!$B$6))</f>
        <v/>
      </c>
      <c r="J96" s="48">
        <f>IF($A96="","",IFERROR($D96/$I96,""))</f>
        <v/>
      </c>
      <c r="K96" s="24">
        <f>IF($A96="","",SUMPRODUCT(('10_CLIENTI'!$A$5:$A$204&lt;&gt;"")*(SUMIFS('13_VANZARI'!$H$5:$H$1004,'13_VANZARI'!$E$5:$E$1004,$A96,'13_VANZARI'!$D$5:$D$1004,'10_CLIENTI'!$A$5:$A$204,'13_VANZARI'!$A$5:$A$1004,"&gt;="&amp;'09_PARAMETRI'!$B$5,'13_VANZARI'!$A$5:$A$1004,"&lt;="&amp;'09_PARAMETRI'!$B$6)&lt;&gt;0)))</f>
        <v/>
      </c>
      <c r="L96" s="25">
        <f>IF($A96="","",IFERROR($K96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6" s="39">
        <f>IF($A96="","",IF(AND($D96&gt;0,$H96&lt;&gt;"",$H96&lt;'09_PARAMETRI'!$B$15),"Marjă sub referință",IF(AND($F96&lt;&gt;"",$F96&gt;='09_PARAMETRI'!$B$14,$L96&lt;0.3),"Creștere + penetrare mică",IF(AND($F96&lt;&gt;"",$F96&lt;='09_PARAMETRI'!$B$13),"Produs în scădere",IF($D96=0,"Fără vânzări","Stabil")))))</f>
        <v/>
      </c>
      <c r="N96" s="39">
        <f>IF($A96="","",IF($M96="Marjă sub referință","Marjă / preț",IF($M96="Creștere + penetrare mică","Creștere produs",IF($M96="Produs în scădere","Cross-sell",IF($M96="Fără vânzări","Proces / operațional","Cross-sell")))))</f>
        <v/>
      </c>
      <c r="O96" s="24">
        <f>IF($A96="","",IFERROR(IF($M96="Marjă sub referință",MAX(0,$D96*('09_PARAMETRI'!$B$15-$H96)),IF($M96="Creștere + penetrare mică",$D96*0.5,IF($M96="Produs în scădere",MAX(0,$E96-$D96),$D96*0.1))),""))</f>
        <v/>
      </c>
      <c r="P96" s="48">
        <f>IF(OR($A96="",$D96="",N($D96)&lt;=0),"",$D96+ROW()/1000000)</f>
        <v/>
      </c>
    </row>
    <row r="97">
      <c r="A97" s="39">
        <f>IF('11_PRODUSE'!$A97="","",'11_PRODUSE'!$A97)</f>
        <v/>
      </c>
      <c r="B97" s="39">
        <f>IF($A97="","",IFERROR(INDEX('11_PRODUSE'!$B$5:$B$104,MATCH($A97,'11_PRODUSE'!$A$5:$A$104,0)),""))</f>
        <v/>
      </c>
      <c r="C97" s="39">
        <f>IF($A97="","",IFERROR(INDEX('11_PRODUSE'!$C$5:$C$104,MATCH($A97,'11_PRODUSE'!$A$5:$A$104,0)),""))</f>
        <v/>
      </c>
      <c r="D97" s="24">
        <f>IF($A97="","",SUMIFS('13_VANZARI'!$H$5:$H$1004,'13_VANZARI'!$E$5:$E$1004,$A97,'13_VANZARI'!$A$5:$A$1004,"&gt;="&amp;'09_PARAMETRI'!$B$5,'13_VANZARI'!$A$5:$A$1004,"&lt;="&amp;'09_PARAMETRI'!$B$6))</f>
        <v/>
      </c>
      <c r="E97" s="24">
        <f>IF($A97="","",SUMIFS('13_VANZARI'!$H$5:$H$1004,'13_VANZARI'!$E$5:$E$1004,$A97,'13_VANZARI'!$A$5:$A$1004,"&gt;="&amp;'09_PARAMETRI'!$B$7,'13_VANZARI'!$A$5:$A$1004,"&lt;="&amp;'09_PARAMETRI'!$B$8))</f>
        <v/>
      </c>
      <c r="F97" s="25">
        <f>IF($A97="","",IFERROR(IF($E97=0,"",($D97-$E97)/ABS($E97)),""))</f>
        <v/>
      </c>
      <c r="G97" s="24">
        <f>IF($A97="","",SUMIFS('13_VANZARI'!$K$5:$K$1004,'13_VANZARI'!$E$5:$E$1004,$A97,'13_VANZARI'!$A$5:$A$1004,"&gt;="&amp;'09_PARAMETRI'!$B$5,'13_VANZARI'!$A$5:$A$1004,"&lt;="&amp;'09_PARAMETRI'!$B$6))</f>
        <v/>
      </c>
      <c r="H97" s="25">
        <f>IF($A97="","",IFERROR($G97/$D97,""))</f>
        <v/>
      </c>
      <c r="I97" s="24">
        <f>IF($A97="","",SUMIFS('13_VANZARI'!$G$5:$G$1004,'13_VANZARI'!$E$5:$E$1004,$A97,'13_VANZARI'!$A$5:$A$1004,"&gt;="&amp;'09_PARAMETRI'!$B$5,'13_VANZARI'!$A$5:$A$1004,"&lt;="&amp;'09_PARAMETRI'!$B$6))</f>
        <v/>
      </c>
      <c r="J97" s="48">
        <f>IF($A97="","",IFERROR($D97/$I97,""))</f>
        <v/>
      </c>
      <c r="K97" s="24">
        <f>IF($A97="","",SUMPRODUCT(('10_CLIENTI'!$A$5:$A$204&lt;&gt;"")*(SUMIFS('13_VANZARI'!$H$5:$H$1004,'13_VANZARI'!$E$5:$E$1004,$A97,'13_VANZARI'!$D$5:$D$1004,'10_CLIENTI'!$A$5:$A$204,'13_VANZARI'!$A$5:$A$1004,"&gt;="&amp;'09_PARAMETRI'!$B$5,'13_VANZARI'!$A$5:$A$1004,"&lt;="&amp;'09_PARAMETRI'!$B$6)&lt;&gt;0)))</f>
        <v/>
      </c>
      <c r="L97" s="25">
        <f>IF($A97="","",IFERROR($K97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7" s="39">
        <f>IF($A97="","",IF(AND($D97&gt;0,$H97&lt;&gt;"",$H97&lt;'09_PARAMETRI'!$B$15),"Marjă sub referință",IF(AND($F97&lt;&gt;"",$F97&gt;='09_PARAMETRI'!$B$14,$L97&lt;0.3),"Creștere + penetrare mică",IF(AND($F97&lt;&gt;"",$F97&lt;='09_PARAMETRI'!$B$13),"Produs în scădere",IF($D97=0,"Fără vânzări","Stabil")))))</f>
        <v/>
      </c>
      <c r="N97" s="39">
        <f>IF($A97="","",IF($M97="Marjă sub referință","Marjă / preț",IF($M97="Creștere + penetrare mică","Creștere produs",IF($M97="Produs în scădere","Cross-sell",IF($M97="Fără vânzări","Proces / operațional","Cross-sell")))))</f>
        <v/>
      </c>
      <c r="O97" s="24">
        <f>IF($A97="","",IFERROR(IF($M97="Marjă sub referință",MAX(0,$D97*('09_PARAMETRI'!$B$15-$H97)),IF($M97="Creștere + penetrare mică",$D97*0.5,IF($M97="Produs în scădere",MAX(0,$E97-$D97),$D97*0.1))),""))</f>
        <v/>
      </c>
      <c r="P97" s="48">
        <f>IF(OR($A97="",$D97="",N($D97)&lt;=0),"",$D97+ROW()/1000000)</f>
        <v/>
      </c>
    </row>
    <row r="98">
      <c r="A98" s="39">
        <f>IF('11_PRODUSE'!$A98="","",'11_PRODUSE'!$A98)</f>
        <v/>
      </c>
      <c r="B98" s="39">
        <f>IF($A98="","",IFERROR(INDEX('11_PRODUSE'!$B$5:$B$104,MATCH($A98,'11_PRODUSE'!$A$5:$A$104,0)),""))</f>
        <v/>
      </c>
      <c r="C98" s="39">
        <f>IF($A98="","",IFERROR(INDEX('11_PRODUSE'!$C$5:$C$104,MATCH($A98,'11_PRODUSE'!$A$5:$A$104,0)),""))</f>
        <v/>
      </c>
      <c r="D98" s="24">
        <f>IF($A98="","",SUMIFS('13_VANZARI'!$H$5:$H$1004,'13_VANZARI'!$E$5:$E$1004,$A98,'13_VANZARI'!$A$5:$A$1004,"&gt;="&amp;'09_PARAMETRI'!$B$5,'13_VANZARI'!$A$5:$A$1004,"&lt;="&amp;'09_PARAMETRI'!$B$6))</f>
        <v/>
      </c>
      <c r="E98" s="24">
        <f>IF($A98="","",SUMIFS('13_VANZARI'!$H$5:$H$1004,'13_VANZARI'!$E$5:$E$1004,$A98,'13_VANZARI'!$A$5:$A$1004,"&gt;="&amp;'09_PARAMETRI'!$B$7,'13_VANZARI'!$A$5:$A$1004,"&lt;="&amp;'09_PARAMETRI'!$B$8))</f>
        <v/>
      </c>
      <c r="F98" s="25">
        <f>IF($A98="","",IFERROR(IF($E98=0,"",($D98-$E98)/ABS($E98)),""))</f>
        <v/>
      </c>
      <c r="G98" s="24">
        <f>IF($A98="","",SUMIFS('13_VANZARI'!$K$5:$K$1004,'13_VANZARI'!$E$5:$E$1004,$A98,'13_VANZARI'!$A$5:$A$1004,"&gt;="&amp;'09_PARAMETRI'!$B$5,'13_VANZARI'!$A$5:$A$1004,"&lt;="&amp;'09_PARAMETRI'!$B$6))</f>
        <v/>
      </c>
      <c r="H98" s="25">
        <f>IF($A98="","",IFERROR($G98/$D98,""))</f>
        <v/>
      </c>
      <c r="I98" s="24">
        <f>IF($A98="","",SUMIFS('13_VANZARI'!$G$5:$G$1004,'13_VANZARI'!$E$5:$E$1004,$A98,'13_VANZARI'!$A$5:$A$1004,"&gt;="&amp;'09_PARAMETRI'!$B$5,'13_VANZARI'!$A$5:$A$1004,"&lt;="&amp;'09_PARAMETRI'!$B$6))</f>
        <v/>
      </c>
      <c r="J98" s="48">
        <f>IF($A98="","",IFERROR($D98/$I98,""))</f>
        <v/>
      </c>
      <c r="K98" s="24">
        <f>IF($A98="","",SUMPRODUCT(('10_CLIENTI'!$A$5:$A$204&lt;&gt;"")*(SUMIFS('13_VANZARI'!$H$5:$H$1004,'13_VANZARI'!$E$5:$E$1004,$A98,'13_VANZARI'!$D$5:$D$1004,'10_CLIENTI'!$A$5:$A$204,'13_VANZARI'!$A$5:$A$1004,"&gt;="&amp;'09_PARAMETRI'!$B$5,'13_VANZARI'!$A$5:$A$1004,"&lt;="&amp;'09_PARAMETRI'!$B$6)&lt;&gt;0)))</f>
        <v/>
      </c>
      <c r="L98" s="25">
        <f>IF($A98="","",IFERROR($K98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8" s="39">
        <f>IF($A98="","",IF(AND($D98&gt;0,$H98&lt;&gt;"",$H98&lt;'09_PARAMETRI'!$B$15),"Marjă sub referință",IF(AND($F98&lt;&gt;"",$F98&gt;='09_PARAMETRI'!$B$14,$L98&lt;0.3),"Creștere + penetrare mică",IF(AND($F98&lt;&gt;"",$F98&lt;='09_PARAMETRI'!$B$13),"Produs în scădere",IF($D98=0,"Fără vânzări","Stabil")))))</f>
        <v/>
      </c>
      <c r="N98" s="39">
        <f>IF($A98="","",IF($M98="Marjă sub referință","Marjă / preț",IF($M98="Creștere + penetrare mică","Creștere produs",IF($M98="Produs în scădere","Cross-sell",IF($M98="Fără vânzări","Proces / operațional","Cross-sell")))))</f>
        <v/>
      </c>
      <c r="O98" s="24">
        <f>IF($A98="","",IFERROR(IF($M98="Marjă sub referință",MAX(0,$D98*('09_PARAMETRI'!$B$15-$H98)),IF($M98="Creștere + penetrare mică",$D98*0.5,IF($M98="Produs în scădere",MAX(0,$E98-$D98),$D98*0.1))),""))</f>
        <v/>
      </c>
      <c r="P98" s="48">
        <f>IF(OR($A98="",$D98="",N($D98)&lt;=0),"",$D98+ROW()/1000000)</f>
        <v/>
      </c>
    </row>
    <row r="99">
      <c r="A99" s="39">
        <f>IF('11_PRODUSE'!$A99="","",'11_PRODUSE'!$A99)</f>
        <v/>
      </c>
      <c r="B99" s="39">
        <f>IF($A99="","",IFERROR(INDEX('11_PRODUSE'!$B$5:$B$104,MATCH($A99,'11_PRODUSE'!$A$5:$A$104,0)),""))</f>
        <v/>
      </c>
      <c r="C99" s="39">
        <f>IF($A99="","",IFERROR(INDEX('11_PRODUSE'!$C$5:$C$104,MATCH($A99,'11_PRODUSE'!$A$5:$A$104,0)),""))</f>
        <v/>
      </c>
      <c r="D99" s="24">
        <f>IF($A99="","",SUMIFS('13_VANZARI'!$H$5:$H$1004,'13_VANZARI'!$E$5:$E$1004,$A99,'13_VANZARI'!$A$5:$A$1004,"&gt;="&amp;'09_PARAMETRI'!$B$5,'13_VANZARI'!$A$5:$A$1004,"&lt;="&amp;'09_PARAMETRI'!$B$6))</f>
        <v/>
      </c>
      <c r="E99" s="24">
        <f>IF($A99="","",SUMIFS('13_VANZARI'!$H$5:$H$1004,'13_VANZARI'!$E$5:$E$1004,$A99,'13_VANZARI'!$A$5:$A$1004,"&gt;="&amp;'09_PARAMETRI'!$B$7,'13_VANZARI'!$A$5:$A$1004,"&lt;="&amp;'09_PARAMETRI'!$B$8))</f>
        <v/>
      </c>
      <c r="F99" s="25">
        <f>IF($A99="","",IFERROR(IF($E99=0,"",($D99-$E99)/ABS($E99)),""))</f>
        <v/>
      </c>
      <c r="G99" s="24">
        <f>IF($A99="","",SUMIFS('13_VANZARI'!$K$5:$K$1004,'13_VANZARI'!$E$5:$E$1004,$A99,'13_VANZARI'!$A$5:$A$1004,"&gt;="&amp;'09_PARAMETRI'!$B$5,'13_VANZARI'!$A$5:$A$1004,"&lt;="&amp;'09_PARAMETRI'!$B$6))</f>
        <v/>
      </c>
      <c r="H99" s="25">
        <f>IF($A99="","",IFERROR($G99/$D99,""))</f>
        <v/>
      </c>
      <c r="I99" s="24">
        <f>IF($A99="","",SUMIFS('13_VANZARI'!$G$5:$G$1004,'13_VANZARI'!$E$5:$E$1004,$A99,'13_VANZARI'!$A$5:$A$1004,"&gt;="&amp;'09_PARAMETRI'!$B$5,'13_VANZARI'!$A$5:$A$1004,"&lt;="&amp;'09_PARAMETRI'!$B$6))</f>
        <v/>
      </c>
      <c r="J99" s="48">
        <f>IF($A99="","",IFERROR($D99/$I99,""))</f>
        <v/>
      </c>
      <c r="K99" s="24">
        <f>IF($A99="","",SUMPRODUCT(('10_CLIENTI'!$A$5:$A$204&lt;&gt;"")*(SUMIFS('13_VANZARI'!$H$5:$H$1004,'13_VANZARI'!$E$5:$E$1004,$A99,'13_VANZARI'!$D$5:$D$1004,'10_CLIENTI'!$A$5:$A$204,'13_VANZARI'!$A$5:$A$1004,"&gt;="&amp;'09_PARAMETRI'!$B$5,'13_VANZARI'!$A$5:$A$1004,"&lt;="&amp;'09_PARAMETRI'!$B$6)&lt;&gt;0)))</f>
        <v/>
      </c>
      <c r="L99" s="25">
        <f>IF($A99="","",IFERROR($K99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99" s="39">
        <f>IF($A99="","",IF(AND($D99&gt;0,$H99&lt;&gt;"",$H99&lt;'09_PARAMETRI'!$B$15),"Marjă sub referință",IF(AND($F99&lt;&gt;"",$F99&gt;='09_PARAMETRI'!$B$14,$L99&lt;0.3),"Creștere + penetrare mică",IF(AND($F99&lt;&gt;"",$F99&lt;='09_PARAMETRI'!$B$13),"Produs în scădere",IF($D99=0,"Fără vânzări","Stabil")))))</f>
        <v/>
      </c>
      <c r="N99" s="39">
        <f>IF($A99="","",IF($M99="Marjă sub referință","Marjă / preț",IF($M99="Creștere + penetrare mică","Creștere produs",IF($M99="Produs în scădere","Cross-sell",IF($M99="Fără vânzări","Proces / operațional","Cross-sell")))))</f>
        <v/>
      </c>
      <c r="O99" s="24">
        <f>IF($A99="","",IFERROR(IF($M99="Marjă sub referință",MAX(0,$D99*('09_PARAMETRI'!$B$15-$H99)),IF($M99="Creștere + penetrare mică",$D99*0.5,IF($M99="Produs în scădere",MAX(0,$E99-$D99),$D99*0.1))),""))</f>
        <v/>
      </c>
      <c r="P99" s="48">
        <f>IF(OR($A99="",$D99="",N($D99)&lt;=0),"",$D99+ROW()/1000000)</f>
        <v/>
      </c>
    </row>
    <row r="100">
      <c r="A100" s="39">
        <f>IF('11_PRODUSE'!$A100="","",'11_PRODUSE'!$A100)</f>
        <v/>
      </c>
      <c r="B100" s="39">
        <f>IF($A100="","",IFERROR(INDEX('11_PRODUSE'!$B$5:$B$104,MATCH($A100,'11_PRODUSE'!$A$5:$A$104,0)),""))</f>
        <v/>
      </c>
      <c r="C100" s="39">
        <f>IF($A100="","",IFERROR(INDEX('11_PRODUSE'!$C$5:$C$104,MATCH($A100,'11_PRODUSE'!$A$5:$A$104,0)),""))</f>
        <v/>
      </c>
      <c r="D100" s="24">
        <f>IF($A100="","",SUMIFS('13_VANZARI'!$H$5:$H$1004,'13_VANZARI'!$E$5:$E$1004,$A100,'13_VANZARI'!$A$5:$A$1004,"&gt;="&amp;'09_PARAMETRI'!$B$5,'13_VANZARI'!$A$5:$A$1004,"&lt;="&amp;'09_PARAMETRI'!$B$6))</f>
        <v/>
      </c>
      <c r="E100" s="24">
        <f>IF($A100="","",SUMIFS('13_VANZARI'!$H$5:$H$1004,'13_VANZARI'!$E$5:$E$1004,$A100,'13_VANZARI'!$A$5:$A$1004,"&gt;="&amp;'09_PARAMETRI'!$B$7,'13_VANZARI'!$A$5:$A$1004,"&lt;="&amp;'09_PARAMETRI'!$B$8))</f>
        <v/>
      </c>
      <c r="F100" s="25">
        <f>IF($A100="","",IFERROR(IF($E100=0,"",($D100-$E100)/ABS($E100)),""))</f>
        <v/>
      </c>
      <c r="G100" s="24">
        <f>IF($A100="","",SUMIFS('13_VANZARI'!$K$5:$K$1004,'13_VANZARI'!$E$5:$E$1004,$A100,'13_VANZARI'!$A$5:$A$1004,"&gt;="&amp;'09_PARAMETRI'!$B$5,'13_VANZARI'!$A$5:$A$1004,"&lt;="&amp;'09_PARAMETRI'!$B$6))</f>
        <v/>
      </c>
      <c r="H100" s="25">
        <f>IF($A100="","",IFERROR($G100/$D100,""))</f>
        <v/>
      </c>
      <c r="I100" s="24">
        <f>IF($A100="","",SUMIFS('13_VANZARI'!$G$5:$G$1004,'13_VANZARI'!$E$5:$E$1004,$A100,'13_VANZARI'!$A$5:$A$1004,"&gt;="&amp;'09_PARAMETRI'!$B$5,'13_VANZARI'!$A$5:$A$1004,"&lt;="&amp;'09_PARAMETRI'!$B$6))</f>
        <v/>
      </c>
      <c r="J100" s="48">
        <f>IF($A100="","",IFERROR($D100/$I100,""))</f>
        <v/>
      </c>
      <c r="K100" s="24">
        <f>IF($A100="","",SUMPRODUCT(('10_CLIENTI'!$A$5:$A$204&lt;&gt;"")*(SUMIFS('13_VANZARI'!$H$5:$H$1004,'13_VANZARI'!$E$5:$E$1004,$A100,'13_VANZARI'!$D$5:$D$1004,'10_CLIENTI'!$A$5:$A$204,'13_VANZARI'!$A$5:$A$1004,"&gt;="&amp;'09_PARAMETRI'!$B$5,'13_VANZARI'!$A$5:$A$1004,"&lt;="&amp;'09_PARAMETRI'!$B$6)&lt;&gt;0)))</f>
        <v/>
      </c>
      <c r="L100" s="25">
        <f>IF($A100="","",IFERROR($K100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00" s="39">
        <f>IF($A100="","",IF(AND($D100&gt;0,$H100&lt;&gt;"",$H100&lt;'09_PARAMETRI'!$B$15),"Marjă sub referință",IF(AND($F100&lt;&gt;"",$F100&gt;='09_PARAMETRI'!$B$14,$L100&lt;0.3),"Creștere + penetrare mică",IF(AND($F100&lt;&gt;"",$F100&lt;='09_PARAMETRI'!$B$13),"Produs în scădere",IF($D100=0,"Fără vânzări","Stabil")))))</f>
        <v/>
      </c>
      <c r="N100" s="39">
        <f>IF($A100="","",IF($M100="Marjă sub referință","Marjă / preț",IF($M100="Creștere + penetrare mică","Creștere produs",IF($M100="Produs în scădere","Cross-sell",IF($M100="Fără vânzări","Proces / operațional","Cross-sell")))))</f>
        <v/>
      </c>
      <c r="O100" s="24">
        <f>IF($A100="","",IFERROR(IF($M100="Marjă sub referință",MAX(0,$D100*('09_PARAMETRI'!$B$15-$H100)),IF($M100="Creștere + penetrare mică",$D100*0.5,IF($M100="Produs în scădere",MAX(0,$E100-$D100),$D100*0.1))),""))</f>
        <v/>
      </c>
      <c r="P100" s="48">
        <f>IF(OR($A100="",$D100="",N($D100)&lt;=0),"",$D100+ROW()/1000000)</f>
        <v/>
      </c>
    </row>
    <row r="101">
      <c r="A101" s="39">
        <f>IF('11_PRODUSE'!$A101="","",'11_PRODUSE'!$A101)</f>
        <v/>
      </c>
      <c r="B101" s="39">
        <f>IF($A101="","",IFERROR(INDEX('11_PRODUSE'!$B$5:$B$104,MATCH($A101,'11_PRODUSE'!$A$5:$A$104,0)),""))</f>
        <v/>
      </c>
      <c r="C101" s="39">
        <f>IF($A101="","",IFERROR(INDEX('11_PRODUSE'!$C$5:$C$104,MATCH($A101,'11_PRODUSE'!$A$5:$A$104,0)),""))</f>
        <v/>
      </c>
      <c r="D101" s="24">
        <f>IF($A101="","",SUMIFS('13_VANZARI'!$H$5:$H$1004,'13_VANZARI'!$E$5:$E$1004,$A101,'13_VANZARI'!$A$5:$A$1004,"&gt;="&amp;'09_PARAMETRI'!$B$5,'13_VANZARI'!$A$5:$A$1004,"&lt;="&amp;'09_PARAMETRI'!$B$6))</f>
        <v/>
      </c>
      <c r="E101" s="24">
        <f>IF($A101="","",SUMIFS('13_VANZARI'!$H$5:$H$1004,'13_VANZARI'!$E$5:$E$1004,$A101,'13_VANZARI'!$A$5:$A$1004,"&gt;="&amp;'09_PARAMETRI'!$B$7,'13_VANZARI'!$A$5:$A$1004,"&lt;="&amp;'09_PARAMETRI'!$B$8))</f>
        <v/>
      </c>
      <c r="F101" s="25">
        <f>IF($A101="","",IFERROR(IF($E101=0,"",($D101-$E101)/ABS($E101)),""))</f>
        <v/>
      </c>
      <c r="G101" s="24">
        <f>IF($A101="","",SUMIFS('13_VANZARI'!$K$5:$K$1004,'13_VANZARI'!$E$5:$E$1004,$A101,'13_VANZARI'!$A$5:$A$1004,"&gt;="&amp;'09_PARAMETRI'!$B$5,'13_VANZARI'!$A$5:$A$1004,"&lt;="&amp;'09_PARAMETRI'!$B$6))</f>
        <v/>
      </c>
      <c r="H101" s="25">
        <f>IF($A101="","",IFERROR($G101/$D101,""))</f>
        <v/>
      </c>
      <c r="I101" s="24">
        <f>IF($A101="","",SUMIFS('13_VANZARI'!$G$5:$G$1004,'13_VANZARI'!$E$5:$E$1004,$A101,'13_VANZARI'!$A$5:$A$1004,"&gt;="&amp;'09_PARAMETRI'!$B$5,'13_VANZARI'!$A$5:$A$1004,"&lt;="&amp;'09_PARAMETRI'!$B$6))</f>
        <v/>
      </c>
      <c r="J101" s="48">
        <f>IF($A101="","",IFERROR($D101/$I101,""))</f>
        <v/>
      </c>
      <c r="K101" s="24">
        <f>IF($A101="","",SUMPRODUCT(('10_CLIENTI'!$A$5:$A$204&lt;&gt;"")*(SUMIFS('13_VANZARI'!$H$5:$H$1004,'13_VANZARI'!$E$5:$E$1004,$A101,'13_VANZARI'!$D$5:$D$1004,'10_CLIENTI'!$A$5:$A$204,'13_VANZARI'!$A$5:$A$1004,"&gt;="&amp;'09_PARAMETRI'!$B$5,'13_VANZARI'!$A$5:$A$1004,"&lt;="&amp;'09_PARAMETRI'!$B$6)&lt;&gt;0)))</f>
        <v/>
      </c>
      <c r="L101" s="25">
        <f>IF($A101="","",IFERROR($K101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01" s="39">
        <f>IF($A101="","",IF(AND($D101&gt;0,$H101&lt;&gt;"",$H101&lt;'09_PARAMETRI'!$B$15),"Marjă sub referință",IF(AND($F101&lt;&gt;"",$F101&gt;='09_PARAMETRI'!$B$14,$L101&lt;0.3),"Creștere + penetrare mică",IF(AND($F101&lt;&gt;"",$F101&lt;='09_PARAMETRI'!$B$13),"Produs în scădere",IF($D101=0,"Fără vânzări","Stabil")))))</f>
        <v/>
      </c>
      <c r="N101" s="39">
        <f>IF($A101="","",IF($M101="Marjă sub referință","Marjă / preț",IF($M101="Creștere + penetrare mică","Creștere produs",IF($M101="Produs în scădere","Cross-sell",IF($M101="Fără vânzări","Proces / operațional","Cross-sell")))))</f>
        <v/>
      </c>
      <c r="O101" s="24">
        <f>IF($A101="","",IFERROR(IF($M101="Marjă sub referință",MAX(0,$D101*('09_PARAMETRI'!$B$15-$H101)),IF($M101="Creștere + penetrare mică",$D101*0.5,IF($M101="Produs în scădere",MAX(0,$E101-$D101),$D101*0.1))),""))</f>
        <v/>
      </c>
      <c r="P101" s="48">
        <f>IF(OR($A101="",$D101="",N($D101)&lt;=0),"",$D101+ROW()/1000000)</f>
        <v/>
      </c>
    </row>
    <row r="102">
      <c r="A102" s="39">
        <f>IF('11_PRODUSE'!$A102="","",'11_PRODUSE'!$A102)</f>
        <v/>
      </c>
      <c r="B102" s="39">
        <f>IF($A102="","",IFERROR(INDEX('11_PRODUSE'!$B$5:$B$104,MATCH($A102,'11_PRODUSE'!$A$5:$A$104,0)),""))</f>
        <v/>
      </c>
      <c r="C102" s="39">
        <f>IF($A102="","",IFERROR(INDEX('11_PRODUSE'!$C$5:$C$104,MATCH($A102,'11_PRODUSE'!$A$5:$A$104,0)),""))</f>
        <v/>
      </c>
      <c r="D102" s="24">
        <f>IF($A102="","",SUMIFS('13_VANZARI'!$H$5:$H$1004,'13_VANZARI'!$E$5:$E$1004,$A102,'13_VANZARI'!$A$5:$A$1004,"&gt;="&amp;'09_PARAMETRI'!$B$5,'13_VANZARI'!$A$5:$A$1004,"&lt;="&amp;'09_PARAMETRI'!$B$6))</f>
        <v/>
      </c>
      <c r="E102" s="24">
        <f>IF($A102="","",SUMIFS('13_VANZARI'!$H$5:$H$1004,'13_VANZARI'!$E$5:$E$1004,$A102,'13_VANZARI'!$A$5:$A$1004,"&gt;="&amp;'09_PARAMETRI'!$B$7,'13_VANZARI'!$A$5:$A$1004,"&lt;="&amp;'09_PARAMETRI'!$B$8))</f>
        <v/>
      </c>
      <c r="F102" s="25">
        <f>IF($A102="","",IFERROR(IF($E102=0,"",($D102-$E102)/ABS($E102)),""))</f>
        <v/>
      </c>
      <c r="G102" s="24">
        <f>IF($A102="","",SUMIFS('13_VANZARI'!$K$5:$K$1004,'13_VANZARI'!$E$5:$E$1004,$A102,'13_VANZARI'!$A$5:$A$1004,"&gt;="&amp;'09_PARAMETRI'!$B$5,'13_VANZARI'!$A$5:$A$1004,"&lt;="&amp;'09_PARAMETRI'!$B$6))</f>
        <v/>
      </c>
      <c r="H102" s="25">
        <f>IF($A102="","",IFERROR($G102/$D102,""))</f>
        <v/>
      </c>
      <c r="I102" s="24">
        <f>IF($A102="","",SUMIFS('13_VANZARI'!$G$5:$G$1004,'13_VANZARI'!$E$5:$E$1004,$A102,'13_VANZARI'!$A$5:$A$1004,"&gt;="&amp;'09_PARAMETRI'!$B$5,'13_VANZARI'!$A$5:$A$1004,"&lt;="&amp;'09_PARAMETRI'!$B$6))</f>
        <v/>
      </c>
      <c r="J102" s="48">
        <f>IF($A102="","",IFERROR($D102/$I102,""))</f>
        <v/>
      </c>
      <c r="K102" s="24">
        <f>IF($A102="","",SUMPRODUCT(('10_CLIENTI'!$A$5:$A$204&lt;&gt;"")*(SUMIFS('13_VANZARI'!$H$5:$H$1004,'13_VANZARI'!$E$5:$E$1004,$A102,'13_VANZARI'!$D$5:$D$1004,'10_CLIENTI'!$A$5:$A$204,'13_VANZARI'!$A$5:$A$1004,"&gt;="&amp;'09_PARAMETRI'!$B$5,'13_VANZARI'!$A$5:$A$1004,"&lt;="&amp;'09_PARAMETRI'!$B$6)&lt;&gt;0)))</f>
        <v/>
      </c>
      <c r="L102" s="25">
        <f>IF($A102="","",IFERROR($K102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02" s="39">
        <f>IF($A102="","",IF(AND($D102&gt;0,$H102&lt;&gt;"",$H102&lt;'09_PARAMETRI'!$B$15),"Marjă sub referință",IF(AND($F102&lt;&gt;"",$F102&gt;='09_PARAMETRI'!$B$14,$L102&lt;0.3),"Creștere + penetrare mică",IF(AND($F102&lt;&gt;"",$F102&lt;='09_PARAMETRI'!$B$13),"Produs în scădere",IF($D102=0,"Fără vânzări","Stabil")))))</f>
        <v/>
      </c>
      <c r="N102" s="39">
        <f>IF($A102="","",IF($M102="Marjă sub referință","Marjă / preț",IF($M102="Creștere + penetrare mică","Creștere produs",IF($M102="Produs în scădere","Cross-sell",IF($M102="Fără vânzări","Proces / operațional","Cross-sell")))))</f>
        <v/>
      </c>
      <c r="O102" s="24">
        <f>IF($A102="","",IFERROR(IF($M102="Marjă sub referință",MAX(0,$D102*('09_PARAMETRI'!$B$15-$H102)),IF($M102="Creștere + penetrare mică",$D102*0.5,IF($M102="Produs în scădere",MAX(0,$E102-$D102),$D102*0.1))),""))</f>
        <v/>
      </c>
      <c r="P102" s="48">
        <f>IF(OR($A102="",$D102="",N($D102)&lt;=0),"",$D102+ROW()/1000000)</f>
        <v/>
      </c>
    </row>
    <row r="103">
      <c r="A103" s="39">
        <f>IF('11_PRODUSE'!$A103="","",'11_PRODUSE'!$A103)</f>
        <v/>
      </c>
      <c r="B103" s="39">
        <f>IF($A103="","",IFERROR(INDEX('11_PRODUSE'!$B$5:$B$104,MATCH($A103,'11_PRODUSE'!$A$5:$A$104,0)),""))</f>
        <v/>
      </c>
      <c r="C103" s="39">
        <f>IF($A103="","",IFERROR(INDEX('11_PRODUSE'!$C$5:$C$104,MATCH($A103,'11_PRODUSE'!$A$5:$A$104,0)),""))</f>
        <v/>
      </c>
      <c r="D103" s="24">
        <f>IF($A103="","",SUMIFS('13_VANZARI'!$H$5:$H$1004,'13_VANZARI'!$E$5:$E$1004,$A103,'13_VANZARI'!$A$5:$A$1004,"&gt;="&amp;'09_PARAMETRI'!$B$5,'13_VANZARI'!$A$5:$A$1004,"&lt;="&amp;'09_PARAMETRI'!$B$6))</f>
        <v/>
      </c>
      <c r="E103" s="24">
        <f>IF($A103="","",SUMIFS('13_VANZARI'!$H$5:$H$1004,'13_VANZARI'!$E$5:$E$1004,$A103,'13_VANZARI'!$A$5:$A$1004,"&gt;="&amp;'09_PARAMETRI'!$B$7,'13_VANZARI'!$A$5:$A$1004,"&lt;="&amp;'09_PARAMETRI'!$B$8))</f>
        <v/>
      </c>
      <c r="F103" s="25">
        <f>IF($A103="","",IFERROR(IF($E103=0,"",($D103-$E103)/ABS($E103)),""))</f>
        <v/>
      </c>
      <c r="G103" s="24">
        <f>IF($A103="","",SUMIFS('13_VANZARI'!$K$5:$K$1004,'13_VANZARI'!$E$5:$E$1004,$A103,'13_VANZARI'!$A$5:$A$1004,"&gt;="&amp;'09_PARAMETRI'!$B$5,'13_VANZARI'!$A$5:$A$1004,"&lt;="&amp;'09_PARAMETRI'!$B$6))</f>
        <v/>
      </c>
      <c r="H103" s="25">
        <f>IF($A103="","",IFERROR($G103/$D103,""))</f>
        <v/>
      </c>
      <c r="I103" s="24">
        <f>IF($A103="","",SUMIFS('13_VANZARI'!$G$5:$G$1004,'13_VANZARI'!$E$5:$E$1004,$A103,'13_VANZARI'!$A$5:$A$1004,"&gt;="&amp;'09_PARAMETRI'!$B$5,'13_VANZARI'!$A$5:$A$1004,"&lt;="&amp;'09_PARAMETRI'!$B$6))</f>
        <v/>
      </c>
      <c r="J103" s="48">
        <f>IF($A103="","",IFERROR($D103/$I103,""))</f>
        <v/>
      </c>
      <c r="K103" s="24">
        <f>IF($A103="","",SUMPRODUCT(('10_CLIENTI'!$A$5:$A$204&lt;&gt;"")*(SUMIFS('13_VANZARI'!$H$5:$H$1004,'13_VANZARI'!$E$5:$E$1004,$A103,'13_VANZARI'!$D$5:$D$1004,'10_CLIENTI'!$A$5:$A$204,'13_VANZARI'!$A$5:$A$1004,"&gt;="&amp;'09_PARAMETRI'!$B$5,'13_VANZARI'!$A$5:$A$1004,"&lt;="&amp;'09_PARAMETRI'!$B$6)&lt;&gt;0)))</f>
        <v/>
      </c>
      <c r="L103" s="25">
        <f>IF($A103="","",IFERROR($K103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03" s="39">
        <f>IF($A103="","",IF(AND($D103&gt;0,$H103&lt;&gt;"",$H103&lt;'09_PARAMETRI'!$B$15),"Marjă sub referință",IF(AND($F103&lt;&gt;"",$F103&gt;='09_PARAMETRI'!$B$14,$L103&lt;0.3),"Creștere + penetrare mică",IF(AND($F103&lt;&gt;"",$F103&lt;='09_PARAMETRI'!$B$13),"Produs în scădere",IF($D103=0,"Fără vânzări","Stabil")))))</f>
        <v/>
      </c>
      <c r="N103" s="39">
        <f>IF($A103="","",IF($M103="Marjă sub referință","Marjă / preț",IF($M103="Creștere + penetrare mică","Creștere produs",IF($M103="Produs în scădere","Cross-sell",IF($M103="Fără vânzări","Proces / operațional","Cross-sell")))))</f>
        <v/>
      </c>
      <c r="O103" s="24">
        <f>IF($A103="","",IFERROR(IF($M103="Marjă sub referință",MAX(0,$D103*('09_PARAMETRI'!$B$15-$H103)),IF($M103="Creștere + penetrare mică",$D103*0.5,IF($M103="Produs în scădere",MAX(0,$E103-$D103),$D103*0.1))),""))</f>
        <v/>
      </c>
      <c r="P103" s="48">
        <f>IF(OR($A103="",$D103="",N($D103)&lt;=0),"",$D103+ROW()/1000000)</f>
        <v/>
      </c>
    </row>
    <row r="104">
      <c r="A104" s="39">
        <f>IF('11_PRODUSE'!$A104="","",'11_PRODUSE'!$A104)</f>
        <v/>
      </c>
      <c r="B104" s="39">
        <f>IF($A104="","",IFERROR(INDEX('11_PRODUSE'!$B$5:$B$104,MATCH($A104,'11_PRODUSE'!$A$5:$A$104,0)),""))</f>
        <v/>
      </c>
      <c r="C104" s="39">
        <f>IF($A104="","",IFERROR(INDEX('11_PRODUSE'!$C$5:$C$104,MATCH($A104,'11_PRODUSE'!$A$5:$A$104,0)),""))</f>
        <v/>
      </c>
      <c r="D104" s="24">
        <f>IF($A104="","",SUMIFS('13_VANZARI'!$H$5:$H$1004,'13_VANZARI'!$E$5:$E$1004,$A104,'13_VANZARI'!$A$5:$A$1004,"&gt;="&amp;'09_PARAMETRI'!$B$5,'13_VANZARI'!$A$5:$A$1004,"&lt;="&amp;'09_PARAMETRI'!$B$6))</f>
        <v/>
      </c>
      <c r="E104" s="24">
        <f>IF($A104="","",SUMIFS('13_VANZARI'!$H$5:$H$1004,'13_VANZARI'!$E$5:$E$1004,$A104,'13_VANZARI'!$A$5:$A$1004,"&gt;="&amp;'09_PARAMETRI'!$B$7,'13_VANZARI'!$A$5:$A$1004,"&lt;="&amp;'09_PARAMETRI'!$B$8))</f>
        <v/>
      </c>
      <c r="F104" s="25">
        <f>IF($A104="","",IFERROR(IF($E104=0,"",($D104-$E104)/ABS($E104)),""))</f>
        <v/>
      </c>
      <c r="G104" s="24">
        <f>IF($A104="","",SUMIFS('13_VANZARI'!$K$5:$K$1004,'13_VANZARI'!$E$5:$E$1004,$A104,'13_VANZARI'!$A$5:$A$1004,"&gt;="&amp;'09_PARAMETRI'!$B$5,'13_VANZARI'!$A$5:$A$1004,"&lt;="&amp;'09_PARAMETRI'!$B$6))</f>
        <v/>
      </c>
      <c r="H104" s="25">
        <f>IF($A104="","",IFERROR($G104/$D104,""))</f>
        <v/>
      </c>
      <c r="I104" s="24">
        <f>IF($A104="","",SUMIFS('13_VANZARI'!$G$5:$G$1004,'13_VANZARI'!$E$5:$E$1004,$A104,'13_VANZARI'!$A$5:$A$1004,"&gt;="&amp;'09_PARAMETRI'!$B$5,'13_VANZARI'!$A$5:$A$1004,"&lt;="&amp;'09_PARAMETRI'!$B$6))</f>
        <v/>
      </c>
      <c r="J104" s="48">
        <f>IF($A104="","",IFERROR($D104/$I104,""))</f>
        <v/>
      </c>
      <c r="K104" s="24">
        <f>IF($A104="","",SUMPRODUCT(('10_CLIENTI'!$A$5:$A$204&lt;&gt;"")*(SUMIFS('13_VANZARI'!$H$5:$H$1004,'13_VANZARI'!$E$5:$E$1004,$A104,'13_VANZARI'!$D$5:$D$1004,'10_CLIENTI'!$A$5:$A$204,'13_VANZARI'!$A$5:$A$1004,"&gt;="&amp;'09_PARAMETRI'!$B$5,'13_VANZARI'!$A$5:$A$1004,"&lt;="&amp;'09_PARAMETRI'!$B$6)&lt;&gt;0)))</f>
        <v/>
      </c>
      <c r="L104" s="25">
        <f>IF($A104="","",IFERROR($K104/(SUMPRODUCT(('10_CLIENTI'!$A$5:$A$204&lt;&gt;"")*(SUMIFS('13_VANZARI'!$H$5:$H$1004,'13_VANZARI'!$D$5:$D$1004,'10_CLIENTI'!$A$5:$A$204,'13_VANZARI'!$A$5:$A$1004,"&gt;="&amp;'09_PARAMETRI'!$B$5,'13_VANZARI'!$A$5:$A$1004,"&lt;="&amp;'09_PARAMETRI'!$B$6)&lt;&gt;0))),""))</f>
        <v/>
      </c>
      <c r="M104" s="39">
        <f>IF($A104="","",IF(AND($D104&gt;0,$H104&lt;&gt;"",$H104&lt;'09_PARAMETRI'!$B$15),"Marjă sub referință",IF(AND($F104&lt;&gt;"",$F104&gt;='09_PARAMETRI'!$B$14,$L104&lt;0.3),"Creștere + penetrare mică",IF(AND($F104&lt;&gt;"",$F104&lt;='09_PARAMETRI'!$B$13),"Produs în scădere",IF($D104=0,"Fără vânzări","Stabil")))))</f>
        <v/>
      </c>
      <c r="N104" s="39">
        <f>IF($A104="","",IF($M104="Marjă sub referință","Marjă / preț",IF($M104="Creștere + penetrare mică","Creștere produs",IF($M104="Produs în scădere","Cross-sell",IF($M104="Fără vânzări","Proces / operațional","Cross-sell")))))</f>
        <v/>
      </c>
      <c r="O104" s="24">
        <f>IF($A104="","",IFERROR(IF($M104="Marjă sub referință",MAX(0,$D104*('09_PARAMETRI'!$B$15-$H104)),IF($M104="Creștere + penetrare mică",$D104*0.5,IF($M104="Produs în scădere",MAX(0,$E104-$D104),$D104*0.1))),""))</f>
        <v/>
      </c>
      <c r="P104" s="48">
        <f>IF(OR($A104="",$D104="",N($D104)&lt;=0),"",$D104+ROW()/1000000)</f>
        <v/>
      </c>
    </row>
  </sheetData>
  <autoFilter ref="A4:P104"/>
  <conditionalFormatting sqref="M5:M104">
    <cfRule type="cellIs" priority="1" operator="equal" dxfId="8">
      <formula>"Marjă sub referință"</formula>
    </cfRule>
    <cfRule type="cellIs" priority="2" operator="equal" dxfId="0">
      <formula>"Creștere + penetrare mică"</formula>
    </cfRule>
    <cfRule type="cellIs" priority="3" operator="equal" dxfId="1">
      <formula>"Produs în scădere"</formula>
    </cfRule>
    <cfRule type="cellIs" priority="4" operator="equal" dxfId="9">
      <formula>"Fără vânzări"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5" customWidth="1" min="4" max="4"/>
    <col width="8" customWidth="1" min="5" max="5"/>
    <col width="14" customWidth="1" min="6" max="6"/>
    <col width="14" customWidth="1" min="7" max="7"/>
    <col width="11" customWidth="1" min="8" max="8"/>
    <col width="13" customWidth="1" min="9" max="9"/>
    <col width="10" customWidth="1" min="10" max="10"/>
    <col width="11" customWidth="1" min="11" max="11"/>
    <col width="13" customWidth="1" min="12" max="12"/>
    <col width="13" customWidth="1" min="13" max="13"/>
    <col width="12" customWidth="1" min="14" max="14"/>
    <col width="22" customWidth="1" min="15" max="15"/>
    <col width="24" customWidth="1" min="16" max="16"/>
    <col width="13" customWidth="1" min="17" max="17"/>
  </cols>
  <sheetData>
    <row r="1" ht="26" customHeight="1">
      <c r="A1" s="1" t="inlineStr">
        <is>
          <t>23 — ANALIZA ECHIPEI</t>
        </is>
      </c>
    </row>
    <row r="2" ht="16" customHeight="1">
      <c r="A2" s="2" t="inlineStr">
        <is>
          <t>Productivitate și atingere de țintă pe om. Nu este un instrument de evaluare a performanței individuale, ci de identificat unde ajută coachingul.</t>
        </is>
      </c>
    </row>
    <row r="3"/>
    <row r="4" ht="36" customHeight="1">
      <c r="A4" s="15" t="inlineStr">
        <is>
          <t>ID persoană</t>
        </is>
      </c>
      <c r="B4" s="15" t="inlineStr">
        <is>
          <t>Nume</t>
        </is>
      </c>
      <c r="C4" s="15" t="inlineStr">
        <is>
          <t>Rol</t>
        </is>
      </c>
      <c r="D4" s="15" t="inlineStr">
        <is>
          <t>Echipă</t>
        </is>
      </c>
      <c r="E4" s="15" t="inlineStr">
        <is>
          <t>FTE</t>
        </is>
      </c>
      <c r="F4" s="15" t="inlineStr">
        <is>
          <t>Venit — curent</t>
        </is>
      </c>
      <c r="G4" s="15" t="inlineStr">
        <is>
          <t>Venit — comparativ</t>
        </is>
      </c>
      <c r="H4" s="15" t="inlineStr">
        <is>
          <t>Δ venit %</t>
        </is>
      </c>
      <c r="I4" s="15" t="inlineStr">
        <is>
          <t>Profit brut</t>
        </is>
      </c>
      <c r="J4" s="15" t="inlineStr">
        <is>
          <t>Marjă %</t>
        </is>
      </c>
      <c r="K4" s="15" t="inlineStr">
        <is>
          <t>Clienți activi</t>
        </is>
      </c>
      <c r="L4" s="15" t="inlineStr">
        <is>
          <t>Venit / FTE</t>
        </is>
      </c>
      <c r="M4" s="15" t="inlineStr">
        <is>
          <t>Țintă</t>
        </is>
      </c>
      <c r="N4" s="15" t="inlineStr">
        <is>
          <t>Atingere țintă %</t>
        </is>
      </c>
      <c r="O4" s="15" t="inlineStr">
        <is>
          <t>Semnal</t>
        </is>
      </c>
      <c r="P4" s="15" t="inlineStr">
        <is>
          <t>Oportunitate sugerată</t>
        </is>
      </c>
      <c r="Q4" s="15" t="inlineStr">
        <is>
          <t>Potențial estimat</t>
        </is>
      </c>
    </row>
    <row r="5">
      <c r="A5" s="39">
        <f>IF('12_OAMENI'!$A5="","",'12_OAMENI'!$A5)</f>
        <v/>
      </c>
      <c r="B5" s="39">
        <f>IF($A5="","",IFERROR(INDEX('12_OAMENI'!$B$5:$B$64,MATCH($A5,'12_OAMENI'!$A$5:$A$64,0)),""))</f>
        <v/>
      </c>
      <c r="C5" s="39">
        <f>IF($A5="","",IFERROR(INDEX('12_OAMENI'!$C$5:$C$64,MATCH($A5,'12_OAMENI'!$A$5:$A$64,0)),""))</f>
        <v/>
      </c>
      <c r="D5" s="39">
        <f>IF($A5="","",IFERROR(INDEX('12_OAMENI'!$D$5:$D$64,MATCH($A5,'12_OAMENI'!$A$5:$A$64,0)),""))</f>
        <v/>
      </c>
      <c r="E5" s="48">
        <f>IF($A5="","",IFERROR(INDEX('12_OAMENI'!$E$5:$E$64,MATCH($A5,'12_OAMENI'!$A$5:$A$64,0)),""))</f>
        <v/>
      </c>
      <c r="F5" s="24">
        <f>IF($A5="","",SUMIFS('13_VANZARI'!$H$5:$H$1004,'13_VANZARI'!$F$5:$F$1004,$A5,'13_VANZARI'!$A$5:$A$1004,"&gt;="&amp;'09_PARAMETRI'!$B$5,'13_VANZARI'!$A$5:$A$1004,"&lt;="&amp;'09_PARAMETRI'!$B$6))</f>
        <v/>
      </c>
      <c r="G5" s="24">
        <f>IF($A5="","",SUMIFS('13_VANZARI'!$H$5:$H$1004,'13_VANZARI'!$F$5:$F$1004,$A5,'13_VANZARI'!$A$5:$A$1004,"&gt;="&amp;'09_PARAMETRI'!$B$7,'13_VANZARI'!$A$5:$A$1004,"&lt;="&amp;'09_PARAMETRI'!$B$8))</f>
        <v/>
      </c>
      <c r="H5" s="25">
        <f>IF($A5="","",IFERROR(IF($G5=0,"",($F5-$G5)/ABS($G5)),""))</f>
        <v/>
      </c>
      <c r="I5" s="24">
        <f>IF($A5="","",SUMIFS('13_VANZARI'!$K$5:$K$1004,'13_VANZARI'!$F$5:$F$1004,$A5,'13_VANZARI'!$A$5:$A$1004,"&gt;="&amp;'09_PARAMETRI'!$B$5,'13_VANZARI'!$A$5:$A$1004,"&lt;="&amp;'09_PARAMETRI'!$B$6))</f>
        <v/>
      </c>
      <c r="J5" s="25">
        <f>IF($A5="","",IFERROR($I5/$F5,""))</f>
        <v/>
      </c>
      <c r="K5" s="24">
        <f>IF($A5="","",SUMPRODUCT(('10_CLIENTI'!$A$5:$A$204&lt;&gt;"")*(SUMIFS('13_VANZARI'!$H$5:$H$1004,'13_VANZARI'!$F$5:$F$1004,$A5,'13_VANZARI'!$D$5:$D$1004,'10_CLIENTI'!$A$5:$A$204,'13_VANZARI'!$A$5:$A$1004,"&gt;="&amp;'09_PARAMETRI'!$B$5,'13_VANZARI'!$A$5:$A$1004,"&lt;="&amp;'09_PARAMETRI'!$B$6)&lt;&gt;0)))</f>
        <v/>
      </c>
      <c r="L5" s="24">
        <f>IF($A5="","",IFERROR($F5/$E5,""))</f>
        <v/>
      </c>
      <c r="M5" s="24">
        <f>IF($A5="","",SUMIFS('14_TINTE'!$E$5:$E$304,'14_TINTE'!$A$5:$A$304,"&gt;="&amp;'09_PARAMETRI'!$B$5,'14_TINTE'!$A$5:$A$304,"&lt;="&amp;'09_PARAMETRI'!$B$6,'14_TINTE'!$D$5:$D$304,"Venit",'14_TINTE'!$B$5:$B$304,"Persoană",'14_TINTE'!$C$5:$C$304,$A5))</f>
        <v/>
      </c>
      <c r="N5" s="25">
        <f>IF($A5="","",IFERROR(IF($M5=0,"",$F5/$M5),""))</f>
        <v/>
      </c>
      <c r="O5" s="39">
        <f>IF($A5="","",IF(AND($N5&lt;&gt;"",$N5&lt;'09_PARAMETRI'!$B$18,$M5&gt;0),"Sub țintă",IF(AND($H5&lt;&gt;"",$H5&lt;='09_PARAMETRI'!$B$13),"Portofoliu în scădere",IF(AND($F5&gt;0,$L5&lt;&gt;"",$L5&lt;IFERROR(AVERAGE($L$5:$L$64),0)*0.7),"Productivitate sub medie",IF($F5=0,"Fără vânzări înregistrate","În parametri")))))</f>
        <v/>
      </c>
      <c r="P5" s="39">
        <f>IF($A5="","",IF($O5="Sub țintă","Gap față de țintă",IF($O5="Portofoliu în scădere","Productivitate vânzări",IF($O5="Productivitate sub medie","Dezvoltare oameni",IF($O5="Fără vânzări înregistrate","Proces / operațional","Productivitate vânzări")))))</f>
        <v/>
      </c>
      <c r="Q5" s="24">
        <f>IF($A5="","",IFERROR(IF($O5="Sub țintă",MAX(0,$M5-$F5),IF($O5="Portofoliu în scădere",MAX(0,$G5-$F5),$F5*0.15)),""))</f>
        <v/>
      </c>
    </row>
    <row r="6">
      <c r="A6" s="39">
        <f>IF('12_OAMENI'!$A6="","",'12_OAMENI'!$A6)</f>
        <v/>
      </c>
      <c r="B6" s="39">
        <f>IF($A6="","",IFERROR(INDEX('12_OAMENI'!$B$5:$B$64,MATCH($A6,'12_OAMENI'!$A$5:$A$64,0)),""))</f>
        <v/>
      </c>
      <c r="C6" s="39">
        <f>IF($A6="","",IFERROR(INDEX('12_OAMENI'!$C$5:$C$64,MATCH($A6,'12_OAMENI'!$A$5:$A$64,0)),""))</f>
        <v/>
      </c>
      <c r="D6" s="39">
        <f>IF($A6="","",IFERROR(INDEX('12_OAMENI'!$D$5:$D$64,MATCH($A6,'12_OAMENI'!$A$5:$A$64,0)),""))</f>
        <v/>
      </c>
      <c r="E6" s="48">
        <f>IF($A6="","",IFERROR(INDEX('12_OAMENI'!$E$5:$E$64,MATCH($A6,'12_OAMENI'!$A$5:$A$64,0)),""))</f>
        <v/>
      </c>
      <c r="F6" s="24">
        <f>IF($A6="","",SUMIFS('13_VANZARI'!$H$5:$H$1004,'13_VANZARI'!$F$5:$F$1004,$A6,'13_VANZARI'!$A$5:$A$1004,"&gt;="&amp;'09_PARAMETRI'!$B$5,'13_VANZARI'!$A$5:$A$1004,"&lt;="&amp;'09_PARAMETRI'!$B$6))</f>
        <v/>
      </c>
      <c r="G6" s="24">
        <f>IF($A6="","",SUMIFS('13_VANZARI'!$H$5:$H$1004,'13_VANZARI'!$F$5:$F$1004,$A6,'13_VANZARI'!$A$5:$A$1004,"&gt;="&amp;'09_PARAMETRI'!$B$7,'13_VANZARI'!$A$5:$A$1004,"&lt;="&amp;'09_PARAMETRI'!$B$8))</f>
        <v/>
      </c>
      <c r="H6" s="25">
        <f>IF($A6="","",IFERROR(IF($G6=0,"",($F6-$G6)/ABS($G6)),""))</f>
        <v/>
      </c>
      <c r="I6" s="24">
        <f>IF($A6="","",SUMIFS('13_VANZARI'!$K$5:$K$1004,'13_VANZARI'!$F$5:$F$1004,$A6,'13_VANZARI'!$A$5:$A$1004,"&gt;="&amp;'09_PARAMETRI'!$B$5,'13_VANZARI'!$A$5:$A$1004,"&lt;="&amp;'09_PARAMETRI'!$B$6))</f>
        <v/>
      </c>
      <c r="J6" s="25">
        <f>IF($A6="","",IFERROR($I6/$F6,""))</f>
        <v/>
      </c>
      <c r="K6" s="24">
        <f>IF($A6="","",SUMPRODUCT(('10_CLIENTI'!$A$5:$A$204&lt;&gt;"")*(SUMIFS('13_VANZARI'!$H$5:$H$1004,'13_VANZARI'!$F$5:$F$1004,$A6,'13_VANZARI'!$D$5:$D$1004,'10_CLIENTI'!$A$5:$A$204,'13_VANZARI'!$A$5:$A$1004,"&gt;="&amp;'09_PARAMETRI'!$B$5,'13_VANZARI'!$A$5:$A$1004,"&lt;="&amp;'09_PARAMETRI'!$B$6)&lt;&gt;0)))</f>
        <v/>
      </c>
      <c r="L6" s="24">
        <f>IF($A6="","",IFERROR($F6/$E6,""))</f>
        <v/>
      </c>
      <c r="M6" s="24">
        <f>IF($A6="","",SUMIFS('14_TINTE'!$E$5:$E$304,'14_TINTE'!$A$5:$A$304,"&gt;="&amp;'09_PARAMETRI'!$B$5,'14_TINTE'!$A$5:$A$304,"&lt;="&amp;'09_PARAMETRI'!$B$6,'14_TINTE'!$D$5:$D$304,"Venit",'14_TINTE'!$B$5:$B$304,"Persoană",'14_TINTE'!$C$5:$C$304,$A6))</f>
        <v/>
      </c>
      <c r="N6" s="25">
        <f>IF($A6="","",IFERROR(IF($M6=0,"",$F6/$M6),""))</f>
        <v/>
      </c>
      <c r="O6" s="39">
        <f>IF($A6="","",IF(AND($N6&lt;&gt;"",$N6&lt;'09_PARAMETRI'!$B$18,$M6&gt;0),"Sub țintă",IF(AND($H6&lt;&gt;"",$H6&lt;='09_PARAMETRI'!$B$13),"Portofoliu în scădere",IF(AND($F6&gt;0,$L6&lt;&gt;"",$L6&lt;IFERROR(AVERAGE($L$5:$L$64),0)*0.7),"Productivitate sub medie",IF($F6=0,"Fără vânzări înregistrate","În parametri")))))</f>
        <v/>
      </c>
      <c r="P6" s="39">
        <f>IF($A6="","",IF($O6="Sub țintă","Gap față de țintă",IF($O6="Portofoliu în scădere","Productivitate vânzări",IF($O6="Productivitate sub medie","Dezvoltare oameni",IF($O6="Fără vânzări înregistrate","Proces / operațional","Productivitate vânzări")))))</f>
        <v/>
      </c>
      <c r="Q6" s="24">
        <f>IF($A6="","",IFERROR(IF($O6="Sub țintă",MAX(0,$M6-$F6),IF($O6="Portofoliu în scădere",MAX(0,$G6-$F6),$F6*0.15)),""))</f>
        <v/>
      </c>
    </row>
    <row r="7">
      <c r="A7" s="39">
        <f>IF('12_OAMENI'!$A7="","",'12_OAMENI'!$A7)</f>
        <v/>
      </c>
      <c r="B7" s="39">
        <f>IF($A7="","",IFERROR(INDEX('12_OAMENI'!$B$5:$B$64,MATCH($A7,'12_OAMENI'!$A$5:$A$64,0)),""))</f>
        <v/>
      </c>
      <c r="C7" s="39">
        <f>IF($A7="","",IFERROR(INDEX('12_OAMENI'!$C$5:$C$64,MATCH($A7,'12_OAMENI'!$A$5:$A$64,0)),""))</f>
        <v/>
      </c>
      <c r="D7" s="39">
        <f>IF($A7="","",IFERROR(INDEX('12_OAMENI'!$D$5:$D$64,MATCH($A7,'12_OAMENI'!$A$5:$A$64,0)),""))</f>
        <v/>
      </c>
      <c r="E7" s="48">
        <f>IF($A7="","",IFERROR(INDEX('12_OAMENI'!$E$5:$E$64,MATCH($A7,'12_OAMENI'!$A$5:$A$64,0)),""))</f>
        <v/>
      </c>
      <c r="F7" s="24">
        <f>IF($A7="","",SUMIFS('13_VANZARI'!$H$5:$H$1004,'13_VANZARI'!$F$5:$F$1004,$A7,'13_VANZARI'!$A$5:$A$1004,"&gt;="&amp;'09_PARAMETRI'!$B$5,'13_VANZARI'!$A$5:$A$1004,"&lt;="&amp;'09_PARAMETRI'!$B$6))</f>
        <v/>
      </c>
      <c r="G7" s="24">
        <f>IF($A7="","",SUMIFS('13_VANZARI'!$H$5:$H$1004,'13_VANZARI'!$F$5:$F$1004,$A7,'13_VANZARI'!$A$5:$A$1004,"&gt;="&amp;'09_PARAMETRI'!$B$7,'13_VANZARI'!$A$5:$A$1004,"&lt;="&amp;'09_PARAMETRI'!$B$8))</f>
        <v/>
      </c>
      <c r="H7" s="25">
        <f>IF($A7="","",IFERROR(IF($G7=0,"",($F7-$G7)/ABS($G7)),""))</f>
        <v/>
      </c>
      <c r="I7" s="24">
        <f>IF($A7="","",SUMIFS('13_VANZARI'!$K$5:$K$1004,'13_VANZARI'!$F$5:$F$1004,$A7,'13_VANZARI'!$A$5:$A$1004,"&gt;="&amp;'09_PARAMETRI'!$B$5,'13_VANZARI'!$A$5:$A$1004,"&lt;="&amp;'09_PARAMETRI'!$B$6))</f>
        <v/>
      </c>
      <c r="J7" s="25">
        <f>IF($A7="","",IFERROR($I7/$F7,""))</f>
        <v/>
      </c>
      <c r="K7" s="24">
        <f>IF($A7="","",SUMPRODUCT(('10_CLIENTI'!$A$5:$A$204&lt;&gt;"")*(SUMIFS('13_VANZARI'!$H$5:$H$1004,'13_VANZARI'!$F$5:$F$1004,$A7,'13_VANZARI'!$D$5:$D$1004,'10_CLIENTI'!$A$5:$A$204,'13_VANZARI'!$A$5:$A$1004,"&gt;="&amp;'09_PARAMETRI'!$B$5,'13_VANZARI'!$A$5:$A$1004,"&lt;="&amp;'09_PARAMETRI'!$B$6)&lt;&gt;0)))</f>
        <v/>
      </c>
      <c r="L7" s="24">
        <f>IF($A7="","",IFERROR($F7/$E7,""))</f>
        <v/>
      </c>
      <c r="M7" s="24">
        <f>IF($A7="","",SUMIFS('14_TINTE'!$E$5:$E$304,'14_TINTE'!$A$5:$A$304,"&gt;="&amp;'09_PARAMETRI'!$B$5,'14_TINTE'!$A$5:$A$304,"&lt;="&amp;'09_PARAMETRI'!$B$6,'14_TINTE'!$D$5:$D$304,"Venit",'14_TINTE'!$B$5:$B$304,"Persoană",'14_TINTE'!$C$5:$C$304,$A7))</f>
        <v/>
      </c>
      <c r="N7" s="25">
        <f>IF($A7="","",IFERROR(IF($M7=0,"",$F7/$M7),""))</f>
        <v/>
      </c>
      <c r="O7" s="39">
        <f>IF($A7="","",IF(AND($N7&lt;&gt;"",$N7&lt;'09_PARAMETRI'!$B$18,$M7&gt;0),"Sub țintă",IF(AND($H7&lt;&gt;"",$H7&lt;='09_PARAMETRI'!$B$13),"Portofoliu în scădere",IF(AND($F7&gt;0,$L7&lt;&gt;"",$L7&lt;IFERROR(AVERAGE($L$5:$L$64),0)*0.7),"Productivitate sub medie",IF($F7=0,"Fără vânzări înregistrate","În parametri")))))</f>
        <v/>
      </c>
      <c r="P7" s="39">
        <f>IF($A7="","",IF($O7="Sub țintă","Gap față de țintă",IF($O7="Portofoliu în scădere","Productivitate vânzări",IF($O7="Productivitate sub medie","Dezvoltare oameni",IF($O7="Fără vânzări înregistrate","Proces / operațional","Productivitate vânzări")))))</f>
        <v/>
      </c>
      <c r="Q7" s="24">
        <f>IF($A7="","",IFERROR(IF($O7="Sub țintă",MAX(0,$M7-$F7),IF($O7="Portofoliu în scădere",MAX(0,$G7-$F7),$F7*0.15)),""))</f>
        <v/>
      </c>
    </row>
    <row r="8">
      <c r="A8" s="39">
        <f>IF('12_OAMENI'!$A8="","",'12_OAMENI'!$A8)</f>
        <v/>
      </c>
      <c r="B8" s="39">
        <f>IF($A8="","",IFERROR(INDEX('12_OAMENI'!$B$5:$B$64,MATCH($A8,'12_OAMENI'!$A$5:$A$64,0)),""))</f>
        <v/>
      </c>
      <c r="C8" s="39">
        <f>IF($A8="","",IFERROR(INDEX('12_OAMENI'!$C$5:$C$64,MATCH($A8,'12_OAMENI'!$A$5:$A$64,0)),""))</f>
        <v/>
      </c>
      <c r="D8" s="39">
        <f>IF($A8="","",IFERROR(INDEX('12_OAMENI'!$D$5:$D$64,MATCH($A8,'12_OAMENI'!$A$5:$A$64,0)),""))</f>
        <v/>
      </c>
      <c r="E8" s="48">
        <f>IF($A8="","",IFERROR(INDEX('12_OAMENI'!$E$5:$E$64,MATCH($A8,'12_OAMENI'!$A$5:$A$64,0)),""))</f>
        <v/>
      </c>
      <c r="F8" s="24">
        <f>IF($A8="","",SUMIFS('13_VANZARI'!$H$5:$H$1004,'13_VANZARI'!$F$5:$F$1004,$A8,'13_VANZARI'!$A$5:$A$1004,"&gt;="&amp;'09_PARAMETRI'!$B$5,'13_VANZARI'!$A$5:$A$1004,"&lt;="&amp;'09_PARAMETRI'!$B$6))</f>
        <v/>
      </c>
      <c r="G8" s="24">
        <f>IF($A8="","",SUMIFS('13_VANZARI'!$H$5:$H$1004,'13_VANZARI'!$F$5:$F$1004,$A8,'13_VANZARI'!$A$5:$A$1004,"&gt;="&amp;'09_PARAMETRI'!$B$7,'13_VANZARI'!$A$5:$A$1004,"&lt;="&amp;'09_PARAMETRI'!$B$8))</f>
        <v/>
      </c>
      <c r="H8" s="25">
        <f>IF($A8="","",IFERROR(IF($G8=0,"",($F8-$G8)/ABS($G8)),""))</f>
        <v/>
      </c>
      <c r="I8" s="24">
        <f>IF($A8="","",SUMIFS('13_VANZARI'!$K$5:$K$1004,'13_VANZARI'!$F$5:$F$1004,$A8,'13_VANZARI'!$A$5:$A$1004,"&gt;="&amp;'09_PARAMETRI'!$B$5,'13_VANZARI'!$A$5:$A$1004,"&lt;="&amp;'09_PARAMETRI'!$B$6))</f>
        <v/>
      </c>
      <c r="J8" s="25">
        <f>IF($A8="","",IFERROR($I8/$F8,""))</f>
        <v/>
      </c>
      <c r="K8" s="24">
        <f>IF($A8="","",SUMPRODUCT(('10_CLIENTI'!$A$5:$A$204&lt;&gt;"")*(SUMIFS('13_VANZARI'!$H$5:$H$1004,'13_VANZARI'!$F$5:$F$1004,$A8,'13_VANZARI'!$D$5:$D$1004,'10_CLIENTI'!$A$5:$A$204,'13_VANZARI'!$A$5:$A$1004,"&gt;="&amp;'09_PARAMETRI'!$B$5,'13_VANZARI'!$A$5:$A$1004,"&lt;="&amp;'09_PARAMETRI'!$B$6)&lt;&gt;0)))</f>
        <v/>
      </c>
      <c r="L8" s="24">
        <f>IF($A8="","",IFERROR($F8/$E8,""))</f>
        <v/>
      </c>
      <c r="M8" s="24">
        <f>IF($A8="","",SUMIFS('14_TINTE'!$E$5:$E$304,'14_TINTE'!$A$5:$A$304,"&gt;="&amp;'09_PARAMETRI'!$B$5,'14_TINTE'!$A$5:$A$304,"&lt;="&amp;'09_PARAMETRI'!$B$6,'14_TINTE'!$D$5:$D$304,"Venit",'14_TINTE'!$B$5:$B$304,"Persoană",'14_TINTE'!$C$5:$C$304,$A8))</f>
        <v/>
      </c>
      <c r="N8" s="25">
        <f>IF($A8="","",IFERROR(IF($M8=0,"",$F8/$M8),""))</f>
        <v/>
      </c>
      <c r="O8" s="39">
        <f>IF($A8="","",IF(AND($N8&lt;&gt;"",$N8&lt;'09_PARAMETRI'!$B$18,$M8&gt;0),"Sub țintă",IF(AND($H8&lt;&gt;"",$H8&lt;='09_PARAMETRI'!$B$13),"Portofoliu în scădere",IF(AND($F8&gt;0,$L8&lt;&gt;"",$L8&lt;IFERROR(AVERAGE($L$5:$L$64),0)*0.7),"Productivitate sub medie",IF($F8=0,"Fără vânzări înregistrate","În parametri")))))</f>
        <v/>
      </c>
      <c r="P8" s="39">
        <f>IF($A8="","",IF($O8="Sub țintă","Gap față de țintă",IF($O8="Portofoliu în scădere","Productivitate vânzări",IF($O8="Productivitate sub medie","Dezvoltare oameni",IF($O8="Fără vânzări înregistrate","Proces / operațional","Productivitate vânzări")))))</f>
        <v/>
      </c>
      <c r="Q8" s="24">
        <f>IF($A8="","",IFERROR(IF($O8="Sub țintă",MAX(0,$M8-$F8),IF($O8="Portofoliu în scădere",MAX(0,$G8-$F8),$F8*0.15)),""))</f>
        <v/>
      </c>
    </row>
    <row r="9">
      <c r="A9" s="39">
        <f>IF('12_OAMENI'!$A9="","",'12_OAMENI'!$A9)</f>
        <v/>
      </c>
      <c r="B9" s="39">
        <f>IF($A9="","",IFERROR(INDEX('12_OAMENI'!$B$5:$B$64,MATCH($A9,'12_OAMENI'!$A$5:$A$64,0)),""))</f>
        <v/>
      </c>
      <c r="C9" s="39">
        <f>IF($A9="","",IFERROR(INDEX('12_OAMENI'!$C$5:$C$64,MATCH($A9,'12_OAMENI'!$A$5:$A$64,0)),""))</f>
        <v/>
      </c>
      <c r="D9" s="39">
        <f>IF($A9="","",IFERROR(INDEX('12_OAMENI'!$D$5:$D$64,MATCH($A9,'12_OAMENI'!$A$5:$A$64,0)),""))</f>
        <v/>
      </c>
      <c r="E9" s="48">
        <f>IF($A9="","",IFERROR(INDEX('12_OAMENI'!$E$5:$E$64,MATCH($A9,'12_OAMENI'!$A$5:$A$64,0)),""))</f>
        <v/>
      </c>
      <c r="F9" s="24">
        <f>IF($A9="","",SUMIFS('13_VANZARI'!$H$5:$H$1004,'13_VANZARI'!$F$5:$F$1004,$A9,'13_VANZARI'!$A$5:$A$1004,"&gt;="&amp;'09_PARAMETRI'!$B$5,'13_VANZARI'!$A$5:$A$1004,"&lt;="&amp;'09_PARAMETRI'!$B$6))</f>
        <v/>
      </c>
      <c r="G9" s="24">
        <f>IF($A9="","",SUMIFS('13_VANZARI'!$H$5:$H$1004,'13_VANZARI'!$F$5:$F$1004,$A9,'13_VANZARI'!$A$5:$A$1004,"&gt;="&amp;'09_PARAMETRI'!$B$7,'13_VANZARI'!$A$5:$A$1004,"&lt;="&amp;'09_PARAMETRI'!$B$8))</f>
        <v/>
      </c>
      <c r="H9" s="25">
        <f>IF($A9="","",IFERROR(IF($G9=0,"",($F9-$G9)/ABS($G9)),""))</f>
        <v/>
      </c>
      <c r="I9" s="24">
        <f>IF($A9="","",SUMIFS('13_VANZARI'!$K$5:$K$1004,'13_VANZARI'!$F$5:$F$1004,$A9,'13_VANZARI'!$A$5:$A$1004,"&gt;="&amp;'09_PARAMETRI'!$B$5,'13_VANZARI'!$A$5:$A$1004,"&lt;="&amp;'09_PARAMETRI'!$B$6))</f>
        <v/>
      </c>
      <c r="J9" s="25">
        <f>IF($A9="","",IFERROR($I9/$F9,""))</f>
        <v/>
      </c>
      <c r="K9" s="24">
        <f>IF($A9="","",SUMPRODUCT(('10_CLIENTI'!$A$5:$A$204&lt;&gt;"")*(SUMIFS('13_VANZARI'!$H$5:$H$1004,'13_VANZARI'!$F$5:$F$1004,$A9,'13_VANZARI'!$D$5:$D$1004,'10_CLIENTI'!$A$5:$A$204,'13_VANZARI'!$A$5:$A$1004,"&gt;="&amp;'09_PARAMETRI'!$B$5,'13_VANZARI'!$A$5:$A$1004,"&lt;="&amp;'09_PARAMETRI'!$B$6)&lt;&gt;0)))</f>
        <v/>
      </c>
      <c r="L9" s="24">
        <f>IF($A9="","",IFERROR($F9/$E9,""))</f>
        <v/>
      </c>
      <c r="M9" s="24">
        <f>IF($A9="","",SUMIFS('14_TINTE'!$E$5:$E$304,'14_TINTE'!$A$5:$A$304,"&gt;="&amp;'09_PARAMETRI'!$B$5,'14_TINTE'!$A$5:$A$304,"&lt;="&amp;'09_PARAMETRI'!$B$6,'14_TINTE'!$D$5:$D$304,"Venit",'14_TINTE'!$B$5:$B$304,"Persoană",'14_TINTE'!$C$5:$C$304,$A9))</f>
        <v/>
      </c>
      <c r="N9" s="25">
        <f>IF($A9="","",IFERROR(IF($M9=0,"",$F9/$M9),""))</f>
        <v/>
      </c>
      <c r="O9" s="39">
        <f>IF($A9="","",IF(AND($N9&lt;&gt;"",$N9&lt;'09_PARAMETRI'!$B$18,$M9&gt;0),"Sub țintă",IF(AND($H9&lt;&gt;"",$H9&lt;='09_PARAMETRI'!$B$13),"Portofoliu în scădere",IF(AND($F9&gt;0,$L9&lt;&gt;"",$L9&lt;IFERROR(AVERAGE($L$5:$L$64),0)*0.7),"Productivitate sub medie",IF($F9=0,"Fără vânzări înregistrate","În parametri")))))</f>
        <v/>
      </c>
      <c r="P9" s="39">
        <f>IF($A9="","",IF($O9="Sub țintă","Gap față de țintă",IF($O9="Portofoliu în scădere","Productivitate vânzări",IF($O9="Productivitate sub medie","Dezvoltare oameni",IF($O9="Fără vânzări înregistrate","Proces / operațional","Productivitate vânzări")))))</f>
        <v/>
      </c>
      <c r="Q9" s="24">
        <f>IF($A9="","",IFERROR(IF($O9="Sub țintă",MAX(0,$M9-$F9),IF($O9="Portofoliu în scădere",MAX(0,$G9-$F9),$F9*0.15)),""))</f>
        <v/>
      </c>
    </row>
    <row r="10">
      <c r="A10" s="39">
        <f>IF('12_OAMENI'!$A10="","",'12_OAMENI'!$A10)</f>
        <v/>
      </c>
      <c r="B10" s="39">
        <f>IF($A10="","",IFERROR(INDEX('12_OAMENI'!$B$5:$B$64,MATCH($A10,'12_OAMENI'!$A$5:$A$64,0)),""))</f>
        <v/>
      </c>
      <c r="C10" s="39">
        <f>IF($A10="","",IFERROR(INDEX('12_OAMENI'!$C$5:$C$64,MATCH($A10,'12_OAMENI'!$A$5:$A$64,0)),""))</f>
        <v/>
      </c>
      <c r="D10" s="39">
        <f>IF($A10="","",IFERROR(INDEX('12_OAMENI'!$D$5:$D$64,MATCH($A10,'12_OAMENI'!$A$5:$A$64,0)),""))</f>
        <v/>
      </c>
      <c r="E10" s="48">
        <f>IF($A10="","",IFERROR(INDEX('12_OAMENI'!$E$5:$E$64,MATCH($A10,'12_OAMENI'!$A$5:$A$64,0)),""))</f>
        <v/>
      </c>
      <c r="F10" s="24">
        <f>IF($A10="","",SUMIFS('13_VANZARI'!$H$5:$H$1004,'13_VANZARI'!$F$5:$F$1004,$A10,'13_VANZARI'!$A$5:$A$1004,"&gt;="&amp;'09_PARAMETRI'!$B$5,'13_VANZARI'!$A$5:$A$1004,"&lt;="&amp;'09_PARAMETRI'!$B$6))</f>
        <v/>
      </c>
      <c r="G10" s="24">
        <f>IF($A10="","",SUMIFS('13_VANZARI'!$H$5:$H$1004,'13_VANZARI'!$F$5:$F$1004,$A10,'13_VANZARI'!$A$5:$A$1004,"&gt;="&amp;'09_PARAMETRI'!$B$7,'13_VANZARI'!$A$5:$A$1004,"&lt;="&amp;'09_PARAMETRI'!$B$8))</f>
        <v/>
      </c>
      <c r="H10" s="25">
        <f>IF($A10="","",IFERROR(IF($G10=0,"",($F10-$G10)/ABS($G10)),""))</f>
        <v/>
      </c>
      <c r="I10" s="24">
        <f>IF($A10="","",SUMIFS('13_VANZARI'!$K$5:$K$1004,'13_VANZARI'!$F$5:$F$1004,$A10,'13_VANZARI'!$A$5:$A$1004,"&gt;="&amp;'09_PARAMETRI'!$B$5,'13_VANZARI'!$A$5:$A$1004,"&lt;="&amp;'09_PARAMETRI'!$B$6))</f>
        <v/>
      </c>
      <c r="J10" s="25">
        <f>IF($A10="","",IFERROR($I10/$F10,""))</f>
        <v/>
      </c>
      <c r="K10" s="24">
        <f>IF($A10="","",SUMPRODUCT(('10_CLIENTI'!$A$5:$A$204&lt;&gt;"")*(SUMIFS('13_VANZARI'!$H$5:$H$1004,'13_VANZARI'!$F$5:$F$1004,$A10,'13_VANZARI'!$D$5:$D$1004,'10_CLIENTI'!$A$5:$A$204,'13_VANZARI'!$A$5:$A$1004,"&gt;="&amp;'09_PARAMETRI'!$B$5,'13_VANZARI'!$A$5:$A$1004,"&lt;="&amp;'09_PARAMETRI'!$B$6)&lt;&gt;0)))</f>
        <v/>
      </c>
      <c r="L10" s="24">
        <f>IF($A10="","",IFERROR($F10/$E10,""))</f>
        <v/>
      </c>
      <c r="M10" s="24">
        <f>IF($A10="","",SUMIFS('14_TINTE'!$E$5:$E$304,'14_TINTE'!$A$5:$A$304,"&gt;="&amp;'09_PARAMETRI'!$B$5,'14_TINTE'!$A$5:$A$304,"&lt;="&amp;'09_PARAMETRI'!$B$6,'14_TINTE'!$D$5:$D$304,"Venit",'14_TINTE'!$B$5:$B$304,"Persoană",'14_TINTE'!$C$5:$C$304,$A10))</f>
        <v/>
      </c>
      <c r="N10" s="25">
        <f>IF($A10="","",IFERROR(IF($M10=0,"",$F10/$M10),""))</f>
        <v/>
      </c>
      <c r="O10" s="39">
        <f>IF($A10="","",IF(AND($N10&lt;&gt;"",$N10&lt;'09_PARAMETRI'!$B$18,$M10&gt;0),"Sub țintă",IF(AND($H10&lt;&gt;"",$H10&lt;='09_PARAMETRI'!$B$13),"Portofoliu în scădere",IF(AND($F10&gt;0,$L10&lt;&gt;"",$L10&lt;IFERROR(AVERAGE($L$5:$L$64),0)*0.7),"Productivitate sub medie",IF($F10=0,"Fără vânzări înregistrate","În parametri")))))</f>
        <v/>
      </c>
      <c r="P10" s="39">
        <f>IF($A10="","",IF($O10="Sub țintă","Gap față de țintă",IF($O10="Portofoliu în scădere","Productivitate vânzări",IF($O10="Productivitate sub medie","Dezvoltare oameni",IF($O10="Fără vânzări înregistrate","Proces / operațional","Productivitate vânzări")))))</f>
        <v/>
      </c>
      <c r="Q10" s="24">
        <f>IF($A10="","",IFERROR(IF($O10="Sub țintă",MAX(0,$M10-$F10),IF($O10="Portofoliu în scădere",MAX(0,$G10-$F10),$F10*0.15)),""))</f>
        <v/>
      </c>
    </row>
    <row r="11">
      <c r="A11" s="39">
        <f>IF('12_OAMENI'!$A11="","",'12_OAMENI'!$A11)</f>
        <v/>
      </c>
      <c r="B11" s="39">
        <f>IF($A11="","",IFERROR(INDEX('12_OAMENI'!$B$5:$B$64,MATCH($A11,'12_OAMENI'!$A$5:$A$64,0)),""))</f>
        <v/>
      </c>
      <c r="C11" s="39">
        <f>IF($A11="","",IFERROR(INDEX('12_OAMENI'!$C$5:$C$64,MATCH($A11,'12_OAMENI'!$A$5:$A$64,0)),""))</f>
        <v/>
      </c>
      <c r="D11" s="39">
        <f>IF($A11="","",IFERROR(INDEX('12_OAMENI'!$D$5:$D$64,MATCH($A11,'12_OAMENI'!$A$5:$A$64,0)),""))</f>
        <v/>
      </c>
      <c r="E11" s="48">
        <f>IF($A11="","",IFERROR(INDEX('12_OAMENI'!$E$5:$E$64,MATCH($A11,'12_OAMENI'!$A$5:$A$64,0)),""))</f>
        <v/>
      </c>
      <c r="F11" s="24">
        <f>IF($A11="","",SUMIFS('13_VANZARI'!$H$5:$H$1004,'13_VANZARI'!$F$5:$F$1004,$A11,'13_VANZARI'!$A$5:$A$1004,"&gt;="&amp;'09_PARAMETRI'!$B$5,'13_VANZARI'!$A$5:$A$1004,"&lt;="&amp;'09_PARAMETRI'!$B$6))</f>
        <v/>
      </c>
      <c r="G11" s="24">
        <f>IF($A11="","",SUMIFS('13_VANZARI'!$H$5:$H$1004,'13_VANZARI'!$F$5:$F$1004,$A11,'13_VANZARI'!$A$5:$A$1004,"&gt;="&amp;'09_PARAMETRI'!$B$7,'13_VANZARI'!$A$5:$A$1004,"&lt;="&amp;'09_PARAMETRI'!$B$8))</f>
        <v/>
      </c>
      <c r="H11" s="25">
        <f>IF($A11="","",IFERROR(IF($G11=0,"",($F11-$G11)/ABS($G11)),""))</f>
        <v/>
      </c>
      <c r="I11" s="24">
        <f>IF($A11="","",SUMIFS('13_VANZARI'!$K$5:$K$1004,'13_VANZARI'!$F$5:$F$1004,$A11,'13_VANZARI'!$A$5:$A$1004,"&gt;="&amp;'09_PARAMETRI'!$B$5,'13_VANZARI'!$A$5:$A$1004,"&lt;="&amp;'09_PARAMETRI'!$B$6))</f>
        <v/>
      </c>
      <c r="J11" s="25">
        <f>IF($A11="","",IFERROR($I11/$F11,""))</f>
        <v/>
      </c>
      <c r="K11" s="24">
        <f>IF($A11="","",SUMPRODUCT(('10_CLIENTI'!$A$5:$A$204&lt;&gt;"")*(SUMIFS('13_VANZARI'!$H$5:$H$1004,'13_VANZARI'!$F$5:$F$1004,$A11,'13_VANZARI'!$D$5:$D$1004,'10_CLIENTI'!$A$5:$A$204,'13_VANZARI'!$A$5:$A$1004,"&gt;="&amp;'09_PARAMETRI'!$B$5,'13_VANZARI'!$A$5:$A$1004,"&lt;="&amp;'09_PARAMETRI'!$B$6)&lt;&gt;0)))</f>
        <v/>
      </c>
      <c r="L11" s="24">
        <f>IF($A11="","",IFERROR($F11/$E11,""))</f>
        <v/>
      </c>
      <c r="M11" s="24">
        <f>IF($A11="","",SUMIFS('14_TINTE'!$E$5:$E$304,'14_TINTE'!$A$5:$A$304,"&gt;="&amp;'09_PARAMETRI'!$B$5,'14_TINTE'!$A$5:$A$304,"&lt;="&amp;'09_PARAMETRI'!$B$6,'14_TINTE'!$D$5:$D$304,"Venit",'14_TINTE'!$B$5:$B$304,"Persoană",'14_TINTE'!$C$5:$C$304,$A11))</f>
        <v/>
      </c>
      <c r="N11" s="25">
        <f>IF($A11="","",IFERROR(IF($M11=0,"",$F11/$M11),""))</f>
        <v/>
      </c>
      <c r="O11" s="39">
        <f>IF($A11="","",IF(AND($N11&lt;&gt;"",$N11&lt;'09_PARAMETRI'!$B$18,$M11&gt;0),"Sub țintă",IF(AND($H11&lt;&gt;"",$H11&lt;='09_PARAMETRI'!$B$13),"Portofoliu în scădere",IF(AND($F11&gt;0,$L11&lt;&gt;"",$L11&lt;IFERROR(AVERAGE($L$5:$L$64),0)*0.7),"Productivitate sub medie",IF($F11=0,"Fără vânzări înregistrate","În parametri")))))</f>
        <v/>
      </c>
      <c r="P11" s="39">
        <f>IF($A11="","",IF($O11="Sub țintă","Gap față de țintă",IF($O11="Portofoliu în scădere","Productivitate vânzări",IF($O11="Productivitate sub medie","Dezvoltare oameni",IF($O11="Fără vânzări înregistrate","Proces / operațional","Productivitate vânzări")))))</f>
        <v/>
      </c>
      <c r="Q11" s="24">
        <f>IF($A11="","",IFERROR(IF($O11="Sub țintă",MAX(0,$M11-$F11),IF($O11="Portofoliu în scădere",MAX(0,$G11-$F11),$F11*0.15)),""))</f>
        <v/>
      </c>
    </row>
    <row r="12">
      <c r="A12" s="39">
        <f>IF('12_OAMENI'!$A12="","",'12_OAMENI'!$A12)</f>
        <v/>
      </c>
      <c r="B12" s="39">
        <f>IF($A12="","",IFERROR(INDEX('12_OAMENI'!$B$5:$B$64,MATCH($A12,'12_OAMENI'!$A$5:$A$64,0)),""))</f>
        <v/>
      </c>
      <c r="C12" s="39">
        <f>IF($A12="","",IFERROR(INDEX('12_OAMENI'!$C$5:$C$64,MATCH($A12,'12_OAMENI'!$A$5:$A$64,0)),""))</f>
        <v/>
      </c>
      <c r="D12" s="39">
        <f>IF($A12="","",IFERROR(INDEX('12_OAMENI'!$D$5:$D$64,MATCH($A12,'12_OAMENI'!$A$5:$A$64,0)),""))</f>
        <v/>
      </c>
      <c r="E12" s="48">
        <f>IF($A12="","",IFERROR(INDEX('12_OAMENI'!$E$5:$E$64,MATCH($A12,'12_OAMENI'!$A$5:$A$64,0)),""))</f>
        <v/>
      </c>
      <c r="F12" s="24">
        <f>IF($A12="","",SUMIFS('13_VANZARI'!$H$5:$H$1004,'13_VANZARI'!$F$5:$F$1004,$A12,'13_VANZARI'!$A$5:$A$1004,"&gt;="&amp;'09_PARAMETRI'!$B$5,'13_VANZARI'!$A$5:$A$1004,"&lt;="&amp;'09_PARAMETRI'!$B$6))</f>
        <v/>
      </c>
      <c r="G12" s="24">
        <f>IF($A12="","",SUMIFS('13_VANZARI'!$H$5:$H$1004,'13_VANZARI'!$F$5:$F$1004,$A12,'13_VANZARI'!$A$5:$A$1004,"&gt;="&amp;'09_PARAMETRI'!$B$7,'13_VANZARI'!$A$5:$A$1004,"&lt;="&amp;'09_PARAMETRI'!$B$8))</f>
        <v/>
      </c>
      <c r="H12" s="25">
        <f>IF($A12="","",IFERROR(IF($G12=0,"",($F12-$G12)/ABS($G12)),""))</f>
        <v/>
      </c>
      <c r="I12" s="24">
        <f>IF($A12="","",SUMIFS('13_VANZARI'!$K$5:$K$1004,'13_VANZARI'!$F$5:$F$1004,$A12,'13_VANZARI'!$A$5:$A$1004,"&gt;="&amp;'09_PARAMETRI'!$B$5,'13_VANZARI'!$A$5:$A$1004,"&lt;="&amp;'09_PARAMETRI'!$B$6))</f>
        <v/>
      </c>
      <c r="J12" s="25">
        <f>IF($A12="","",IFERROR($I12/$F12,""))</f>
        <v/>
      </c>
      <c r="K12" s="24">
        <f>IF($A12="","",SUMPRODUCT(('10_CLIENTI'!$A$5:$A$204&lt;&gt;"")*(SUMIFS('13_VANZARI'!$H$5:$H$1004,'13_VANZARI'!$F$5:$F$1004,$A12,'13_VANZARI'!$D$5:$D$1004,'10_CLIENTI'!$A$5:$A$204,'13_VANZARI'!$A$5:$A$1004,"&gt;="&amp;'09_PARAMETRI'!$B$5,'13_VANZARI'!$A$5:$A$1004,"&lt;="&amp;'09_PARAMETRI'!$B$6)&lt;&gt;0)))</f>
        <v/>
      </c>
      <c r="L12" s="24">
        <f>IF($A12="","",IFERROR($F12/$E12,""))</f>
        <v/>
      </c>
      <c r="M12" s="24">
        <f>IF($A12="","",SUMIFS('14_TINTE'!$E$5:$E$304,'14_TINTE'!$A$5:$A$304,"&gt;="&amp;'09_PARAMETRI'!$B$5,'14_TINTE'!$A$5:$A$304,"&lt;="&amp;'09_PARAMETRI'!$B$6,'14_TINTE'!$D$5:$D$304,"Venit",'14_TINTE'!$B$5:$B$304,"Persoană",'14_TINTE'!$C$5:$C$304,$A12))</f>
        <v/>
      </c>
      <c r="N12" s="25">
        <f>IF($A12="","",IFERROR(IF($M12=0,"",$F12/$M12),""))</f>
        <v/>
      </c>
      <c r="O12" s="39">
        <f>IF($A12="","",IF(AND($N12&lt;&gt;"",$N12&lt;'09_PARAMETRI'!$B$18,$M12&gt;0),"Sub țintă",IF(AND($H12&lt;&gt;"",$H12&lt;='09_PARAMETRI'!$B$13),"Portofoliu în scădere",IF(AND($F12&gt;0,$L12&lt;&gt;"",$L12&lt;IFERROR(AVERAGE($L$5:$L$64),0)*0.7),"Productivitate sub medie",IF($F12=0,"Fără vânzări înregistrate","În parametri")))))</f>
        <v/>
      </c>
      <c r="P12" s="39">
        <f>IF($A12="","",IF($O12="Sub țintă","Gap față de țintă",IF($O12="Portofoliu în scădere","Productivitate vânzări",IF($O12="Productivitate sub medie","Dezvoltare oameni",IF($O12="Fără vânzări înregistrate","Proces / operațional","Productivitate vânzări")))))</f>
        <v/>
      </c>
      <c r="Q12" s="24">
        <f>IF($A12="","",IFERROR(IF($O12="Sub țintă",MAX(0,$M12-$F12),IF($O12="Portofoliu în scădere",MAX(0,$G12-$F12),$F12*0.15)),""))</f>
        <v/>
      </c>
    </row>
    <row r="13">
      <c r="A13" s="39">
        <f>IF('12_OAMENI'!$A13="","",'12_OAMENI'!$A13)</f>
        <v/>
      </c>
      <c r="B13" s="39">
        <f>IF($A13="","",IFERROR(INDEX('12_OAMENI'!$B$5:$B$64,MATCH($A13,'12_OAMENI'!$A$5:$A$64,0)),""))</f>
        <v/>
      </c>
      <c r="C13" s="39">
        <f>IF($A13="","",IFERROR(INDEX('12_OAMENI'!$C$5:$C$64,MATCH($A13,'12_OAMENI'!$A$5:$A$64,0)),""))</f>
        <v/>
      </c>
      <c r="D13" s="39">
        <f>IF($A13="","",IFERROR(INDEX('12_OAMENI'!$D$5:$D$64,MATCH($A13,'12_OAMENI'!$A$5:$A$64,0)),""))</f>
        <v/>
      </c>
      <c r="E13" s="48">
        <f>IF($A13="","",IFERROR(INDEX('12_OAMENI'!$E$5:$E$64,MATCH($A13,'12_OAMENI'!$A$5:$A$64,0)),""))</f>
        <v/>
      </c>
      <c r="F13" s="24">
        <f>IF($A13="","",SUMIFS('13_VANZARI'!$H$5:$H$1004,'13_VANZARI'!$F$5:$F$1004,$A13,'13_VANZARI'!$A$5:$A$1004,"&gt;="&amp;'09_PARAMETRI'!$B$5,'13_VANZARI'!$A$5:$A$1004,"&lt;="&amp;'09_PARAMETRI'!$B$6))</f>
        <v/>
      </c>
      <c r="G13" s="24">
        <f>IF($A13="","",SUMIFS('13_VANZARI'!$H$5:$H$1004,'13_VANZARI'!$F$5:$F$1004,$A13,'13_VANZARI'!$A$5:$A$1004,"&gt;="&amp;'09_PARAMETRI'!$B$7,'13_VANZARI'!$A$5:$A$1004,"&lt;="&amp;'09_PARAMETRI'!$B$8))</f>
        <v/>
      </c>
      <c r="H13" s="25">
        <f>IF($A13="","",IFERROR(IF($G13=0,"",($F13-$G13)/ABS($G13)),""))</f>
        <v/>
      </c>
      <c r="I13" s="24">
        <f>IF($A13="","",SUMIFS('13_VANZARI'!$K$5:$K$1004,'13_VANZARI'!$F$5:$F$1004,$A13,'13_VANZARI'!$A$5:$A$1004,"&gt;="&amp;'09_PARAMETRI'!$B$5,'13_VANZARI'!$A$5:$A$1004,"&lt;="&amp;'09_PARAMETRI'!$B$6))</f>
        <v/>
      </c>
      <c r="J13" s="25">
        <f>IF($A13="","",IFERROR($I13/$F13,""))</f>
        <v/>
      </c>
      <c r="K13" s="24">
        <f>IF($A13="","",SUMPRODUCT(('10_CLIENTI'!$A$5:$A$204&lt;&gt;"")*(SUMIFS('13_VANZARI'!$H$5:$H$1004,'13_VANZARI'!$F$5:$F$1004,$A13,'13_VANZARI'!$D$5:$D$1004,'10_CLIENTI'!$A$5:$A$204,'13_VANZARI'!$A$5:$A$1004,"&gt;="&amp;'09_PARAMETRI'!$B$5,'13_VANZARI'!$A$5:$A$1004,"&lt;="&amp;'09_PARAMETRI'!$B$6)&lt;&gt;0)))</f>
        <v/>
      </c>
      <c r="L13" s="24">
        <f>IF($A13="","",IFERROR($F13/$E13,""))</f>
        <v/>
      </c>
      <c r="M13" s="24">
        <f>IF($A13="","",SUMIFS('14_TINTE'!$E$5:$E$304,'14_TINTE'!$A$5:$A$304,"&gt;="&amp;'09_PARAMETRI'!$B$5,'14_TINTE'!$A$5:$A$304,"&lt;="&amp;'09_PARAMETRI'!$B$6,'14_TINTE'!$D$5:$D$304,"Venit",'14_TINTE'!$B$5:$B$304,"Persoană",'14_TINTE'!$C$5:$C$304,$A13))</f>
        <v/>
      </c>
      <c r="N13" s="25">
        <f>IF($A13="","",IFERROR(IF($M13=0,"",$F13/$M13),""))</f>
        <v/>
      </c>
      <c r="O13" s="39">
        <f>IF($A13="","",IF(AND($N13&lt;&gt;"",$N13&lt;'09_PARAMETRI'!$B$18,$M13&gt;0),"Sub țintă",IF(AND($H13&lt;&gt;"",$H13&lt;='09_PARAMETRI'!$B$13),"Portofoliu în scădere",IF(AND($F13&gt;0,$L13&lt;&gt;"",$L13&lt;IFERROR(AVERAGE($L$5:$L$64),0)*0.7),"Productivitate sub medie",IF($F13=0,"Fără vânzări înregistrate","În parametri")))))</f>
        <v/>
      </c>
      <c r="P13" s="39">
        <f>IF($A13="","",IF($O13="Sub țintă","Gap față de țintă",IF($O13="Portofoliu în scădere","Productivitate vânzări",IF($O13="Productivitate sub medie","Dezvoltare oameni",IF($O13="Fără vânzări înregistrate","Proces / operațional","Productivitate vânzări")))))</f>
        <v/>
      </c>
      <c r="Q13" s="24">
        <f>IF($A13="","",IFERROR(IF($O13="Sub țintă",MAX(0,$M13-$F13),IF($O13="Portofoliu în scădere",MAX(0,$G13-$F13),$F13*0.15)),""))</f>
        <v/>
      </c>
    </row>
    <row r="14">
      <c r="A14" s="39">
        <f>IF('12_OAMENI'!$A14="","",'12_OAMENI'!$A14)</f>
        <v/>
      </c>
      <c r="B14" s="39">
        <f>IF($A14="","",IFERROR(INDEX('12_OAMENI'!$B$5:$B$64,MATCH($A14,'12_OAMENI'!$A$5:$A$64,0)),""))</f>
        <v/>
      </c>
      <c r="C14" s="39">
        <f>IF($A14="","",IFERROR(INDEX('12_OAMENI'!$C$5:$C$64,MATCH($A14,'12_OAMENI'!$A$5:$A$64,0)),""))</f>
        <v/>
      </c>
      <c r="D14" s="39">
        <f>IF($A14="","",IFERROR(INDEX('12_OAMENI'!$D$5:$D$64,MATCH($A14,'12_OAMENI'!$A$5:$A$64,0)),""))</f>
        <v/>
      </c>
      <c r="E14" s="48">
        <f>IF($A14="","",IFERROR(INDEX('12_OAMENI'!$E$5:$E$64,MATCH($A14,'12_OAMENI'!$A$5:$A$64,0)),""))</f>
        <v/>
      </c>
      <c r="F14" s="24">
        <f>IF($A14="","",SUMIFS('13_VANZARI'!$H$5:$H$1004,'13_VANZARI'!$F$5:$F$1004,$A14,'13_VANZARI'!$A$5:$A$1004,"&gt;="&amp;'09_PARAMETRI'!$B$5,'13_VANZARI'!$A$5:$A$1004,"&lt;="&amp;'09_PARAMETRI'!$B$6))</f>
        <v/>
      </c>
      <c r="G14" s="24">
        <f>IF($A14="","",SUMIFS('13_VANZARI'!$H$5:$H$1004,'13_VANZARI'!$F$5:$F$1004,$A14,'13_VANZARI'!$A$5:$A$1004,"&gt;="&amp;'09_PARAMETRI'!$B$7,'13_VANZARI'!$A$5:$A$1004,"&lt;="&amp;'09_PARAMETRI'!$B$8))</f>
        <v/>
      </c>
      <c r="H14" s="25">
        <f>IF($A14="","",IFERROR(IF($G14=0,"",($F14-$G14)/ABS($G14)),""))</f>
        <v/>
      </c>
      <c r="I14" s="24">
        <f>IF($A14="","",SUMIFS('13_VANZARI'!$K$5:$K$1004,'13_VANZARI'!$F$5:$F$1004,$A14,'13_VANZARI'!$A$5:$A$1004,"&gt;="&amp;'09_PARAMETRI'!$B$5,'13_VANZARI'!$A$5:$A$1004,"&lt;="&amp;'09_PARAMETRI'!$B$6))</f>
        <v/>
      </c>
      <c r="J14" s="25">
        <f>IF($A14="","",IFERROR($I14/$F14,""))</f>
        <v/>
      </c>
      <c r="K14" s="24">
        <f>IF($A14="","",SUMPRODUCT(('10_CLIENTI'!$A$5:$A$204&lt;&gt;"")*(SUMIFS('13_VANZARI'!$H$5:$H$1004,'13_VANZARI'!$F$5:$F$1004,$A14,'13_VANZARI'!$D$5:$D$1004,'10_CLIENTI'!$A$5:$A$204,'13_VANZARI'!$A$5:$A$1004,"&gt;="&amp;'09_PARAMETRI'!$B$5,'13_VANZARI'!$A$5:$A$1004,"&lt;="&amp;'09_PARAMETRI'!$B$6)&lt;&gt;0)))</f>
        <v/>
      </c>
      <c r="L14" s="24">
        <f>IF($A14="","",IFERROR($F14/$E14,""))</f>
        <v/>
      </c>
      <c r="M14" s="24">
        <f>IF($A14="","",SUMIFS('14_TINTE'!$E$5:$E$304,'14_TINTE'!$A$5:$A$304,"&gt;="&amp;'09_PARAMETRI'!$B$5,'14_TINTE'!$A$5:$A$304,"&lt;="&amp;'09_PARAMETRI'!$B$6,'14_TINTE'!$D$5:$D$304,"Venit",'14_TINTE'!$B$5:$B$304,"Persoană",'14_TINTE'!$C$5:$C$304,$A14))</f>
        <v/>
      </c>
      <c r="N14" s="25">
        <f>IF($A14="","",IFERROR(IF($M14=0,"",$F14/$M14),""))</f>
        <v/>
      </c>
      <c r="O14" s="39">
        <f>IF($A14="","",IF(AND($N14&lt;&gt;"",$N14&lt;'09_PARAMETRI'!$B$18,$M14&gt;0),"Sub țintă",IF(AND($H14&lt;&gt;"",$H14&lt;='09_PARAMETRI'!$B$13),"Portofoliu în scădere",IF(AND($F14&gt;0,$L14&lt;&gt;"",$L14&lt;IFERROR(AVERAGE($L$5:$L$64),0)*0.7),"Productivitate sub medie",IF($F14=0,"Fără vânzări înregistrate","În parametri")))))</f>
        <v/>
      </c>
      <c r="P14" s="39">
        <f>IF($A14="","",IF($O14="Sub țintă","Gap față de țintă",IF($O14="Portofoliu în scădere","Productivitate vânzări",IF($O14="Productivitate sub medie","Dezvoltare oameni",IF($O14="Fără vânzări înregistrate","Proces / operațional","Productivitate vânzări")))))</f>
        <v/>
      </c>
      <c r="Q14" s="24">
        <f>IF($A14="","",IFERROR(IF($O14="Sub țintă",MAX(0,$M14-$F14),IF($O14="Portofoliu în scădere",MAX(0,$G14-$F14),$F14*0.15)),""))</f>
        <v/>
      </c>
    </row>
    <row r="15">
      <c r="A15" s="39">
        <f>IF('12_OAMENI'!$A15="","",'12_OAMENI'!$A15)</f>
        <v/>
      </c>
      <c r="B15" s="39">
        <f>IF($A15="","",IFERROR(INDEX('12_OAMENI'!$B$5:$B$64,MATCH($A15,'12_OAMENI'!$A$5:$A$64,0)),""))</f>
        <v/>
      </c>
      <c r="C15" s="39">
        <f>IF($A15="","",IFERROR(INDEX('12_OAMENI'!$C$5:$C$64,MATCH($A15,'12_OAMENI'!$A$5:$A$64,0)),""))</f>
        <v/>
      </c>
      <c r="D15" s="39">
        <f>IF($A15="","",IFERROR(INDEX('12_OAMENI'!$D$5:$D$64,MATCH($A15,'12_OAMENI'!$A$5:$A$64,0)),""))</f>
        <v/>
      </c>
      <c r="E15" s="48">
        <f>IF($A15="","",IFERROR(INDEX('12_OAMENI'!$E$5:$E$64,MATCH($A15,'12_OAMENI'!$A$5:$A$64,0)),""))</f>
        <v/>
      </c>
      <c r="F15" s="24">
        <f>IF($A15="","",SUMIFS('13_VANZARI'!$H$5:$H$1004,'13_VANZARI'!$F$5:$F$1004,$A15,'13_VANZARI'!$A$5:$A$1004,"&gt;="&amp;'09_PARAMETRI'!$B$5,'13_VANZARI'!$A$5:$A$1004,"&lt;="&amp;'09_PARAMETRI'!$B$6))</f>
        <v/>
      </c>
      <c r="G15" s="24">
        <f>IF($A15="","",SUMIFS('13_VANZARI'!$H$5:$H$1004,'13_VANZARI'!$F$5:$F$1004,$A15,'13_VANZARI'!$A$5:$A$1004,"&gt;="&amp;'09_PARAMETRI'!$B$7,'13_VANZARI'!$A$5:$A$1004,"&lt;="&amp;'09_PARAMETRI'!$B$8))</f>
        <v/>
      </c>
      <c r="H15" s="25">
        <f>IF($A15="","",IFERROR(IF($G15=0,"",($F15-$G15)/ABS($G15)),""))</f>
        <v/>
      </c>
      <c r="I15" s="24">
        <f>IF($A15="","",SUMIFS('13_VANZARI'!$K$5:$K$1004,'13_VANZARI'!$F$5:$F$1004,$A15,'13_VANZARI'!$A$5:$A$1004,"&gt;="&amp;'09_PARAMETRI'!$B$5,'13_VANZARI'!$A$5:$A$1004,"&lt;="&amp;'09_PARAMETRI'!$B$6))</f>
        <v/>
      </c>
      <c r="J15" s="25">
        <f>IF($A15="","",IFERROR($I15/$F15,""))</f>
        <v/>
      </c>
      <c r="K15" s="24">
        <f>IF($A15="","",SUMPRODUCT(('10_CLIENTI'!$A$5:$A$204&lt;&gt;"")*(SUMIFS('13_VANZARI'!$H$5:$H$1004,'13_VANZARI'!$F$5:$F$1004,$A15,'13_VANZARI'!$D$5:$D$1004,'10_CLIENTI'!$A$5:$A$204,'13_VANZARI'!$A$5:$A$1004,"&gt;="&amp;'09_PARAMETRI'!$B$5,'13_VANZARI'!$A$5:$A$1004,"&lt;="&amp;'09_PARAMETRI'!$B$6)&lt;&gt;0)))</f>
        <v/>
      </c>
      <c r="L15" s="24">
        <f>IF($A15="","",IFERROR($F15/$E15,""))</f>
        <v/>
      </c>
      <c r="M15" s="24">
        <f>IF($A15="","",SUMIFS('14_TINTE'!$E$5:$E$304,'14_TINTE'!$A$5:$A$304,"&gt;="&amp;'09_PARAMETRI'!$B$5,'14_TINTE'!$A$5:$A$304,"&lt;="&amp;'09_PARAMETRI'!$B$6,'14_TINTE'!$D$5:$D$304,"Venit",'14_TINTE'!$B$5:$B$304,"Persoană",'14_TINTE'!$C$5:$C$304,$A15))</f>
        <v/>
      </c>
      <c r="N15" s="25">
        <f>IF($A15="","",IFERROR(IF($M15=0,"",$F15/$M15),""))</f>
        <v/>
      </c>
      <c r="O15" s="39">
        <f>IF($A15="","",IF(AND($N15&lt;&gt;"",$N15&lt;'09_PARAMETRI'!$B$18,$M15&gt;0),"Sub țintă",IF(AND($H15&lt;&gt;"",$H15&lt;='09_PARAMETRI'!$B$13),"Portofoliu în scădere",IF(AND($F15&gt;0,$L15&lt;&gt;"",$L15&lt;IFERROR(AVERAGE($L$5:$L$64),0)*0.7),"Productivitate sub medie",IF($F15=0,"Fără vânzări înregistrate","În parametri")))))</f>
        <v/>
      </c>
      <c r="P15" s="39">
        <f>IF($A15="","",IF($O15="Sub țintă","Gap față de țintă",IF($O15="Portofoliu în scădere","Productivitate vânzări",IF($O15="Productivitate sub medie","Dezvoltare oameni",IF($O15="Fără vânzări înregistrate","Proces / operațional","Productivitate vânzări")))))</f>
        <v/>
      </c>
      <c r="Q15" s="24">
        <f>IF($A15="","",IFERROR(IF($O15="Sub țintă",MAX(0,$M15-$F15),IF($O15="Portofoliu în scădere",MAX(0,$G15-$F15),$F15*0.15)),""))</f>
        <v/>
      </c>
    </row>
    <row r="16">
      <c r="A16" s="39">
        <f>IF('12_OAMENI'!$A16="","",'12_OAMENI'!$A16)</f>
        <v/>
      </c>
      <c r="B16" s="39">
        <f>IF($A16="","",IFERROR(INDEX('12_OAMENI'!$B$5:$B$64,MATCH($A16,'12_OAMENI'!$A$5:$A$64,0)),""))</f>
        <v/>
      </c>
      <c r="C16" s="39">
        <f>IF($A16="","",IFERROR(INDEX('12_OAMENI'!$C$5:$C$64,MATCH($A16,'12_OAMENI'!$A$5:$A$64,0)),""))</f>
        <v/>
      </c>
      <c r="D16" s="39">
        <f>IF($A16="","",IFERROR(INDEX('12_OAMENI'!$D$5:$D$64,MATCH($A16,'12_OAMENI'!$A$5:$A$64,0)),""))</f>
        <v/>
      </c>
      <c r="E16" s="48">
        <f>IF($A16="","",IFERROR(INDEX('12_OAMENI'!$E$5:$E$64,MATCH($A16,'12_OAMENI'!$A$5:$A$64,0)),""))</f>
        <v/>
      </c>
      <c r="F16" s="24">
        <f>IF($A16="","",SUMIFS('13_VANZARI'!$H$5:$H$1004,'13_VANZARI'!$F$5:$F$1004,$A16,'13_VANZARI'!$A$5:$A$1004,"&gt;="&amp;'09_PARAMETRI'!$B$5,'13_VANZARI'!$A$5:$A$1004,"&lt;="&amp;'09_PARAMETRI'!$B$6))</f>
        <v/>
      </c>
      <c r="G16" s="24">
        <f>IF($A16="","",SUMIFS('13_VANZARI'!$H$5:$H$1004,'13_VANZARI'!$F$5:$F$1004,$A16,'13_VANZARI'!$A$5:$A$1004,"&gt;="&amp;'09_PARAMETRI'!$B$7,'13_VANZARI'!$A$5:$A$1004,"&lt;="&amp;'09_PARAMETRI'!$B$8))</f>
        <v/>
      </c>
      <c r="H16" s="25">
        <f>IF($A16="","",IFERROR(IF($G16=0,"",($F16-$G16)/ABS($G16)),""))</f>
        <v/>
      </c>
      <c r="I16" s="24">
        <f>IF($A16="","",SUMIFS('13_VANZARI'!$K$5:$K$1004,'13_VANZARI'!$F$5:$F$1004,$A16,'13_VANZARI'!$A$5:$A$1004,"&gt;="&amp;'09_PARAMETRI'!$B$5,'13_VANZARI'!$A$5:$A$1004,"&lt;="&amp;'09_PARAMETRI'!$B$6))</f>
        <v/>
      </c>
      <c r="J16" s="25">
        <f>IF($A16="","",IFERROR($I16/$F16,""))</f>
        <v/>
      </c>
      <c r="K16" s="24">
        <f>IF($A16="","",SUMPRODUCT(('10_CLIENTI'!$A$5:$A$204&lt;&gt;"")*(SUMIFS('13_VANZARI'!$H$5:$H$1004,'13_VANZARI'!$F$5:$F$1004,$A16,'13_VANZARI'!$D$5:$D$1004,'10_CLIENTI'!$A$5:$A$204,'13_VANZARI'!$A$5:$A$1004,"&gt;="&amp;'09_PARAMETRI'!$B$5,'13_VANZARI'!$A$5:$A$1004,"&lt;="&amp;'09_PARAMETRI'!$B$6)&lt;&gt;0)))</f>
        <v/>
      </c>
      <c r="L16" s="24">
        <f>IF($A16="","",IFERROR($F16/$E16,""))</f>
        <v/>
      </c>
      <c r="M16" s="24">
        <f>IF($A16="","",SUMIFS('14_TINTE'!$E$5:$E$304,'14_TINTE'!$A$5:$A$304,"&gt;="&amp;'09_PARAMETRI'!$B$5,'14_TINTE'!$A$5:$A$304,"&lt;="&amp;'09_PARAMETRI'!$B$6,'14_TINTE'!$D$5:$D$304,"Venit",'14_TINTE'!$B$5:$B$304,"Persoană",'14_TINTE'!$C$5:$C$304,$A16))</f>
        <v/>
      </c>
      <c r="N16" s="25">
        <f>IF($A16="","",IFERROR(IF($M16=0,"",$F16/$M16),""))</f>
        <v/>
      </c>
      <c r="O16" s="39">
        <f>IF($A16="","",IF(AND($N16&lt;&gt;"",$N16&lt;'09_PARAMETRI'!$B$18,$M16&gt;0),"Sub țintă",IF(AND($H16&lt;&gt;"",$H16&lt;='09_PARAMETRI'!$B$13),"Portofoliu în scădere",IF(AND($F16&gt;0,$L16&lt;&gt;"",$L16&lt;IFERROR(AVERAGE($L$5:$L$64),0)*0.7),"Productivitate sub medie",IF($F16=0,"Fără vânzări înregistrate","În parametri")))))</f>
        <v/>
      </c>
      <c r="P16" s="39">
        <f>IF($A16="","",IF($O16="Sub țintă","Gap față de țintă",IF($O16="Portofoliu în scădere","Productivitate vânzări",IF($O16="Productivitate sub medie","Dezvoltare oameni",IF($O16="Fără vânzări înregistrate","Proces / operațional","Productivitate vânzări")))))</f>
        <v/>
      </c>
      <c r="Q16" s="24">
        <f>IF($A16="","",IFERROR(IF($O16="Sub țintă",MAX(0,$M16-$F16),IF($O16="Portofoliu în scădere",MAX(0,$G16-$F16),$F16*0.15)),""))</f>
        <v/>
      </c>
    </row>
    <row r="17">
      <c r="A17" s="39">
        <f>IF('12_OAMENI'!$A17="","",'12_OAMENI'!$A17)</f>
        <v/>
      </c>
      <c r="B17" s="39">
        <f>IF($A17="","",IFERROR(INDEX('12_OAMENI'!$B$5:$B$64,MATCH($A17,'12_OAMENI'!$A$5:$A$64,0)),""))</f>
        <v/>
      </c>
      <c r="C17" s="39">
        <f>IF($A17="","",IFERROR(INDEX('12_OAMENI'!$C$5:$C$64,MATCH($A17,'12_OAMENI'!$A$5:$A$64,0)),""))</f>
        <v/>
      </c>
      <c r="D17" s="39">
        <f>IF($A17="","",IFERROR(INDEX('12_OAMENI'!$D$5:$D$64,MATCH($A17,'12_OAMENI'!$A$5:$A$64,0)),""))</f>
        <v/>
      </c>
      <c r="E17" s="48">
        <f>IF($A17="","",IFERROR(INDEX('12_OAMENI'!$E$5:$E$64,MATCH($A17,'12_OAMENI'!$A$5:$A$64,0)),""))</f>
        <v/>
      </c>
      <c r="F17" s="24">
        <f>IF($A17="","",SUMIFS('13_VANZARI'!$H$5:$H$1004,'13_VANZARI'!$F$5:$F$1004,$A17,'13_VANZARI'!$A$5:$A$1004,"&gt;="&amp;'09_PARAMETRI'!$B$5,'13_VANZARI'!$A$5:$A$1004,"&lt;="&amp;'09_PARAMETRI'!$B$6))</f>
        <v/>
      </c>
      <c r="G17" s="24">
        <f>IF($A17="","",SUMIFS('13_VANZARI'!$H$5:$H$1004,'13_VANZARI'!$F$5:$F$1004,$A17,'13_VANZARI'!$A$5:$A$1004,"&gt;="&amp;'09_PARAMETRI'!$B$7,'13_VANZARI'!$A$5:$A$1004,"&lt;="&amp;'09_PARAMETRI'!$B$8))</f>
        <v/>
      </c>
      <c r="H17" s="25">
        <f>IF($A17="","",IFERROR(IF($G17=0,"",($F17-$G17)/ABS($G17)),""))</f>
        <v/>
      </c>
      <c r="I17" s="24">
        <f>IF($A17="","",SUMIFS('13_VANZARI'!$K$5:$K$1004,'13_VANZARI'!$F$5:$F$1004,$A17,'13_VANZARI'!$A$5:$A$1004,"&gt;="&amp;'09_PARAMETRI'!$B$5,'13_VANZARI'!$A$5:$A$1004,"&lt;="&amp;'09_PARAMETRI'!$B$6))</f>
        <v/>
      </c>
      <c r="J17" s="25">
        <f>IF($A17="","",IFERROR($I17/$F17,""))</f>
        <v/>
      </c>
      <c r="K17" s="24">
        <f>IF($A17="","",SUMPRODUCT(('10_CLIENTI'!$A$5:$A$204&lt;&gt;"")*(SUMIFS('13_VANZARI'!$H$5:$H$1004,'13_VANZARI'!$F$5:$F$1004,$A17,'13_VANZARI'!$D$5:$D$1004,'10_CLIENTI'!$A$5:$A$204,'13_VANZARI'!$A$5:$A$1004,"&gt;="&amp;'09_PARAMETRI'!$B$5,'13_VANZARI'!$A$5:$A$1004,"&lt;="&amp;'09_PARAMETRI'!$B$6)&lt;&gt;0)))</f>
        <v/>
      </c>
      <c r="L17" s="24">
        <f>IF($A17="","",IFERROR($F17/$E17,""))</f>
        <v/>
      </c>
      <c r="M17" s="24">
        <f>IF($A17="","",SUMIFS('14_TINTE'!$E$5:$E$304,'14_TINTE'!$A$5:$A$304,"&gt;="&amp;'09_PARAMETRI'!$B$5,'14_TINTE'!$A$5:$A$304,"&lt;="&amp;'09_PARAMETRI'!$B$6,'14_TINTE'!$D$5:$D$304,"Venit",'14_TINTE'!$B$5:$B$304,"Persoană",'14_TINTE'!$C$5:$C$304,$A17))</f>
        <v/>
      </c>
      <c r="N17" s="25">
        <f>IF($A17="","",IFERROR(IF($M17=0,"",$F17/$M17),""))</f>
        <v/>
      </c>
      <c r="O17" s="39">
        <f>IF($A17="","",IF(AND($N17&lt;&gt;"",$N17&lt;'09_PARAMETRI'!$B$18,$M17&gt;0),"Sub țintă",IF(AND($H17&lt;&gt;"",$H17&lt;='09_PARAMETRI'!$B$13),"Portofoliu în scădere",IF(AND($F17&gt;0,$L17&lt;&gt;"",$L17&lt;IFERROR(AVERAGE($L$5:$L$64),0)*0.7),"Productivitate sub medie",IF($F17=0,"Fără vânzări înregistrate","În parametri")))))</f>
        <v/>
      </c>
      <c r="P17" s="39">
        <f>IF($A17="","",IF($O17="Sub țintă","Gap față de țintă",IF($O17="Portofoliu în scădere","Productivitate vânzări",IF($O17="Productivitate sub medie","Dezvoltare oameni",IF($O17="Fără vânzări înregistrate","Proces / operațional","Productivitate vânzări")))))</f>
        <v/>
      </c>
      <c r="Q17" s="24">
        <f>IF($A17="","",IFERROR(IF($O17="Sub țintă",MAX(0,$M17-$F17),IF($O17="Portofoliu în scădere",MAX(0,$G17-$F17),$F17*0.15)),""))</f>
        <v/>
      </c>
    </row>
    <row r="18">
      <c r="A18" s="39">
        <f>IF('12_OAMENI'!$A18="","",'12_OAMENI'!$A18)</f>
        <v/>
      </c>
      <c r="B18" s="39">
        <f>IF($A18="","",IFERROR(INDEX('12_OAMENI'!$B$5:$B$64,MATCH($A18,'12_OAMENI'!$A$5:$A$64,0)),""))</f>
        <v/>
      </c>
      <c r="C18" s="39">
        <f>IF($A18="","",IFERROR(INDEX('12_OAMENI'!$C$5:$C$64,MATCH($A18,'12_OAMENI'!$A$5:$A$64,0)),""))</f>
        <v/>
      </c>
      <c r="D18" s="39">
        <f>IF($A18="","",IFERROR(INDEX('12_OAMENI'!$D$5:$D$64,MATCH($A18,'12_OAMENI'!$A$5:$A$64,0)),""))</f>
        <v/>
      </c>
      <c r="E18" s="48">
        <f>IF($A18="","",IFERROR(INDEX('12_OAMENI'!$E$5:$E$64,MATCH($A18,'12_OAMENI'!$A$5:$A$64,0)),""))</f>
        <v/>
      </c>
      <c r="F18" s="24">
        <f>IF($A18="","",SUMIFS('13_VANZARI'!$H$5:$H$1004,'13_VANZARI'!$F$5:$F$1004,$A18,'13_VANZARI'!$A$5:$A$1004,"&gt;="&amp;'09_PARAMETRI'!$B$5,'13_VANZARI'!$A$5:$A$1004,"&lt;="&amp;'09_PARAMETRI'!$B$6))</f>
        <v/>
      </c>
      <c r="G18" s="24">
        <f>IF($A18="","",SUMIFS('13_VANZARI'!$H$5:$H$1004,'13_VANZARI'!$F$5:$F$1004,$A18,'13_VANZARI'!$A$5:$A$1004,"&gt;="&amp;'09_PARAMETRI'!$B$7,'13_VANZARI'!$A$5:$A$1004,"&lt;="&amp;'09_PARAMETRI'!$B$8))</f>
        <v/>
      </c>
      <c r="H18" s="25">
        <f>IF($A18="","",IFERROR(IF($G18=0,"",($F18-$G18)/ABS($G18)),""))</f>
        <v/>
      </c>
      <c r="I18" s="24">
        <f>IF($A18="","",SUMIFS('13_VANZARI'!$K$5:$K$1004,'13_VANZARI'!$F$5:$F$1004,$A18,'13_VANZARI'!$A$5:$A$1004,"&gt;="&amp;'09_PARAMETRI'!$B$5,'13_VANZARI'!$A$5:$A$1004,"&lt;="&amp;'09_PARAMETRI'!$B$6))</f>
        <v/>
      </c>
      <c r="J18" s="25">
        <f>IF($A18="","",IFERROR($I18/$F18,""))</f>
        <v/>
      </c>
      <c r="K18" s="24">
        <f>IF($A18="","",SUMPRODUCT(('10_CLIENTI'!$A$5:$A$204&lt;&gt;"")*(SUMIFS('13_VANZARI'!$H$5:$H$1004,'13_VANZARI'!$F$5:$F$1004,$A18,'13_VANZARI'!$D$5:$D$1004,'10_CLIENTI'!$A$5:$A$204,'13_VANZARI'!$A$5:$A$1004,"&gt;="&amp;'09_PARAMETRI'!$B$5,'13_VANZARI'!$A$5:$A$1004,"&lt;="&amp;'09_PARAMETRI'!$B$6)&lt;&gt;0)))</f>
        <v/>
      </c>
      <c r="L18" s="24">
        <f>IF($A18="","",IFERROR($F18/$E18,""))</f>
        <v/>
      </c>
      <c r="M18" s="24">
        <f>IF($A18="","",SUMIFS('14_TINTE'!$E$5:$E$304,'14_TINTE'!$A$5:$A$304,"&gt;="&amp;'09_PARAMETRI'!$B$5,'14_TINTE'!$A$5:$A$304,"&lt;="&amp;'09_PARAMETRI'!$B$6,'14_TINTE'!$D$5:$D$304,"Venit",'14_TINTE'!$B$5:$B$304,"Persoană",'14_TINTE'!$C$5:$C$304,$A18))</f>
        <v/>
      </c>
      <c r="N18" s="25">
        <f>IF($A18="","",IFERROR(IF($M18=0,"",$F18/$M18),""))</f>
        <v/>
      </c>
      <c r="O18" s="39">
        <f>IF($A18="","",IF(AND($N18&lt;&gt;"",$N18&lt;'09_PARAMETRI'!$B$18,$M18&gt;0),"Sub țintă",IF(AND($H18&lt;&gt;"",$H18&lt;='09_PARAMETRI'!$B$13),"Portofoliu în scădere",IF(AND($F18&gt;0,$L18&lt;&gt;"",$L18&lt;IFERROR(AVERAGE($L$5:$L$64),0)*0.7),"Productivitate sub medie",IF($F18=0,"Fără vânzări înregistrate","În parametri")))))</f>
        <v/>
      </c>
      <c r="P18" s="39">
        <f>IF($A18="","",IF($O18="Sub țintă","Gap față de țintă",IF($O18="Portofoliu în scădere","Productivitate vânzări",IF($O18="Productivitate sub medie","Dezvoltare oameni",IF($O18="Fără vânzări înregistrate","Proces / operațional","Productivitate vânzări")))))</f>
        <v/>
      </c>
      <c r="Q18" s="24">
        <f>IF($A18="","",IFERROR(IF($O18="Sub țintă",MAX(0,$M18-$F18),IF($O18="Portofoliu în scădere",MAX(0,$G18-$F18),$F18*0.15)),""))</f>
        <v/>
      </c>
    </row>
    <row r="19">
      <c r="A19" s="39">
        <f>IF('12_OAMENI'!$A19="","",'12_OAMENI'!$A19)</f>
        <v/>
      </c>
      <c r="B19" s="39">
        <f>IF($A19="","",IFERROR(INDEX('12_OAMENI'!$B$5:$B$64,MATCH($A19,'12_OAMENI'!$A$5:$A$64,0)),""))</f>
        <v/>
      </c>
      <c r="C19" s="39">
        <f>IF($A19="","",IFERROR(INDEX('12_OAMENI'!$C$5:$C$64,MATCH($A19,'12_OAMENI'!$A$5:$A$64,0)),""))</f>
        <v/>
      </c>
      <c r="D19" s="39">
        <f>IF($A19="","",IFERROR(INDEX('12_OAMENI'!$D$5:$D$64,MATCH($A19,'12_OAMENI'!$A$5:$A$64,0)),""))</f>
        <v/>
      </c>
      <c r="E19" s="48">
        <f>IF($A19="","",IFERROR(INDEX('12_OAMENI'!$E$5:$E$64,MATCH($A19,'12_OAMENI'!$A$5:$A$64,0)),""))</f>
        <v/>
      </c>
      <c r="F19" s="24">
        <f>IF($A19="","",SUMIFS('13_VANZARI'!$H$5:$H$1004,'13_VANZARI'!$F$5:$F$1004,$A19,'13_VANZARI'!$A$5:$A$1004,"&gt;="&amp;'09_PARAMETRI'!$B$5,'13_VANZARI'!$A$5:$A$1004,"&lt;="&amp;'09_PARAMETRI'!$B$6))</f>
        <v/>
      </c>
      <c r="G19" s="24">
        <f>IF($A19="","",SUMIFS('13_VANZARI'!$H$5:$H$1004,'13_VANZARI'!$F$5:$F$1004,$A19,'13_VANZARI'!$A$5:$A$1004,"&gt;="&amp;'09_PARAMETRI'!$B$7,'13_VANZARI'!$A$5:$A$1004,"&lt;="&amp;'09_PARAMETRI'!$B$8))</f>
        <v/>
      </c>
      <c r="H19" s="25">
        <f>IF($A19="","",IFERROR(IF($G19=0,"",($F19-$G19)/ABS($G19)),""))</f>
        <v/>
      </c>
      <c r="I19" s="24">
        <f>IF($A19="","",SUMIFS('13_VANZARI'!$K$5:$K$1004,'13_VANZARI'!$F$5:$F$1004,$A19,'13_VANZARI'!$A$5:$A$1004,"&gt;="&amp;'09_PARAMETRI'!$B$5,'13_VANZARI'!$A$5:$A$1004,"&lt;="&amp;'09_PARAMETRI'!$B$6))</f>
        <v/>
      </c>
      <c r="J19" s="25">
        <f>IF($A19="","",IFERROR($I19/$F19,""))</f>
        <v/>
      </c>
      <c r="K19" s="24">
        <f>IF($A19="","",SUMPRODUCT(('10_CLIENTI'!$A$5:$A$204&lt;&gt;"")*(SUMIFS('13_VANZARI'!$H$5:$H$1004,'13_VANZARI'!$F$5:$F$1004,$A19,'13_VANZARI'!$D$5:$D$1004,'10_CLIENTI'!$A$5:$A$204,'13_VANZARI'!$A$5:$A$1004,"&gt;="&amp;'09_PARAMETRI'!$B$5,'13_VANZARI'!$A$5:$A$1004,"&lt;="&amp;'09_PARAMETRI'!$B$6)&lt;&gt;0)))</f>
        <v/>
      </c>
      <c r="L19" s="24">
        <f>IF($A19="","",IFERROR($F19/$E19,""))</f>
        <v/>
      </c>
      <c r="M19" s="24">
        <f>IF($A19="","",SUMIFS('14_TINTE'!$E$5:$E$304,'14_TINTE'!$A$5:$A$304,"&gt;="&amp;'09_PARAMETRI'!$B$5,'14_TINTE'!$A$5:$A$304,"&lt;="&amp;'09_PARAMETRI'!$B$6,'14_TINTE'!$D$5:$D$304,"Venit",'14_TINTE'!$B$5:$B$304,"Persoană",'14_TINTE'!$C$5:$C$304,$A19))</f>
        <v/>
      </c>
      <c r="N19" s="25">
        <f>IF($A19="","",IFERROR(IF($M19=0,"",$F19/$M19),""))</f>
        <v/>
      </c>
      <c r="O19" s="39">
        <f>IF($A19="","",IF(AND($N19&lt;&gt;"",$N19&lt;'09_PARAMETRI'!$B$18,$M19&gt;0),"Sub țintă",IF(AND($H19&lt;&gt;"",$H19&lt;='09_PARAMETRI'!$B$13),"Portofoliu în scădere",IF(AND($F19&gt;0,$L19&lt;&gt;"",$L19&lt;IFERROR(AVERAGE($L$5:$L$64),0)*0.7),"Productivitate sub medie",IF($F19=0,"Fără vânzări înregistrate","În parametri")))))</f>
        <v/>
      </c>
      <c r="P19" s="39">
        <f>IF($A19="","",IF($O19="Sub țintă","Gap față de țintă",IF($O19="Portofoliu în scădere","Productivitate vânzări",IF($O19="Productivitate sub medie","Dezvoltare oameni",IF($O19="Fără vânzări înregistrate","Proces / operațional","Productivitate vânzări")))))</f>
        <v/>
      </c>
      <c r="Q19" s="24">
        <f>IF($A19="","",IFERROR(IF($O19="Sub țintă",MAX(0,$M19-$F19),IF($O19="Portofoliu în scădere",MAX(0,$G19-$F19),$F19*0.15)),""))</f>
        <v/>
      </c>
    </row>
    <row r="20">
      <c r="A20" s="39">
        <f>IF('12_OAMENI'!$A20="","",'12_OAMENI'!$A20)</f>
        <v/>
      </c>
      <c r="B20" s="39">
        <f>IF($A20="","",IFERROR(INDEX('12_OAMENI'!$B$5:$B$64,MATCH($A20,'12_OAMENI'!$A$5:$A$64,0)),""))</f>
        <v/>
      </c>
      <c r="C20" s="39">
        <f>IF($A20="","",IFERROR(INDEX('12_OAMENI'!$C$5:$C$64,MATCH($A20,'12_OAMENI'!$A$5:$A$64,0)),""))</f>
        <v/>
      </c>
      <c r="D20" s="39">
        <f>IF($A20="","",IFERROR(INDEX('12_OAMENI'!$D$5:$D$64,MATCH($A20,'12_OAMENI'!$A$5:$A$64,0)),""))</f>
        <v/>
      </c>
      <c r="E20" s="48">
        <f>IF($A20="","",IFERROR(INDEX('12_OAMENI'!$E$5:$E$64,MATCH($A20,'12_OAMENI'!$A$5:$A$64,0)),""))</f>
        <v/>
      </c>
      <c r="F20" s="24">
        <f>IF($A20="","",SUMIFS('13_VANZARI'!$H$5:$H$1004,'13_VANZARI'!$F$5:$F$1004,$A20,'13_VANZARI'!$A$5:$A$1004,"&gt;="&amp;'09_PARAMETRI'!$B$5,'13_VANZARI'!$A$5:$A$1004,"&lt;="&amp;'09_PARAMETRI'!$B$6))</f>
        <v/>
      </c>
      <c r="G20" s="24">
        <f>IF($A20="","",SUMIFS('13_VANZARI'!$H$5:$H$1004,'13_VANZARI'!$F$5:$F$1004,$A20,'13_VANZARI'!$A$5:$A$1004,"&gt;="&amp;'09_PARAMETRI'!$B$7,'13_VANZARI'!$A$5:$A$1004,"&lt;="&amp;'09_PARAMETRI'!$B$8))</f>
        <v/>
      </c>
      <c r="H20" s="25">
        <f>IF($A20="","",IFERROR(IF($G20=0,"",($F20-$G20)/ABS($G20)),""))</f>
        <v/>
      </c>
      <c r="I20" s="24">
        <f>IF($A20="","",SUMIFS('13_VANZARI'!$K$5:$K$1004,'13_VANZARI'!$F$5:$F$1004,$A20,'13_VANZARI'!$A$5:$A$1004,"&gt;="&amp;'09_PARAMETRI'!$B$5,'13_VANZARI'!$A$5:$A$1004,"&lt;="&amp;'09_PARAMETRI'!$B$6))</f>
        <v/>
      </c>
      <c r="J20" s="25">
        <f>IF($A20="","",IFERROR($I20/$F20,""))</f>
        <v/>
      </c>
      <c r="K20" s="24">
        <f>IF($A20="","",SUMPRODUCT(('10_CLIENTI'!$A$5:$A$204&lt;&gt;"")*(SUMIFS('13_VANZARI'!$H$5:$H$1004,'13_VANZARI'!$F$5:$F$1004,$A20,'13_VANZARI'!$D$5:$D$1004,'10_CLIENTI'!$A$5:$A$204,'13_VANZARI'!$A$5:$A$1004,"&gt;="&amp;'09_PARAMETRI'!$B$5,'13_VANZARI'!$A$5:$A$1004,"&lt;="&amp;'09_PARAMETRI'!$B$6)&lt;&gt;0)))</f>
        <v/>
      </c>
      <c r="L20" s="24">
        <f>IF($A20="","",IFERROR($F20/$E20,""))</f>
        <v/>
      </c>
      <c r="M20" s="24">
        <f>IF($A20="","",SUMIFS('14_TINTE'!$E$5:$E$304,'14_TINTE'!$A$5:$A$304,"&gt;="&amp;'09_PARAMETRI'!$B$5,'14_TINTE'!$A$5:$A$304,"&lt;="&amp;'09_PARAMETRI'!$B$6,'14_TINTE'!$D$5:$D$304,"Venit",'14_TINTE'!$B$5:$B$304,"Persoană",'14_TINTE'!$C$5:$C$304,$A20))</f>
        <v/>
      </c>
      <c r="N20" s="25">
        <f>IF($A20="","",IFERROR(IF($M20=0,"",$F20/$M20),""))</f>
        <v/>
      </c>
      <c r="O20" s="39">
        <f>IF($A20="","",IF(AND($N20&lt;&gt;"",$N20&lt;'09_PARAMETRI'!$B$18,$M20&gt;0),"Sub țintă",IF(AND($H20&lt;&gt;"",$H20&lt;='09_PARAMETRI'!$B$13),"Portofoliu în scădere",IF(AND($F20&gt;0,$L20&lt;&gt;"",$L20&lt;IFERROR(AVERAGE($L$5:$L$64),0)*0.7),"Productivitate sub medie",IF($F20=0,"Fără vânzări înregistrate","În parametri")))))</f>
        <v/>
      </c>
      <c r="P20" s="39">
        <f>IF($A20="","",IF($O20="Sub țintă","Gap față de țintă",IF($O20="Portofoliu în scădere","Productivitate vânzări",IF($O20="Productivitate sub medie","Dezvoltare oameni",IF($O20="Fără vânzări înregistrate","Proces / operațional","Productivitate vânzări")))))</f>
        <v/>
      </c>
      <c r="Q20" s="24">
        <f>IF($A20="","",IFERROR(IF($O20="Sub țintă",MAX(0,$M20-$F20),IF($O20="Portofoliu în scădere",MAX(0,$G20-$F20),$F20*0.15)),""))</f>
        <v/>
      </c>
    </row>
    <row r="21">
      <c r="A21" s="39">
        <f>IF('12_OAMENI'!$A21="","",'12_OAMENI'!$A21)</f>
        <v/>
      </c>
      <c r="B21" s="39">
        <f>IF($A21="","",IFERROR(INDEX('12_OAMENI'!$B$5:$B$64,MATCH($A21,'12_OAMENI'!$A$5:$A$64,0)),""))</f>
        <v/>
      </c>
      <c r="C21" s="39">
        <f>IF($A21="","",IFERROR(INDEX('12_OAMENI'!$C$5:$C$64,MATCH($A21,'12_OAMENI'!$A$5:$A$64,0)),""))</f>
        <v/>
      </c>
      <c r="D21" s="39">
        <f>IF($A21="","",IFERROR(INDEX('12_OAMENI'!$D$5:$D$64,MATCH($A21,'12_OAMENI'!$A$5:$A$64,0)),""))</f>
        <v/>
      </c>
      <c r="E21" s="48">
        <f>IF($A21="","",IFERROR(INDEX('12_OAMENI'!$E$5:$E$64,MATCH($A21,'12_OAMENI'!$A$5:$A$64,0)),""))</f>
        <v/>
      </c>
      <c r="F21" s="24">
        <f>IF($A21="","",SUMIFS('13_VANZARI'!$H$5:$H$1004,'13_VANZARI'!$F$5:$F$1004,$A21,'13_VANZARI'!$A$5:$A$1004,"&gt;="&amp;'09_PARAMETRI'!$B$5,'13_VANZARI'!$A$5:$A$1004,"&lt;="&amp;'09_PARAMETRI'!$B$6))</f>
        <v/>
      </c>
      <c r="G21" s="24">
        <f>IF($A21="","",SUMIFS('13_VANZARI'!$H$5:$H$1004,'13_VANZARI'!$F$5:$F$1004,$A21,'13_VANZARI'!$A$5:$A$1004,"&gt;="&amp;'09_PARAMETRI'!$B$7,'13_VANZARI'!$A$5:$A$1004,"&lt;="&amp;'09_PARAMETRI'!$B$8))</f>
        <v/>
      </c>
      <c r="H21" s="25">
        <f>IF($A21="","",IFERROR(IF($G21=0,"",($F21-$G21)/ABS($G21)),""))</f>
        <v/>
      </c>
      <c r="I21" s="24">
        <f>IF($A21="","",SUMIFS('13_VANZARI'!$K$5:$K$1004,'13_VANZARI'!$F$5:$F$1004,$A21,'13_VANZARI'!$A$5:$A$1004,"&gt;="&amp;'09_PARAMETRI'!$B$5,'13_VANZARI'!$A$5:$A$1004,"&lt;="&amp;'09_PARAMETRI'!$B$6))</f>
        <v/>
      </c>
      <c r="J21" s="25">
        <f>IF($A21="","",IFERROR($I21/$F21,""))</f>
        <v/>
      </c>
      <c r="K21" s="24">
        <f>IF($A21="","",SUMPRODUCT(('10_CLIENTI'!$A$5:$A$204&lt;&gt;"")*(SUMIFS('13_VANZARI'!$H$5:$H$1004,'13_VANZARI'!$F$5:$F$1004,$A21,'13_VANZARI'!$D$5:$D$1004,'10_CLIENTI'!$A$5:$A$204,'13_VANZARI'!$A$5:$A$1004,"&gt;="&amp;'09_PARAMETRI'!$B$5,'13_VANZARI'!$A$5:$A$1004,"&lt;="&amp;'09_PARAMETRI'!$B$6)&lt;&gt;0)))</f>
        <v/>
      </c>
      <c r="L21" s="24">
        <f>IF($A21="","",IFERROR($F21/$E21,""))</f>
        <v/>
      </c>
      <c r="M21" s="24">
        <f>IF($A21="","",SUMIFS('14_TINTE'!$E$5:$E$304,'14_TINTE'!$A$5:$A$304,"&gt;="&amp;'09_PARAMETRI'!$B$5,'14_TINTE'!$A$5:$A$304,"&lt;="&amp;'09_PARAMETRI'!$B$6,'14_TINTE'!$D$5:$D$304,"Venit",'14_TINTE'!$B$5:$B$304,"Persoană",'14_TINTE'!$C$5:$C$304,$A21))</f>
        <v/>
      </c>
      <c r="N21" s="25">
        <f>IF($A21="","",IFERROR(IF($M21=0,"",$F21/$M21),""))</f>
        <v/>
      </c>
      <c r="O21" s="39">
        <f>IF($A21="","",IF(AND($N21&lt;&gt;"",$N21&lt;'09_PARAMETRI'!$B$18,$M21&gt;0),"Sub țintă",IF(AND($H21&lt;&gt;"",$H21&lt;='09_PARAMETRI'!$B$13),"Portofoliu în scădere",IF(AND($F21&gt;0,$L21&lt;&gt;"",$L21&lt;IFERROR(AVERAGE($L$5:$L$64),0)*0.7),"Productivitate sub medie",IF($F21=0,"Fără vânzări înregistrate","În parametri")))))</f>
        <v/>
      </c>
      <c r="P21" s="39">
        <f>IF($A21="","",IF($O21="Sub țintă","Gap față de țintă",IF($O21="Portofoliu în scădere","Productivitate vânzări",IF($O21="Productivitate sub medie","Dezvoltare oameni",IF($O21="Fără vânzări înregistrate","Proces / operațional","Productivitate vânzări")))))</f>
        <v/>
      </c>
      <c r="Q21" s="24">
        <f>IF($A21="","",IFERROR(IF($O21="Sub țintă",MAX(0,$M21-$F21),IF($O21="Portofoliu în scădere",MAX(0,$G21-$F21),$F21*0.15)),""))</f>
        <v/>
      </c>
    </row>
    <row r="22">
      <c r="A22" s="39">
        <f>IF('12_OAMENI'!$A22="","",'12_OAMENI'!$A22)</f>
        <v/>
      </c>
      <c r="B22" s="39">
        <f>IF($A22="","",IFERROR(INDEX('12_OAMENI'!$B$5:$B$64,MATCH($A22,'12_OAMENI'!$A$5:$A$64,0)),""))</f>
        <v/>
      </c>
      <c r="C22" s="39">
        <f>IF($A22="","",IFERROR(INDEX('12_OAMENI'!$C$5:$C$64,MATCH($A22,'12_OAMENI'!$A$5:$A$64,0)),""))</f>
        <v/>
      </c>
      <c r="D22" s="39">
        <f>IF($A22="","",IFERROR(INDEX('12_OAMENI'!$D$5:$D$64,MATCH($A22,'12_OAMENI'!$A$5:$A$64,0)),""))</f>
        <v/>
      </c>
      <c r="E22" s="48">
        <f>IF($A22="","",IFERROR(INDEX('12_OAMENI'!$E$5:$E$64,MATCH($A22,'12_OAMENI'!$A$5:$A$64,0)),""))</f>
        <v/>
      </c>
      <c r="F22" s="24">
        <f>IF($A22="","",SUMIFS('13_VANZARI'!$H$5:$H$1004,'13_VANZARI'!$F$5:$F$1004,$A22,'13_VANZARI'!$A$5:$A$1004,"&gt;="&amp;'09_PARAMETRI'!$B$5,'13_VANZARI'!$A$5:$A$1004,"&lt;="&amp;'09_PARAMETRI'!$B$6))</f>
        <v/>
      </c>
      <c r="G22" s="24">
        <f>IF($A22="","",SUMIFS('13_VANZARI'!$H$5:$H$1004,'13_VANZARI'!$F$5:$F$1004,$A22,'13_VANZARI'!$A$5:$A$1004,"&gt;="&amp;'09_PARAMETRI'!$B$7,'13_VANZARI'!$A$5:$A$1004,"&lt;="&amp;'09_PARAMETRI'!$B$8))</f>
        <v/>
      </c>
      <c r="H22" s="25">
        <f>IF($A22="","",IFERROR(IF($G22=0,"",($F22-$G22)/ABS($G22)),""))</f>
        <v/>
      </c>
      <c r="I22" s="24">
        <f>IF($A22="","",SUMIFS('13_VANZARI'!$K$5:$K$1004,'13_VANZARI'!$F$5:$F$1004,$A22,'13_VANZARI'!$A$5:$A$1004,"&gt;="&amp;'09_PARAMETRI'!$B$5,'13_VANZARI'!$A$5:$A$1004,"&lt;="&amp;'09_PARAMETRI'!$B$6))</f>
        <v/>
      </c>
      <c r="J22" s="25">
        <f>IF($A22="","",IFERROR($I22/$F22,""))</f>
        <v/>
      </c>
      <c r="K22" s="24">
        <f>IF($A22="","",SUMPRODUCT(('10_CLIENTI'!$A$5:$A$204&lt;&gt;"")*(SUMIFS('13_VANZARI'!$H$5:$H$1004,'13_VANZARI'!$F$5:$F$1004,$A22,'13_VANZARI'!$D$5:$D$1004,'10_CLIENTI'!$A$5:$A$204,'13_VANZARI'!$A$5:$A$1004,"&gt;="&amp;'09_PARAMETRI'!$B$5,'13_VANZARI'!$A$5:$A$1004,"&lt;="&amp;'09_PARAMETRI'!$B$6)&lt;&gt;0)))</f>
        <v/>
      </c>
      <c r="L22" s="24">
        <f>IF($A22="","",IFERROR($F22/$E22,""))</f>
        <v/>
      </c>
      <c r="M22" s="24">
        <f>IF($A22="","",SUMIFS('14_TINTE'!$E$5:$E$304,'14_TINTE'!$A$5:$A$304,"&gt;="&amp;'09_PARAMETRI'!$B$5,'14_TINTE'!$A$5:$A$304,"&lt;="&amp;'09_PARAMETRI'!$B$6,'14_TINTE'!$D$5:$D$304,"Venit",'14_TINTE'!$B$5:$B$304,"Persoană",'14_TINTE'!$C$5:$C$304,$A22))</f>
        <v/>
      </c>
      <c r="N22" s="25">
        <f>IF($A22="","",IFERROR(IF($M22=0,"",$F22/$M22),""))</f>
        <v/>
      </c>
      <c r="O22" s="39">
        <f>IF($A22="","",IF(AND($N22&lt;&gt;"",$N22&lt;'09_PARAMETRI'!$B$18,$M22&gt;0),"Sub țintă",IF(AND($H22&lt;&gt;"",$H22&lt;='09_PARAMETRI'!$B$13),"Portofoliu în scădere",IF(AND($F22&gt;0,$L22&lt;&gt;"",$L22&lt;IFERROR(AVERAGE($L$5:$L$64),0)*0.7),"Productivitate sub medie",IF($F22=0,"Fără vânzări înregistrate","În parametri")))))</f>
        <v/>
      </c>
      <c r="P22" s="39">
        <f>IF($A22="","",IF($O22="Sub țintă","Gap față de țintă",IF($O22="Portofoliu în scădere","Productivitate vânzări",IF($O22="Productivitate sub medie","Dezvoltare oameni",IF($O22="Fără vânzări înregistrate","Proces / operațional","Productivitate vânzări")))))</f>
        <v/>
      </c>
      <c r="Q22" s="24">
        <f>IF($A22="","",IFERROR(IF($O22="Sub țintă",MAX(0,$M22-$F22),IF($O22="Portofoliu în scădere",MAX(0,$G22-$F22),$F22*0.15)),""))</f>
        <v/>
      </c>
    </row>
    <row r="23">
      <c r="A23" s="39">
        <f>IF('12_OAMENI'!$A23="","",'12_OAMENI'!$A23)</f>
        <v/>
      </c>
      <c r="B23" s="39">
        <f>IF($A23="","",IFERROR(INDEX('12_OAMENI'!$B$5:$B$64,MATCH($A23,'12_OAMENI'!$A$5:$A$64,0)),""))</f>
        <v/>
      </c>
      <c r="C23" s="39">
        <f>IF($A23="","",IFERROR(INDEX('12_OAMENI'!$C$5:$C$64,MATCH($A23,'12_OAMENI'!$A$5:$A$64,0)),""))</f>
        <v/>
      </c>
      <c r="D23" s="39">
        <f>IF($A23="","",IFERROR(INDEX('12_OAMENI'!$D$5:$D$64,MATCH($A23,'12_OAMENI'!$A$5:$A$64,0)),""))</f>
        <v/>
      </c>
      <c r="E23" s="48">
        <f>IF($A23="","",IFERROR(INDEX('12_OAMENI'!$E$5:$E$64,MATCH($A23,'12_OAMENI'!$A$5:$A$64,0)),""))</f>
        <v/>
      </c>
      <c r="F23" s="24">
        <f>IF($A23="","",SUMIFS('13_VANZARI'!$H$5:$H$1004,'13_VANZARI'!$F$5:$F$1004,$A23,'13_VANZARI'!$A$5:$A$1004,"&gt;="&amp;'09_PARAMETRI'!$B$5,'13_VANZARI'!$A$5:$A$1004,"&lt;="&amp;'09_PARAMETRI'!$B$6))</f>
        <v/>
      </c>
      <c r="G23" s="24">
        <f>IF($A23="","",SUMIFS('13_VANZARI'!$H$5:$H$1004,'13_VANZARI'!$F$5:$F$1004,$A23,'13_VANZARI'!$A$5:$A$1004,"&gt;="&amp;'09_PARAMETRI'!$B$7,'13_VANZARI'!$A$5:$A$1004,"&lt;="&amp;'09_PARAMETRI'!$B$8))</f>
        <v/>
      </c>
      <c r="H23" s="25">
        <f>IF($A23="","",IFERROR(IF($G23=0,"",($F23-$G23)/ABS($G23)),""))</f>
        <v/>
      </c>
      <c r="I23" s="24">
        <f>IF($A23="","",SUMIFS('13_VANZARI'!$K$5:$K$1004,'13_VANZARI'!$F$5:$F$1004,$A23,'13_VANZARI'!$A$5:$A$1004,"&gt;="&amp;'09_PARAMETRI'!$B$5,'13_VANZARI'!$A$5:$A$1004,"&lt;="&amp;'09_PARAMETRI'!$B$6))</f>
        <v/>
      </c>
      <c r="J23" s="25">
        <f>IF($A23="","",IFERROR($I23/$F23,""))</f>
        <v/>
      </c>
      <c r="K23" s="24">
        <f>IF($A23="","",SUMPRODUCT(('10_CLIENTI'!$A$5:$A$204&lt;&gt;"")*(SUMIFS('13_VANZARI'!$H$5:$H$1004,'13_VANZARI'!$F$5:$F$1004,$A23,'13_VANZARI'!$D$5:$D$1004,'10_CLIENTI'!$A$5:$A$204,'13_VANZARI'!$A$5:$A$1004,"&gt;="&amp;'09_PARAMETRI'!$B$5,'13_VANZARI'!$A$5:$A$1004,"&lt;="&amp;'09_PARAMETRI'!$B$6)&lt;&gt;0)))</f>
        <v/>
      </c>
      <c r="L23" s="24">
        <f>IF($A23="","",IFERROR($F23/$E23,""))</f>
        <v/>
      </c>
      <c r="M23" s="24">
        <f>IF($A23="","",SUMIFS('14_TINTE'!$E$5:$E$304,'14_TINTE'!$A$5:$A$304,"&gt;="&amp;'09_PARAMETRI'!$B$5,'14_TINTE'!$A$5:$A$304,"&lt;="&amp;'09_PARAMETRI'!$B$6,'14_TINTE'!$D$5:$D$304,"Venit",'14_TINTE'!$B$5:$B$304,"Persoană",'14_TINTE'!$C$5:$C$304,$A23))</f>
        <v/>
      </c>
      <c r="N23" s="25">
        <f>IF($A23="","",IFERROR(IF($M23=0,"",$F23/$M23),""))</f>
        <v/>
      </c>
      <c r="O23" s="39">
        <f>IF($A23="","",IF(AND($N23&lt;&gt;"",$N23&lt;'09_PARAMETRI'!$B$18,$M23&gt;0),"Sub țintă",IF(AND($H23&lt;&gt;"",$H23&lt;='09_PARAMETRI'!$B$13),"Portofoliu în scădere",IF(AND($F23&gt;0,$L23&lt;&gt;"",$L23&lt;IFERROR(AVERAGE($L$5:$L$64),0)*0.7),"Productivitate sub medie",IF($F23=0,"Fără vânzări înregistrate","În parametri")))))</f>
        <v/>
      </c>
      <c r="P23" s="39">
        <f>IF($A23="","",IF($O23="Sub țintă","Gap față de țintă",IF($O23="Portofoliu în scădere","Productivitate vânzări",IF($O23="Productivitate sub medie","Dezvoltare oameni",IF($O23="Fără vânzări înregistrate","Proces / operațional","Productivitate vânzări")))))</f>
        <v/>
      </c>
      <c r="Q23" s="24">
        <f>IF($A23="","",IFERROR(IF($O23="Sub țintă",MAX(0,$M23-$F23),IF($O23="Portofoliu în scădere",MAX(0,$G23-$F23),$F23*0.15)),""))</f>
        <v/>
      </c>
    </row>
    <row r="24">
      <c r="A24" s="39">
        <f>IF('12_OAMENI'!$A24="","",'12_OAMENI'!$A24)</f>
        <v/>
      </c>
      <c r="B24" s="39">
        <f>IF($A24="","",IFERROR(INDEX('12_OAMENI'!$B$5:$B$64,MATCH($A24,'12_OAMENI'!$A$5:$A$64,0)),""))</f>
        <v/>
      </c>
      <c r="C24" s="39">
        <f>IF($A24="","",IFERROR(INDEX('12_OAMENI'!$C$5:$C$64,MATCH($A24,'12_OAMENI'!$A$5:$A$64,0)),""))</f>
        <v/>
      </c>
      <c r="D24" s="39">
        <f>IF($A24="","",IFERROR(INDEX('12_OAMENI'!$D$5:$D$64,MATCH($A24,'12_OAMENI'!$A$5:$A$64,0)),""))</f>
        <v/>
      </c>
      <c r="E24" s="48">
        <f>IF($A24="","",IFERROR(INDEX('12_OAMENI'!$E$5:$E$64,MATCH($A24,'12_OAMENI'!$A$5:$A$64,0)),""))</f>
        <v/>
      </c>
      <c r="F24" s="24">
        <f>IF($A24="","",SUMIFS('13_VANZARI'!$H$5:$H$1004,'13_VANZARI'!$F$5:$F$1004,$A24,'13_VANZARI'!$A$5:$A$1004,"&gt;="&amp;'09_PARAMETRI'!$B$5,'13_VANZARI'!$A$5:$A$1004,"&lt;="&amp;'09_PARAMETRI'!$B$6))</f>
        <v/>
      </c>
      <c r="G24" s="24">
        <f>IF($A24="","",SUMIFS('13_VANZARI'!$H$5:$H$1004,'13_VANZARI'!$F$5:$F$1004,$A24,'13_VANZARI'!$A$5:$A$1004,"&gt;="&amp;'09_PARAMETRI'!$B$7,'13_VANZARI'!$A$5:$A$1004,"&lt;="&amp;'09_PARAMETRI'!$B$8))</f>
        <v/>
      </c>
      <c r="H24" s="25">
        <f>IF($A24="","",IFERROR(IF($G24=0,"",($F24-$G24)/ABS($G24)),""))</f>
        <v/>
      </c>
      <c r="I24" s="24">
        <f>IF($A24="","",SUMIFS('13_VANZARI'!$K$5:$K$1004,'13_VANZARI'!$F$5:$F$1004,$A24,'13_VANZARI'!$A$5:$A$1004,"&gt;="&amp;'09_PARAMETRI'!$B$5,'13_VANZARI'!$A$5:$A$1004,"&lt;="&amp;'09_PARAMETRI'!$B$6))</f>
        <v/>
      </c>
      <c r="J24" s="25">
        <f>IF($A24="","",IFERROR($I24/$F24,""))</f>
        <v/>
      </c>
      <c r="K24" s="24">
        <f>IF($A24="","",SUMPRODUCT(('10_CLIENTI'!$A$5:$A$204&lt;&gt;"")*(SUMIFS('13_VANZARI'!$H$5:$H$1004,'13_VANZARI'!$F$5:$F$1004,$A24,'13_VANZARI'!$D$5:$D$1004,'10_CLIENTI'!$A$5:$A$204,'13_VANZARI'!$A$5:$A$1004,"&gt;="&amp;'09_PARAMETRI'!$B$5,'13_VANZARI'!$A$5:$A$1004,"&lt;="&amp;'09_PARAMETRI'!$B$6)&lt;&gt;0)))</f>
        <v/>
      </c>
      <c r="L24" s="24">
        <f>IF($A24="","",IFERROR($F24/$E24,""))</f>
        <v/>
      </c>
      <c r="M24" s="24">
        <f>IF($A24="","",SUMIFS('14_TINTE'!$E$5:$E$304,'14_TINTE'!$A$5:$A$304,"&gt;="&amp;'09_PARAMETRI'!$B$5,'14_TINTE'!$A$5:$A$304,"&lt;="&amp;'09_PARAMETRI'!$B$6,'14_TINTE'!$D$5:$D$304,"Venit",'14_TINTE'!$B$5:$B$304,"Persoană",'14_TINTE'!$C$5:$C$304,$A24))</f>
        <v/>
      </c>
      <c r="N24" s="25">
        <f>IF($A24="","",IFERROR(IF($M24=0,"",$F24/$M24),""))</f>
        <v/>
      </c>
      <c r="O24" s="39">
        <f>IF($A24="","",IF(AND($N24&lt;&gt;"",$N24&lt;'09_PARAMETRI'!$B$18,$M24&gt;0),"Sub țintă",IF(AND($H24&lt;&gt;"",$H24&lt;='09_PARAMETRI'!$B$13),"Portofoliu în scădere",IF(AND($F24&gt;0,$L24&lt;&gt;"",$L24&lt;IFERROR(AVERAGE($L$5:$L$64),0)*0.7),"Productivitate sub medie",IF($F24=0,"Fără vânzări înregistrate","În parametri")))))</f>
        <v/>
      </c>
      <c r="P24" s="39">
        <f>IF($A24="","",IF($O24="Sub țintă","Gap față de țintă",IF($O24="Portofoliu în scădere","Productivitate vânzări",IF($O24="Productivitate sub medie","Dezvoltare oameni",IF($O24="Fără vânzări înregistrate","Proces / operațional","Productivitate vânzări")))))</f>
        <v/>
      </c>
      <c r="Q24" s="24">
        <f>IF($A24="","",IFERROR(IF($O24="Sub țintă",MAX(0,$M24-$F24),IF($O24="Portofoliu în scădere",MAX(0,$G24-$F24),$F24*0.15)),""))</f>
        <v/>
      </c>
    </row>
    <row r="25">
      <c r="A25" s="39">
        <f>IF('12_OAMENI'!$A25="","",'12_OAMENI'!$A25)</f>
        <v/>
      </c>
      <c r="B25" s="39">
        <f>IF($A25="","",IFERROR(INDEX('12_OAMENI'!$B$5:$B$64,MATCH($A25,'12_OAMENI'!$A$5:$A$64,0)),""))</f>
        <v/>
      </c>
      <c r="C25" s="39">
        <f>IF($A25="","",IFERROR(INDEX('12_OAMENI'!$C$5:$C$64,MATCH($A25,'12_OAMENI'!$A$5:$A$64,0)),""))</f>
        <v/>
      </c>
      <c r="D25" s="39">
        <f>IF($A25="","",IFERROR(INDEX('12_OAMENI'!$D$5:$D$64,MATCH($A25,'12_OAMENI'!$A$5:$A$64,0)),""))</f>
        <v/>
      </c>
      <c r="E25" s="48">
        <f>IF($A25="","",IFERROR(INDEX('12_OAMENI'!$E$5:$E$64,MATCH($A25,'12_OAMENI'!$A$5:$A$64,0)),""))</f>
        <v/>
      </c>
      <c r="F25" s="24">
        <f>IF($A25="","",SUMIFS('13_VANZARI'!$H$5:$H$1004,'13_VANZARI'!$F$5:$F$1004,$A25,'13_VANZARI'!$A$5:$A$1004,"&gt;="&amp;'09_PARAMETRI'!$B$5,'13_VANZARI'!$A$5:$A$1004,"&lt;="&amp;'09_PARAMETRI'!$B$6))</f>
        <v/>
      </c>
      <c r="G25" s="24">
        <f>IF($A25="","",SUMIFS('13_VANZARI'!$H$5:$H$1004,'13_VANZARI'!$F$5:$F$1004,$A25,'13_VANZARI'!$A$5:$A$1004,"&gt;="&amp;'09_PARAMETRI'!$B$7,'13_VANZARI'!$A$5:$A$1004,"&lt;="&amp;'09_PARAMETRI'!$B$8))</f>
        <v/>
      </c>
      <c r="H25" s="25">
        <f>IF($A25="","",IFERROR(IF($G25=0,"",($F25-$G25)/ABS($G25)),""))</f>
        <v/>
      </c>
      <c r="I25" s="24">
        <f>IF($A25="","",SUMIFS('13_VANZARI'!$K$5:$K$1004,'13_VANZARI'!$F$5:$F$1004,$A25,'13_VANZARI'!$A$5:$A$1004,"&gt;="&amp;'09_PARAMETRI'!$B$5,'13_VANZARI'!$A$5:$A$1004,"&lt;="&amp;'09_PARAMETRI'!$B$6))</f>
        <v/>
      </c>
      <c r="J25" s="25">
        <f>IF($A25="","",IFERROR($I25/$F25,""))</f>
        <v/>
      </c>
      <c r="K25" s="24">
        <f>IF($A25="","",SUMPRODUCT(('10_CLIENTI'!$A$5:$A$204&lt;&gt;"")*(SUMIFS('13_VANZARI'!$H$5:$H$1004,'13_VANZARI'!$F$5:$F$1004,$A25,'13_VANZARI'!$D$5:$D$1004,'10_CLIENTI'!$A$5:$A$204,'13_VANZARI'!$A$5:$A$1004,"&gt;="&amp;'09_PARAMETRI'!$B$5,'13_VANZARI'!$A$5:$A$1004,"&lt;="&amp;'09_PARAMETRI'!$B$6)&lt;&gt;0)))</f>
        <v/>
      </c>
      <c r="L25" s="24">
        <f>IF($A25="","",IFERROR($F25/$E25,""))</f>
        <v/>
      </c>
      <c r="M25" s="24">
        <f>IF($A25="","",SUMIFS('14_TINTE'!$E$5:$E$304,'14_TINTE'!$A$5:$A$304,"&gt;="&amp;'09_PARAMETRI'!$B$5,'14_TINTE'!$A$5:$A$304,"&lt;="&amp;'09_PARAMETRI'!$B$6,'14_TINTE'!$D$5:$D$304,"Venit",'14_TINTE'!$B$5:$B$304,"Persoană",'14_TINTE'!$C$5:$C$304,$A25))</f>
        <v/>
      </c>
      <c r="N25" s="25">
        <f>IF($A25="","",IFERROR(IF($M25=0,"",$F25/$M25),""))</f>
        <v/>
      </c>
      <c r="O25" s="39">
        <f>IF($A25="","",IF(AND($N25&lt;&gt;"",$N25&lt;'09_PARAMETRI'!$B$18,$M25&gt;0),"Sub țintă",IF(AND($H25&lt;&gt;"",$H25&lt;='09_PARAMETRI'!$B$13),"Portofoliu în scădere",IF(AND($F25&gt;0,$L25&lt;&gt;"",$L25&lt;IFERROR(AVERAGE($L$5:$L$64),0)*0.7),"Productivitate sub medie",IF($F25=0,"Fără vânzări înregistrate","În parametri")))))</f>
        <v/>
      </c>
      <c r="P25" s="39">
        <f>IF($A25="","",IF($O25="Sub țintă","Gap față de țintă",IF($O25="Portofoliu în scădere","Productivitate vânzări",IF($O25="Productivitate sub medie","Dezvoltare oameni",IF($O25="Fără vânzări înregistrate","Proces / operațional","Productivitate vânzări")))))</f>
        <v/>
      </c>
      <c r="Q25" s="24">
        <f>IF($A25="","",IFERROR(IF($O25="Sub țintă",MAX(0,$M25-$F25),IF($O25="Portofoliu în scădere",MAX(0,$G25-$F25),$F25*0.15)),""))</f>
        <v/>
      </c>
    </row>
    <row r="26">
      <c r="A26" s="39">
        <f>IF('12_OAMENI'!$A26="","",'12_OAMENI'!$A26)</f>
        <v/>
      </c>
      <c r="B26" s="39">
        <f>IF($A26="","",IFERROR(INDEX('12_OAMENI'!$B$5:$B$64,MATCH($A26,'12_OAMENI'!$A$5:$A$64,0)),""))</f>
        <v/>
      </c>
      <c r="C26" s="39">
        <f>IF($A26="","",IFERROR(INDEX('12_OAMENI'!$C$5:$C$64,MATCH($A26,'12_OAMENI'!$A$5:$A$64,0)),""))</f>
        <v/>
      </c>
      <c r="D26" s="39">
        <f>IF($A26="","",IFERROR(INDEX('12_OAMENI'!$D$5:$D$64,MATCH($A26,'12_OAMENI'!$A$5:$A$64,0)),""))</f>
        <v/>
      </c>
      <c r="E26" s="48">
        <f>IF($A26="","",IFERROR(INDEX('12_OAMENI'!$E$5:$E$64,MATCH($A26,'12_OAMENI'!$A$5:$A$64,0)),""))</f>
        <v/>
      </c>
      <c r="F26" s="24">
        <f>IF($A26="","",SUMIFS('13_VANZARI'!$H$5:$H$1004,'13_VANZARI'!$F$5:$F$1004,$A26,'13_VANZARI'!$A$5:$A$1004,"&gt;="&amp;'09_PARAMETRI'!$B$5,'13_VANZARI'!$A$5:$A$1004,"&lt;="&amp;'09_PARAMETRI'!$B$6))</f>
        <v/>
      </c>
      <c r="G26" s="24">
        <f>IF($A26="","",SUMIFS('13_VANZARI'!$H$5:$H$1004,'13_VANZARI'!$F$5:$F$1004,$A26,'13_VANZARI'!$A$5:$A$1004,"&gt;="&amp;'09_PARAMETRI'!$B$7,'13_VANZARI'!$A$5:$A$1004,"&lt;="&amp;'09_PARAMETRI'!$B$8))</f>
        <v/>
      </c>
      <c r="H26" s="25">
        <f>IF($A26="","",IFERROR(IF($G26=0,"",($F26-$G26)/ABS($G26)),""))</f>
        <v/>
      </c>
      <c r="I26" s="24">
        <f>IF($A26="","",SUMIFS('13_VANZARI'!$K$5:$K$1004,'13_VANZARI'!$F$5:$F$1004,$A26,'13_VANZARI'!$A$5:$A$1004,"&gt;="&amp;'09_PARAMETRI'!$B$5,'13_VANZARI'!$A$5:$A$1004,"&lt;="&amp;'09_PARAMETRI'!$B$6))</f>
        <v/>
      </c>
      <c r="J26" s="25">
        <f>IF($A26="","",IFERROR($I26/$F26,""))</f>
        <v/>
      </c>
      <c r="K26" s="24">
        <f>IF($A26="","",SUMPRODUCT(('10_CLIENTI'!$A$5:$A$204&lt;&gt;"")*(SUMIFS('13_VANZARI'!$H$5:$H$1004,'13_VANZARI'!$F$5:$F$1004,$A26,'13_VANZARI'!$D$5:$D$1004,'10_CLIENTI'!$A$5:$A$204,'13_VANZARI'!$A$5:$A$1004,"&gt;="&amp;'09_PARAMETRI'!$B$5,'13_VANZARI'!$A$5:$A$1004,"&lt;="&amp;'09_PARAMETRI'!$B$6)&lt;&gt;0)))</f>
        <v/>
      </c>
      <c r="L26" s="24">
        <f>IF($A26="","",IFERROR($F26/$E26,""))</f>
        <v/>
      </c>
      <c r="M26" s="24">
        <f>IF($A26="","",SUMIFS('14_TINTE'!$E$5:$E$304,'14_TINTE'!$A$5:$A$304,"&gt;="&amp;'09_PARAMETRI'!$B$5,'14_TINTE'!$A$5:$A$304,"&lt;="&amp;'09_PARAMETRI'!$B$6,'14_TINTE'!$D$5:$D$304,"Venit",'14_TINTE'!$B$5:$B$304,"Persoană",'14_TINTE'!$C$5:$C$304,$A26))</f>
        <v/>
      </c>
      <c r="N26" s="25">
        <f>IF($A26="","",IFERROR(IF($M26=0,"",$F26/$M26),""))</f>
        <v/>
      </c>
      <c r="O26" s="39">
        <f>IF($A26="","",IF(AND($N26&lt;&gt;"",$N26&lt;'09_PARAMETRI'!$B$18,$M26&gt;0),"Sub țintă",IF(AND($H26&lt;&gt;"",$H26&lt;='09_PARAMETRI'!$B$13),"Portofoliu în scădere",IF(AND($F26&gt;0,$L26&lt;&gt;"",$L26&lt;IFERROR(AVERAGE($L$5:$L$64),0)*0.7),"Productivitate sub medie",IF($F26=0,"Fără vânzări înregistrate","În parametri")))))</f>
        <v/>
      </c>
      <c r="P26" s="39">
        <f>IF($A26="","",IF($O26="Sub țintă","Gap față de țintă",IF($O26="Portofoliu în scădere","Productivitate vânzări",IF($O26="Productivitate sub medie","Dezvoltare oameni",IF($O26="Fără vânzări înregistrate","Proces / operațional","Productivitate vânzări")))))</f>
        <v/>
      </c>
      <c r="Q26" s="24">
        <f>IF($A26="","",IFERROR(IF($O26="Sub țintă",MAX(0,$M26-$F26),IF($O26="Portofoliu în scădere",MAX(0,$G26-$F26),$F26*0.15)),""))</f>
        <v/>
      </c>
    </row>
    <row r="27">
      <c r="A27" s="39">
        <f>IF('12_OAMENI'!$A27="","",'12_OAMENI'!$A27)</f>
        <v/>
      </c>
      <c r="B27" s="39">
        <f>IF($A27="","",IFERROR(INDEX('12_OAMENI'!$B$5:$B$64,MATCH($A27,'12_OAMENI'!$A$5:$A$64,0)),""))</f>
        <v/>
      </c>
      <c r="C27" s="39">
        <f>IF($A27="","",IFERROR(INDEX('12_OAMENI'!$C$5:$C$64,MATCH($A27,'12_OAMENI'!$A$5:$A$64,0)),""))</f>
        <v/>
      </c>
      <c r="D27" s="39">
        <f>IF($A27="","",IFERROR(INDEX('12_OAMENI'!$D$5:$D$64,MATCH($A27,'12_OAMENI'!$A$5:$A$64,0)),""))</f>
        <v/>
      </c>
      <c r="E27" s="48">
        <f>IF($A27="","",IFERROR(INDEX('12_OAMENI'!$E$5:$E$64,MATCH($A27,'12_OAMENI'!$A$5:$A$64,0)),""))</f>
        <v/>
      </c>
      <c r="F27" s="24">
        <f>IF($A27="","",SUMIFS('13_VANZARI'!$H$5:$H$1004,'13_VANZARI'!$F$5:$F$1004,$A27,'13_VANZARI'!$A$5:$A$1004,"&gt;="&amp;'09_PARAMETRI'!$B$5,'13_VANZARI'!$A$5:$A$1004,"&lt;="&amp;'09_PARAMETRI'!$B$6))</f>
        <v/>
      </c>
      <c r="G27" s="24">
        <f>IF($A27="","",SUMIFS('13_VANZARI'!$H$5:$H$1004,'13_VANZARI'!$F$5:$F$1004,$A27,'13_VANZARI'!$A$5:$A$1004,"&gt;="&amp;'09_PARAMETRI'!$B$7,'13_VANZARI'!$A$5:$A$1004,"&lt;="&amp;'09_PARAMETRI'!$B$8))</f>
        <v/>
      </c>
      <c r="H27" s="25">
        <f>IF($A27="","",IFERROR(IF($G27=0,"",($F27-$G27)/ABS($G27)),""))</f>
        <v/>
      </c>
      <c r="I27" s="24">
        <f>IF($A27="","",SUMIFS('13_VANZARI'!$K$5:$K$1004,'13_VANZARI'!$F$5:$F$1004,$A27,'13_VANZARI'!$A$5:$A$1004,"&gt;="&amp;'09_PARAMETRI'!$B$5,'13_VANZARI'!$A$5:$A$1004,"&lt;="&amp;'09_PARAMETRI'!$B$6))</f>
        <v/>
      </c>
      <c r="J27" s="25">
        <f>IF($A27="","",IFERROR($I27/$F27,""))</f>
        <v/>
      </c>
      <c r="K27" s="24">
        <f>IF($A27="","",SUMPRODUCT(('10_CLIENTI'!$A$5:$A$204&lt;&gt;"")*(SUMIFS('13_VANZARI'!$H$5:$H$1004,'13_VANZARI'!$F$5:$F$1004,$A27,'13_VANZARI'!$D$5:$D$1004,'10_CLIENTI'!$A$5:$A$204,'13_VANZARI'!$A$5:$A$1004,"&gt;="&amp;'09_PARAMETRI'!$B$5,'13_VANZARI'!$A$5:$A$1004,"&lt;="&amp;'09_PARAMETRI'!$B$6)&lt;&gt;0)))</f>
        <v/>
      </c>
      <c r="L27" s="24">
        <f>IF($A27="","",IFERROR($F27/$E27,""))</f>
        <v/>
      </c>
      <c r="M27" s="24">
        <f>IF($A27="","",SUMIFS('14_TINTE'!$E$5:$E$304,'14_TINTE'!$A$5:$A$304,"&gt;="&amp;'09_PARAMETRI'!$B$5,'14_TINTE'!$A$5:$A$304,"&lt;="&amp;'09_PARAMETRI'!$B$6,'14_TINTE'!$D$5:$D$304,"Venit",'14_TINTE'!$B$5:$B$304,"Persoană",'14_TINTE'!$C$5:$C$304,$A27))</f>
        <v/>
      </c>
      <c r="N27" s="25">
        <f>IF($A27="","",IFERROR(IF($M27=0,"",$F27/$M27),""))</f>
        <v/>
      </c>
      <c r="O27" s="39">
        <f>IF($A27="","",IF(AND($N27&lt;&gt;"",$N27&lt;'09_PARAMETRI'!$B$18,$M27&gt;0),"Sub țintă",IF(AND($H27&lt;&gt;"",$H27&lt;='09_PARAMETRI'!$B$13),"Portofoliu în scădere",IF(AND($F27&gt;0,$L27&lt;&gt;"",$L27&lt;IFERROR(AVERAGE($L$5:$L$64),0)*0.7),"Productivitate sub medie",IF($F27=0,"Fără vânzări înregistrate","În parametri")))))</f>
        <v/>
      </c>
      <c r="P27" s="39">
        <f>IF($A27="","",IF($O27="Sub țintă","Gap față de țintă",IF($O27="Portofoliu în scădere","Productivitate vânzări",IF($O27="Productivitate sub medie","Dezvoltare oameni",IF($O27="Fără vânzări înregistrate","Proces / operațional","Productivitate vânzări")))))</f>
        <v/>
      </c>
      <c r="Q27" s="24">
        <f>IF($A27="","",IFERROR(IF($O27="Sub țintă",MAX(0,$M27-$F27),IF($O27="Portofoliu în scădere",MAX(0,$G27-$F27),$F27*0.15)),""))</f>
        <v/>
      </c>
    </row>
    <row r="28">
      <c r="A28" s="39">
        <f>IF('12_OAMENI'!$A28="","",'12_OAMENI'!$A28)</f>
        <v/>
      </c>
      <c r="B28" s="39">
        <f>IF($A28="","",IFERROR(INDEX('12_OAMENI'!$B$5:$B$64,MATCH($A28,'12_OAMENI'!$A$5:$A$64,0)),""))</f>
        <v/>
      </c>
      <c r="C28" s="39">
        <f>IF($A28="","",IFERROR(INDEX('12_OAMENI'!$C$5:$C$64,MATCH($A28,'12_OAMENI'!$A$5:$A$64,0)),""))</f>
        <v/>
      </c>
      <c r="D28" s="39">
        <f>IF($A28="","",IFERROR(INDEX('12_OAMENI'!$D$5:$D$64,MATCH($A28,'12_OAMENI'!$A$5:$A$64,0)),""))</f>
        <v/>
      </c>
      <c r="E28" s="48">
        <f>IF($A28="","",IFERROR(INDEX('12_OAMENI'!$E$5:$E$64,MATCH($A28,'12_OAMENI'!$A$5:$A$64,0)),""))</f>
        <v/>
      </c>
      <c r="F28" s="24">
        <f>IF($A28="","",SUMIFS('13_VANZARI'!$H$5:$H$1004,'13_VANZARI'!$F$5:$F$1004,$A28,'13_VANZARI'!$A$5:$A$1004,"&gt;="&amp;'09_PARAMETRI'!$B$5,'13_VANZARI'!$A$5:$A$1004,"&lt;="&amp;'09_PARAMETRI'!$B$6))</f>
        <v/>
      </c>
      <c r="G28" s="24">
        <f>IF($A28="","",SUMIFS('13_VANZARI'!$H$5:$H$1004,'13_VANZARI'!$F$5:$F$1004,$A28,'13_VANZARI'!$A$5:$A$1004,"&gt;="&amp;'09_PARAMETRI'!$B$7,'13_VANZARI'!$A$5:$A$1004,"&lt;="&amp;'09_PARAMETRI'!$B$8))</f>
        <v/>
      </c>
      <c r="H28" s="25">
        <f>IF($A28="","",IFERROR(IF($G28=0,"",($F28-$G28)/ABS($G28)),""))</f>
        <v/>
      </c>
      <c r="I28" s="24">
        <f>IF($A28="","",SUMIFS('13_VANZARI'!$K$5:$K$1004,'13_VANZARI'!$F$5:$F$1004,$A28,'13_VANZARI'!$A$5:$A$1004,"&gt;="&amp;'09_PARAMETRI'!$B$5,'13_VANZARI'!$A$5:$A$1004,"&lt;="&amp;'09_PARAMETRI'!$B$6))</f>
        <v/>
      </c>
      <c r="J28" s="25">
        <f>IF($A28="","",IFERROR($I28/$F28,""))</f>
        <v/>
      </c>
      <c r="K28" s="24">
        <f>IF($A28="","",SUMPRODUCT(('10_CLIENTI'!$A$5:$A$204&lt;&gt;"")*(SUMIFS('13_VANZARI'!$H$5:$H$1004,'13_VANZARI'!$F$5:$F$1004,$A28,'13_VANZARI'!$D$5:$D$1004,'10_CLIENTI'!$A$5:$A$204,'13_VANZARI'!$A$5:$A$1004,"&gt;="&amp;'09_PARAMETRI'!$B$5,'13_VANZARI'!$A$5:$A$1004,"&lt;="&amp;'09_PARAMETRI'!$B$6)&lt;&gt;0)))</f>
        <v/>
      </c>
      <c r="L28" s="24">
        <f>IF($A28="","",IFERROR($F28/$E28,""))</f>
        <v/>
      </c>
      <c r="M28" s="24">
        <f>IF($A28="","",SUMIFS('14_TINTE'!$E$5:$E$304,'14_TINTE'!$A$5:$A$304,"&gt;="&amp;'09_PARAMETRI'!$B$5,'14_TINTE'!$A$5:$A$304,"&lt;="&amp;'09_PARAMETRI'!$B$6,'14_TINTE'!$D$5:$D$304,"Venit",'14_TINTE'!$B$5:$B$304,"Persoană",'14_TINTE'!$C$5:$C$304,$A28))</f>
        <v/>
      </c>
      <c r="N28" s="25">
        <f>IF($A28="","",IFERROR(IF($M28=0,"",$F28/$M28),""))</f>
        <v/>
      </c>
      <c r="O28" s="39">
        <f>IF($A28="","",IF(AND($N28&lt;&gt;"",$N28&lt;'09_PARAMETRI'!$B$18,$M28&gt;0),"Sub țintă",IF(AND($H28&lt;&gt;"",$H28&lt;='09_PARAMETRI'!$B$13),"Portofoliu în scădere",IF(AND($F28&gt;0,$L28&lt;&gt;"",$L28&lt;IFERROR(AVERAGE($L$5:$L$64),0)*0.7),"Productivitate sub medie",IF($F28=0,"Fără vânzări înregistrate","În parametri")))))</f>
        <v/>
      </c>
      <c r="P28" s="39">
        <f>IF($A28="","",IF($O28="Sub țintă","Gap față de țintă",IF($O28="Portofoliu în scădere","Productivitate vânzări",IF($O28="Productivitate sub medie","Dezvoltare oameni",IF($O28="Fără vânzări înregistrate","Proces / operațional","Productivitate vânzări")))))</f>
        <v/>
      </c>
      <c r="Q28" s="24">
        <f>IF($A28="","",IFERROR(IF($O28="Sub țintă",MAX(0,$M28-$F28),IF($O28="Portofoliu în scădere",MAX(0,$G28-$F28),$F28*0.15)),""))</f>
        <v/>
      </c>
    </row>
    <row r="29">
      <c r="A29" s="39">
        <f>IF('12_OAMENI'!$A29="","",'12_OAMENI'!$A29)</f>
        <v/>
      </c>
      <c r="B29" s="39">
        <f>IF($A29="","",IFERROR(INDEX('12_OAMENI'!$B$5:$B$64,MATCH($A29,'12_OAMENI'!$A$5:$A$64,0)),""))</f>
        <v/>
      </c>
      <c r="C29" s="39">
        <f>IF($A29="","",IFERROR(INDEX('12_OAMENI'!$C$5:$C$64,MATCH($A29,'12_OAMENI'!$A$5:$A$64,0)),""))</f>
        <v/>
      </c>
      <c r="D29" s="39">
        <f>IF($A29="","",IFERROR(INDEX('12_OAMENI'!$D$5:$D$64,MATCH($A29,'12_OAMENI'!$A$5:$A$64,0)),""))</f>
        <v/>
      </c>
      <c r="E29" s="48">
        <f>IF($A29="","",IFERROR(INDEX('12_OAMENI'!$E$5:$E$64,MATCH($A29,'12_OAMENI'!$A$5:$A$64,0)),""))</f>
        <v/>
      </c>
      <c r="F29" s="24">
        <f>IF($A29="","",SUMIFS('13_VANZARI'!$H$5:$H$1004,'13_VANZARI'!$F$5:$F$1004,$A29,'13_VANZARI'!$A$5:$A$1004,"&gt;="&amp;'09_PARAMETRI'!$B$5,'13_VANZARI'!$A$5:$A$1004,"&lt;="&amp;'09_PARAMETRI'!$B$6))</f>
        <v/>
      </c>
      <c r="G29" s="24">
        <f>IF($A29="","",SUMIFS('13_VANZARI'!$H$5:$H$1004,'13_VANZARI'!$F$5:$F$1004,$A29,'13_VANZARI'!$A$5:$A$1004,"&gt;="&amp;'09_PARAMETRI'!$B$7,'13_VANZARI'!$A$5:$A$1004,"&lt;="&amp;'09_PARAMETRI'!$B$8))</f>
        <v/>
      </c>
      <c r="H29" s="25">
        <f>IF($A29="","",IFERROR(IF($G29=0,"",($F29-$G29)/ABS($G29)),""))</f>
        <v/>
      </c>
      <c r="I29" s="24">
        <f>IF($A29="","",SUMIFS('13_VANZARI'!$K$5:$K$1004,'13_VANZARI'!$F$5:$F$1004,$A29,'13_VANZARI'!$A$5:$A$1004,"&gt;="&amp;'09_PARAMETRI'!$B$5,'13_VANZARI'!$A$5:$A$1004,"&lt;="&amp;'09_PARAMETRI'!$B$6))</f>
        <v/>
      </c>
      <c r="J29" s="25">
        <f>IF($A29="","",IFERROR($I29/$F29,""))</f>
        <v/>
      </c>
      <c r="K29" s="24">
        <f>IF($A29="","",SUMPRODUCT(('10_CLIENTI'!$A$5:$A$204&lt;&gt;"")*(SUMIFS('13_VANZARI'!$H$5:$H$1004,'13_VANZARI'!$F$5:$F$1004,$A29,'13_VANZARI'!$D$5:$D$1004,'10_CLIENTI'!$A$5:$A$204,'13_VANZARI'!$A$5:$A$1004,"&gt;="&amp;'09_PARAMETRI'!$B$5,'13_VANZARI'!$A$5:$A$1004,"&lt;="&amp;'09_PARAMETRI'!$B$6)&lt;&gt;0)))</f>
        <v/>
      </c>
      <c r="L29" s="24">
        <f>IF($A29="","",IFERROR($F29/$E29,""))</f>
        <v/>
      </c>
      <c r="M29" s="24">
        <f>IF($A29="","",SUMIFS('14_TINTE'!$E$5:$E$304,'14_TINTE'!$A$5:$A$304,"&gt;="&amp;'09_PARAMETRI'!$B$5,'14_TINTE'!$A$5:$A$304,"&lt;="&amp;'09_PARAMETRI'!$B$6,'14_TINTE'!$D$5:$D$304,"Venit",'14_TINTE'!$B$5:$B$304,"Persoană",'14_TINTE'!$C$5:$C$304,$A29))</f>
        <v/>
      </c>
      <c r="N29" s="25">
        <f>IF($A29="","",IFERROR(IF($M29=0,"",$F29/$M29),""))</f>
        <v/>
      </c>
      <c r="O29" s="39">
        <f>IF($A29="","",IF(AND($N29&lt;&gt;"",$N29&lt;'09_PARAMETRI'!$B$18,$M29&gt;0),"Sub țintă",IF(AND($H29&lt;&gt;"",$H29&lt;='09_PARAMETRI'!$B$13),"Portofoliu în scădere",IF(AND($F29&gt;0,$L29&lt;&gt;"",$L29&lt;IFERROR(AVERAGE($L$5:$L$64),0)*0.7),"Productivitate sub medie",IF($F29=0,"Fără vânzări înregistrate","În parametri")))))</f>
        <v/>
      </c>
      <c r="P29" s="39">
        <f>IF($A29="","",IF($O29="Sub țintă","Gap față de țintă",IF($O29="Portofoliu în scădere","Productivitate vânzări",IF($O29="Productivitate sub medie","Dezvoltare oameni",IF($O29="Fără vânzări înregistrate","Proces / operațional","Productivitate vânzări")))))</f>
        <v/>
      </c>
      <c r="Q29" s="24">
        <f>IF($A29="","",IFERROR(IF($O29="Sub țintă",MAX(0,$M29-$F29),IF($O29="Portofoliu în scădere",MAX(0,$G29-$F29),$F29*0.15)),""))</f>
        <v/>
      </c>
    </row>
    <row r="30">
      <c r="A30" s="39">
        <f>IF('12_OAMENI'!$A30="","",'12_OAMENI'!$A30)</f>
        <v/>
      </c>
      <c r="B30" s="39">
        <f>IF($A30="","",IFERROR(INDEX('12_OAMENI'!$B$5:$B$64,MATCH($A30,'12_OAMENI'!$A$5:$A$64,0)),""))</f>
        <v/>
      </c>
      <c r="C30" s="39">
        <f>IF($A30="","",IFERROR(INDEX('12_OAMENI'!$C$5:$C$64,MATCH($A30,'12_OAMENI'!$A$5:$A$64,0)),""))</f>
        <v/>
      </c>
      <c r="D30" s="39">
        <f>IF($A30="","",IFERROR(INDEX('12_OAMENI'!$D$5:$D$64,MATCH($A30,'12_OAMENI'!$A$5:$A$64,0)),""))</f>
        <v/>
      </c>
      <c r="E30" s="48">
        <f>IF($A30="","",IFERROR(INDEX('12_OAMENI'!$E$5:$E$64,MATCH($A30,'12_OAMENI'!$A$5:$A$64,0)),""))</f>
        <v/>
      </c>
      <c r="F30" s="24">
        <f>IF($A30="","",SUMIFS('13_VANZARI'!$H$5:$H$1004,'13_VANZARI'!$F$5:$F$1004,$A30,'13_VANZARI'!$A$5:$A$1004,"&gt;="&amp;'09_PARAMETRI'!$B$5,'13_VANZARI'!$A$5:$A$1004,"&lt;="&amp;'09_PARAMETRI'!$B$6))</f>
        <v/>
      </c>
      <c r="G30" s="24">
        <f>IF($A30="","",SUMIFS('13_VANZARI'!$H$5:$H$1004,'13_VANZARI'!$F$5:$F$1004,$A30,'13_VANZARI'!$A$5:$A$1004,"&gt;="&amp;'09_PARAMETRI'!$B$7,'13_VANZARI'!$A$5:$A$1004,"&lt;="&amp;'09_PARAMETRI'!$B$8))</f>
        <v/>
      </c>
      <c r="H30" s="25">
        <f>IF($A30="","",IFERROR(IF($G30=0,"",($F30-$G30)/ABS($G30)),""))</f>
        <v/>
      </c>
      <c r="I30" s="24">
        <f>IF($A30="","",SUMIFS('13_VANZARI'!$K$5:$K$1004,'13_VANZARI'!$F$5:$F$1004,$A30,'13_VANZARI'!$A$5:$A$1004,"&gt;="&amp;'09_PARAMETRI'!$B$5,'13_VANZARI'!$A$5:$A$1004,"&lt;="&amp;'09_PARAMETRI'!$B$6))</f>
        <v/>
      </c>
      <c r="J30" s="25">
        <f>IF($A30="","",IFERROR($I30/$F30,""))</f>
        <v/>
      </c>
      <c r="K30" s="24">
        <f>IF($A30="","",SUMPRODUCT(('10_CLIENTI'!$A$5:$A$204&lt;&gt;"")*(SUMIFS('13_VANZARI'!$H$5:$H$1004,'13_VANZARI'!$F$5:$F$1004,$A30,'13_VANZARI'!$D$5:$D$1004,'10_CLIENTI'!$A$5:$A$204,'13_VANZARI'!$A$5:$A$1004,"&gt;="&amp;'09_PARAMETRI'!$B$5,'13_VANZARI'!$A$5:$A$1004,"&lt;="&amp;'09_PARAMETRI'!$B$6)&lt;&gt;0)))</f>
        <v/>
      </c>
      <c r="L30" s="24">
        <f>IF($A30="","",IFERROR($F30/$E30,""))</f>
        <v/>
      </c>
      <c r="M30" s="24">
        <f>IF($A30="","",SUMIFS('14_TINTE'!$E$5:$E$304,'14_TINTE'!$A$5:$A$304,"&gt;="&amp;'09_PARAMETRI'!$B$5,'14_TINTE'!$A$5:$A$304,"&lt;="&amp;'09_PARAMETRI'!$B$6,'14_TINTE'!$D$5:$D$304,"Venit",'14_TINTE'!$B$5:$B$304,"Persoană",'14_TINTE'!$C$5:$C$304,$A30))</f>
        <v/>
      </c>
      <c r="N30" s="25">
        <f>IF($A30="","",IFERROR(IF($M30=0,"",$F30/$M30),""))</f>
        <v/>
      </c>
      <c r="O30" s="39">
        <f>IF($A30="","",IF(AND($N30&lt;&gt;"",$N30&lt;'09_PARAMETRI'!$B$18,$M30&gt;0),"Sub țintă",IF(AND($H30&lt;&gt;"",$H30&lt;='09_PARAMETRI'!$B$13),"Portofoliu în scădere",IF(AND($F30&gt;0,$L30&lt;&gt;"",$L30&lt;IFERROR(AVERAGE($L$5:$L$64),0)*0.7),"Productivitate sub medie",IF($F30=0,"Fără vânzări înregistrate","În parametri")))))</f>
        <v/>
      </c>
      <c r="P30" s="39">
        <f>IF($A30="","",IF($O30="Sub țintă","Gap față de țintă",IF($O30="Portofoliu în scădere","Productivitate vânzări",IF($O30="Productivitate sub medie","Dezvoltare oameni",IF($O30="Fără vânzări înregistrate","Proces / operațional","Productivitate vânzări")))))</f>
        <v/>
      </c>
      <c r="Q30" s="24">
        <f>IF($A30="","",IFERROR(IF($O30="Sub țintă",MAX(0,$M30-$F30),IF($O30="Portofoliu în scădere",MAX(0,$G30-$F30),$F30*0.15)),""))</f>
        <v/>
      </c>
    </row>
    <row r="31">
      <c r="A31" s="39">
        <f>IF('12_OAMENI'!$A31="","",'12_OAMENI'!$A31)</f>
        <v/>
      </c>
      <c r="B31" s="39">
        <f>IF($A31="","",IFERROR(INDEX('12_OAMENI'!$B$5:$B$64,MATCH($A31,'12_OAMENI'!$A$5:$A$64,0)),""))</f>
        <v/>
      </c>
      <c r="C31" s="39">
        <f>IF($A31="","",IFERROR(INDEX('12_OAMENI'!$C$5:$C$64,MATCH($A31,'12_OAMENI'!$A$5:$A$64,0)),""))</f>
        <v/>
      </c>
      <c r="D31" s="39">
        <f>IF($A31="","",IFERROR(INDEX('12_OAMENI'!$D$5:$D$64,MATCH($A31,'12_OAMENI'!$A$5:$A$64,0)),""))</f>
        <v/>
      </c>
      <c r="E31" s="48">
        <f>IF($A31="","",IFERROR(INDEX('12_OAMENI'!$E$5:$E$64,MATCH($A31,'12_OAMENI'!$A$5:$A$64,0)),""))</f>
        <v/>
      </c>
      <c r="F31" s="24">
        <f>IF($A31="","",SUMIFS('13_VANZARI'!$H$5:$H$1004,'13_VANZARI'!$F$5:$F$1004,$A31,'13_VANZARI'!$A$5:$A$1004,"&gt;="&amp;'09_PARAMETRI'!$B$5,'13_VANZARI'!$A$5:$A$1004,"&lt;="&amp;'09_PARAMETRI'!$B$6))</f>
        <v/>
      </c>
      <c r="G31" s="24">
        <f>IF($A31="","",SUMIFS('13_VANZARI'!$H$5:$H$1004,'13_VANZARI'!$F$5:$F$1004,$A31,'13_VANZARI'!$A$5:$A$1004,"&gt;="&amp;'09_PARAMETRI'!$B$7,'13_VANZARI'!$A$5:$A$1004,"&lt;="&amp;'09_PARAMETRI'!$B$8))</f>
        <v/>
      </c>
      <c r="H31" s="25">
        <f>IF($A31="","",IFERROR(IF($G31=0,"",($F31-$G31)/ABS($G31)),""))</f>
        <v/>
      </c>
      <c r="I31" s="24">
        <f>IF($A31="","",SUMIFS('13_VANZARI'!$K$5:$K$1004,'13_VANZARI'!$F$5:$F$1004,$A31,'13_VANZARI'!$A$5:$A$1004,"&gt;="&amp;'09_PARAMETRI'!$B$5,'13_VANZARI'!$A$5:$A$1004,"&lt;="&amp;'09_PARAMETRI'!$B$6))</f>
        <v/>
      </c>
      <c r="J31" s="25">
        <f>IF($A31="","",IFERROR($I31/$F31,""))</f>
        <v/>
      </c>
      <c r="K31" s="24">
        <f>IF($A31="","",SUMPRODUCT(('10_CLIENTI'!$A$5:$A$204&lt;&gt;"")*(SUMIFS('13_VANZARI'!$H$5:$H$1004,'13_VANZARI'!$F$5:$F$1004,$A31,'13_VANZARI'!$D$5:$D$1004,'10_CLIENTI'!$A$5:$A$204,'13_VANZARI'!$A$5:$A$1004,"&gt;="&amp;'09_PARAMETRI'!$B$5,'13_VANZARI'!$A$5:$A$1004,"&lt;="&amp;'09_PARAMETRI'!$B$6)&lt;&gt;0)))</f>
        <v/>
      </c>
      <c r="L31" s="24">
        <f>IF($A31="","",IFERROR($F31/$E31,""))</f>
        <v/>
      </c>
      <c r="M31" s="24">
        <f>IF($A31="","",SUMIFS('14_TINTE'!$E$5:$E$304,'14_TINTE'!$A$5:$A$304,"&gt;="&amp;'09_PARAMETRI'!$B$5,'14_TINTE'!$A$5:$A$304,"&lt;="&amp;'09_PARAMETRI'!$B$6,'14_TINTE'!$D$5:$D$304,"Venit",'14_TINTE'!$B$5:$B$304,"Persoană",'14_TINTE'!$C$5:$C$304,$A31))</f>
        <v/>
      </c>
      <c r="N31" s="25">
        <f>IF($A31="","",IFERROR(IF($M31=0,"",$F31/$M31),""))</f>
        <v/>
      </c>
      <c r="O31" s="39">
        <f>IF($A31="","",IF(AND($N31&lt;&gt;"",$N31&lt;'09_PARAMETRI'!$B$18,$M31&gt;0),"Sub țintă",IF(AND($H31&lt;&gt;"",$H31&lt;='09_PARAMETRI'!$B$13),"Portofoliu în scădere",IF(AND($F31&gt;0,$L31&lt;&gt;"",$L31&lt;IFERROR(AVERAGE($L$5:$L$64),0)*0.7),"Productivitate sub medie",IF($F31=0,"Fără vânzări înregistrate","În parametri")))))</f>
        <v/>
      </c>
      <c r="P31" s="39">
        <f>IF($A31="","",IF($O31="Sub țintă","Gap față de țintă",IF($O31="Portofoliu în scădere","Productivitate vânzări",IF($O31="Productivitate sub medie","Dezvoltare oameni",IF($O31="Fără vânzări înregistrate","Proces / operațional","Productivitate vânzări")))))</f>
        <v/>
      </c>
      <c r="Q31" s="24">
        <f>IF($A31="","",IFERROR(IF($O31="Sub țintă",MAX(0,$M31-$F31),IF($O31="Portofoliu în scădere",MAX(0,$G31-$F31),$F31*0.15)),""))</f>
        <v/>
      </c>
    </row>
    <row r="32">
      <c r="A32" s="39">
        <f>IF('12_OAMENI'!$A32="","",'12_OAMENI'!$A32)</f>
        <v/>
      </c>
      <c r="B32" s="39">
        <f>IF($A32="","",IFERROR(INDEX('12_OAMENI'!$B$5:$B$64,MATCH($A32,'12_OAMENI'!$A$5:$A$64,0)),""))</f>
        <v/>
      </c>
      <c r="C32" s="39">
        <f>IF($A32="","",IFERROR(INDEX('12_OAMENI'!$C$5:$C$64,MATCH($A32,'12_OAMENI'!$A$5:$A$64,0)),""))</f>
        <v/>
      </c>
      <c r="D32" s="39">
        <f>IF($A32="","",IFERROR(INDEX('12_OAMENI'!$D$5:$D$64,MATCH($A32,'12_OAMENI'!$A$5:$A$64,0)),""))</f>
        <v/>
      </c>
      <c r="E32" s="48">
        <f>IF($A32="","",IFERROR(INDEX('12_OAMENI'!$E$5:$E$64,MATCH($A32,'12_OAMENI'!$A$5:$A$64,0)),""))</f>
        <v/>
      </c>
      <c r="F32" s="24">
        <f>IF($A32="","",SUMIFS('13_VANZARI'!$H$5:$H$1004,'13_VANZARI'!$F$5:$F$1004,$A32,'13_VANZARI'!$A$5:$A$1004,"&gt;="&amp;'09_PARAMETRI'!$B$5,'13_VANZARI'!$A$5:$A$1004,"&lt;="&amp;'09_PARAMETRI'!$B$6))</f>
        <v/>
      </c>
      <c r="G32" s="24">
        <f>IF($A32="","",SUMIFS('13_VANZARI'!$H$5:$H$1004,'13_VANZARI'!$F$5:$F$1004,$A32,'13_VANZARI'!$A$5:$A$1004,"&gt;="&amp;'09_PARAMETRI'!$B$7,'13_VANZARI'!$A$5:$A$1004,"&lt;="&amp;'09_PARAMETRI'!$B$8))</f>
        <v/>
      </c>
      <c r="H32" s="25">
        <f>IF($A32="","",IFERROR(IF($G32=0,"",($F32-$G32)/ABS($G32)),""))</f>
        <v/>
      </c>
      <c r="I32" s="24">
        <f>IF($A32="","",SUMIFS('13_VANZARI'!$K$5:$K$1004,'13_VANZARI'!$F$5:$F$1004,$A32,'13_VANZARI'!$A$5:$A$1004,"&gt;="&amp;'09_PARAMETRI'!$B$5,'13_VANZARI'!$A$5:$A$1004,"&lt;="&amp;'09_PARAMETRI'!$B$6))</f>
        <v/>
      </c>
      <c r="J32" s="25">
        <f>IF($A32="","",IFERROR($I32/$F32,""))</f>
        <v/>
      </c>
      <c r="K32" s="24">
        <f>IF($A32="","",SUMPRODUCT(('10_CLIENTI'!$A$5:$A$204&lt;&gt;"")*(SUMIFS('13_VANZARI'!$H$5:$H$1004,'13_VANZARI'!$F$5:$F$1004,$A32,'13_VANZARI'!$D$5:$D$1004,'10_CLIENTI'!$A$5:$A$204,'13_VANZARI'!$A$5:$A$1004,"&gt;="&amp;'09_PARAMETRI'!$B$5,'13_VANZARI'!$A$5:$A$1004,"&lt;="&amp;'09_PARAMETRI'!$B$6)&lt;&gt;0)))</f>
        <v/>
      </c>
      <c r="L32" s="24">
        <f>IF($A32="","",IFERROR($F32/$E32,""))</f>
        <v/>
      </c>
      <c r="M32" s="24">
        <f>IF($A32="","",SUMIFS('14_TINTE'!$E$5:$E$304,'14_TINTE'!$A$5:$A$304,"&gt;="&amp;'09_PARAMETRI'!$B$5,'14_TINTE'!$A$5:$A$304,"&lt;="&amp;'09_PARAMETRI'!$B$6,'14_TINTE'!$D$5:$D$304,"Venit",'14_TINTE'!$B$5:$B$304,"Persoană",'14_TINTE'!$C$5:$C$304,$A32))</f>
        <v/>
      </c>
      <c r="N32" s="25">
        <f>IF($A32="","",IFERROR(IF($M32=0,"",$F32/$M32),""))</f>
        <v/>
      </c>
      <c r="O32" s="39">
        <f>IF($A32="","",IF(AND($N32&lt;&gt;"",$N32&lt;'09_PARAMETRI'!$B$18,$M32&gt;0),"Sub țintă",IF(AND($H32&lt;&gt;"",$H32&lt;='09_PARAMETRI'!$B$13),"Portofoliu în scădere",IF(AND($F32&gt;0,$L32&lt;&gt;"",$L32&lt;IFERROR(AVERAGE($L$5:$L$64),0)*0.7),"Productivitate sub medie",IF($F32=0,"Fără vânzări înregistrate","În parametri")))))</f>
        <v/>
      </c>
      <c r="P32" s="39">
        <f>IF($A32="","",IF($O32="Sub țintă","Gap față de țintă",IF($O32="Portofoliu în scădere","Productivitate vânzări",IF($O32="Productivitate sub medie","Dezvoltare oameni",IF($O32="Fără vânzări înregistrate","Proces / operațional","Productivitate vânzări")))))</f>
        <v/>
      </c>
      <c r="Q32" s="24">
        <f>IF($A32="","",IFERROR(IF($O32="Sub țintă",MAX(0,$M32-$F32),IF($O32="Portofoliu în scădere",MAX(0,$G32-$F32),$F32*0.15)),""))</f>
        <v/>
      </c>
    </row>
    <row r="33">
      <c r="A33" s="39">
        <f>IF('12_OAMENI'!$A33="","",'12_OAMENI'!$A33)</f>
        <v/>
      </c>
      <c r="B33" s="39">
        <f>IF($A33="","",IFERROR(INDEX('12_OAMENI'!$B$5:$B$64,MATCH($A33,'12_OAMENI'!$A$5:$A$64,0)),""))</f>
        <v/>
      </c>
      <c r="C33" s="39">
        <f>IF($A33="","",IFERROR(INDEX('12_OAMENI'!$C$5:$C$64,MATCH($A33,'12_OAMENI'!$A$5:$A$64,0)),""))</f>
        <v/>
      </c>
      <c r="D33" s="39">
        <f>IF($A33="","",IFERROR(INDEX('12_OAMENI'!$D$5:$D$64,MATCH($A33,'12_OAMENI'!$A$5:$A$64,0)),""))</f>
        <v/>
      </c>
      <c r="E33" s="48">
        <f>IF($A33="","",IFERROR(INDEX('12_OAMENI'!$E$5:$E$64,MATCH($A33,'12_OAMENI'!$A$5:$A$64,0)),""))</f>
        <v/>
      </c>
      <c r="F33" s="24">
        <f>IF($A33="","",SUMIFS('13_VANZARI'!$H$5:$H$1004,'13_VANZARI'!$F$5:$F$1004,$A33,'13_VANZARI'!$A$5:$A$1004,"&gt;="&amp;'09_PARAMETRI'!$B$5,'13_VANZARI'!$A$5:$A$1004,"&lt;="&amp;'09_PARAMETRI'!$B$6))</f>
        <v/>
      </c>
      <c r="G33" s="24">
        <f>IF($A33="","",SUMIFS('13_VANZARI'!$H$5:$H$1004,'13_VANZARI'!$F$5:$F$1004,$A33,'13_VANZARI'!$A$5:$A$1004,"&gt;="&amp;'09_PARAMETRI'!$B$7,'13_VANZARI'!$A$5:$A$1004,"&lt;="&amp;'09_PARAMETRI'!$B$8))</f>
        <v/>
      </c>
      <c r="H33" s="25">
        <f>IF($A33="","",IFERROR(IF($G33=0,"",($F33-$G33)/ABS($G33)),""))</f>
        <v/>
      </c>
      <c r="I33" s="24">
        <f>IF($A33="","",SUMIFS('13_VANZARI'!$K$5:$K$1004,'13_VANZARI'!$F$5:$F$1004,$A33,'13_VANZARI'!$A$5:$A$1004,"&gt;="&amp;'09_PARAMETRI'!$B$5,'13_VANZARI'!$A$5:$A$1004,"&lt;="&amp;'09_PARAMETRI'!$B$6))</f>
        <v/>
      </c>
      <c r="J33" s="25">
        <f>IF($A33="","",IFERROR($I33/$F33,""))</f>
        <v/>
      </c>
      <c r="K33" s="24">
        <f>IF($A33="","",SUMPRODUCT(('10_CLIENTI'!$A$5:$A$204&lt;&gt;"")*(SUMIFS('13_VANZARI'!$H$5:$H$1004,'13_VANZARI'!$F$5:$F$1004,$A33,'13_VANZARI'!$D$5:$D$1004,'10_CLIENTI'!$A$5:$A$204,'13_VANZARI'!$A$5:$A$1004,"&gt;="&amp;'09_PARAMETRI'!$B$5,'13_VANZARI'!$A$5:$A$1004,"&lt;="&amp;'09_PARAMETRI'!$B$6)&lt;&gt;0)))</f>
        <v/>
      </c>
      <c r="L33" s="24">
        <f>IF($A33="","",IFERROR($F33/$E33,""))</f>
        <v/>
      </c>
      <c r="M33" s="24">
        <f>IF($A33="","",SUMIFS('14_TINTE'!$E$5:$E$304,'14_TINTE'!$A$5:$A$304,"&gt;="&amp;'09_PARAMETRI'!$B$5,'14_TINTE'!$A$5:$A$304,"&lt;="&amp;'09_PARAMETRI'!$B$6,'14_TINTE'!$D$5:$D$304,"Venit",'14_TINTE'!$B$5:$B$304,"Persoană",'14_TINTE'!$C$5:$C$304,$A33))</f>
        <v/>
      </c>
      <c r="N33" s="25">
        <f>IF($A33="","",IFERROR(IF($M33=0,"",$F33/$M33),""))</f>
        <v/>
      </c>
      <c r="O33" s="39">
        <f>IF($A33="","",IF(AND($N33&lt;&gt;"",$N33&lt;'09_PARAMETRI'!$B$18,$M33&gt;0),"Sub țintă",IF(AND($H33&lt;&gt;"",$H33&lt;='09_PARAMETRI'!$B$13),"Portofoliu în scădere",IF(AND($F33&gt;0,$L33&lt;&gt;"",$L33&lt;IFERROR(AVERAGE($L$5:$L$64),0)*0.7),"Productivitate sub medie",IF($F33=0,"Fără vânzări înregistrate","În parametri")))))</f>
        <v/>
      </c>
      <c r="P33" s="39">
        <f>IF($A33="","",IF($O33="Sub țintă","Gap față de țintă",IF($O33="Portofoliu în scădere","Productivitate vânzări",IF($O33="Productivitate sub medie","Dezvoltare oameni",IF($O33="Fără vânzări înregistrate","Proces / operațional","Productivitate vânzări")))))</f>
        <v/>
      </c>
      <c r="Q33" s="24">
        <f>IF($A33="","",IFERROR(IF($O33="Sub țintă",MAX(0,$M33-$F33),IF($O33="Portofoliu în scădere",MAX(0,$G33-$F33),$F33*0.15)),""))</f>
        <v/>
      </c>
    </row>
    <row r="34">
      <c r="A34" s="39">
        <f>IF('12_OAMENI'!$A34="","",'12_OAMENI'!$A34)</f>
        <v/>
      </c>
      <c r="B34" s="39">
        <f>IF($A34="","",IFERROR(INDEX('12_OAMENI'!$B$5:$B$64,MATCH($A34,'12_OAMENI'!$A$5:$A$64,0)),""))</f>
        <v/>
      </c>
      <c r="C34" s="39">
        <f>IF($A34="","",IFERROR(INDEX('12_OAMENI'!$C$5:$C$64,MATCH($A34,'12_OAMENI'!$A$5:$A$64,0)),""))</f>
        <v/>
      </c>
      <c r="D34" s="39">
        <f>IF($A34="","",IFERROR(INDEX('12_OAMENI'!$D$5:$D$64,MATCH($A34,'12_OAMENI'!$A$5:$A$64,0)),""))</f>
        <v/>
      </c>
      <c r="E34" s="48">
        <f>IF($A34="","",IFERROR(INDEX('12_OAMENI'!$E$5:$E$64,MATCH($A34,'12_OAMENI'!$A$5:$A$64,0)),""))</f>
        <v/>
      </c>
      <c r="F34" s="24">
        <f>IF($A34="","",SUMIFS('13_VANZARI'!$H$5:$H$1004,'13_VANZARI'!$F$5:$F$1004,$A34,'13_VANZARI'!$A$5:$A$1004,"&gt;="&amp;'09_PARAMETRI'!$B$5,'13_VANZARI'!$A$5:$A$1004,"&lt;="&amp;'09_PARAMETRI'!$B$6))</f>
        <v/>
      </c>
      <c r="G34" s="24">
        <f>IF($A34="","",SUMIFS('13_VANZARI'!$H$5:$H$1004,'13_VANZARI'!$F$5:$F$1004,$A34,'13_VANZARI'!$A$5:$A$1004,"&gt;="&amp;'09_PARAMETRI'!$B$7,'13_VANZARI'!$A$5:$A$1004,"&lt;="&amp;'09_PARAMETRI'!$B$8))</f>
        <v/>
      </c>
      <c r="H34" s="25">
        <f>IF($A34="","",IFERROR(IF($G34=0,"",($F34-$G34)/ABS($G34)),""))</f>
        <v/>
      </c>
      <c r="I34" s="24">
        <f>IF($A34="","",SUMIFS('13_VANZARI'!$K$5:$K$1004,'13_VANZARI'!$F$5:$F$1004,$A34,'13_VANZARI'!$A$5:$A$1004,"&gt;="&amp;'09_PARAMETRI'!$B$5,'13_VANZARI'!$A$5:$A$1004,"&lt;="&amp;'09_PARAMETRI'!$B$6))</f>
        <v/>
      </c>
      <c r="J34" s="25">
        <f>IF($A34="","",IFERROR($I34/$F34,""))</f>
        <v/>
      </c>
      <c r="K34" s="24">
        <f>IF($A34="","",SUMPRODUCT(('10_CLIENTI'!$A$5:$A$204&lt;&gt;"")*(SUMIFS('13_VANZARI'!$H$5:$H$1004,'13_VANZARI'!$F$5:$F$1004,$A34,'13_VANZARI'!$D$5:$D$1004,'10_CLIENTI'!$A$5:$A$204,'13_VANZARI'!$A$5:$A$1004,"&gt;="&amp;'09_PARAMETRI'!$B$5,'13_VANZARI'!$A$5:$A$1004,"&lt;="&amp;'09_PARAMETRI'!$B$6)&lt;&gt;0)))</f>
        <v/>
      </c>
      <c r="L34" s="24">
        <f>IF($A34="","",IFERROR($F34/$E34,""))</f>
        <v/>
      </c>
      <c r="M34" s="24">
        <f>IF($A34="","",SUMIFS('14_TINTE'!$E$5:$E$304,'14_TINTE'!$A$5:$A$304,"&gt;="&amp;'09_PARAMETRI'!$B$5,'14_TINTE'!$A$5:$A$304,"&lt;="&amp;'09_PARAMETRI'!$B$6,'14_TINTE'!$D$5:$D$304,"Venit",'14_TINTE'!$B$5:$B$304,"Persoană",'14_TINTE'!$C$5:$C$304,$A34))</f>
        <v/>
      </c>
      <c r="N34" s="25">
        <f>IF($A34="","",IFERROR(IF($M34=0,"",$F34/$M34),""))</f>
        <v/>
      </c>
      <c r="O34" s="39">
        <f>IF($A34="","",IF(AND($N34&lt;&gt;"",$N34&lt;'09_PARAMETRI'!$B$18,$M34&gt;0),"Sub țintă",IF(AND($H34&lt;&gt;"",$H34&lt;='09_PARAMETRI'!$B$13),"Portofoliu în scădere",IF(AND($F34&gt;0,$L34&lt;&gt;"",$L34&lt;IFERROR(AVERAGE($L$5:$L$64),0)*0.7),"Productivitate sub medie",IF($F34=0,"Fără vânzări înregistrate","În parametri")))))</f>
        <v/>
      </c>
      <c r="P34" s="39">
        <f>IF($A34="","",IF($O34="Sub țintă","Gap față de țintă",IF($O34="Portofoliu în scădere","Productivitate vânzări",IF($O34="Productivitate sub medie","Dezvoltare oameni",IF($O34="Fără vânzări înregistrate","Proces / operațional","Productivitate vânzări")))))</f>
        <v/>
      </c>
      <c r="Q34" s="24">
        <f>IF($A34="","",IFERROR(IF($O34="Sub țintă",MAX(0,$M34-$F34),IF($O34="Portofoliu în scădere",MAX(0,$G34-$F34),$F34*0.15)),""))</f>
        <v/>
      </c>
    </row>
    <row r="35">
      <c r="A35" s="39">
        <f>IF('12_OAMENI'!$A35="","",'12_OAMENI'!$A35)</f>
        <v/>
      </c>
      <c r="B35" s="39">
        <f>IF($A35="","",IFERROR(INDEX('12_OAMENI'!$B$5:$B$64,MATCH($A35,'12_OAMENI'!$A$5:$A$64,0)),""))</f>
        <v/>
      </c>
      <c r="C35" s="39">
        <f>IF($A35="","",IFERROR(INDEX('12_OAMENI'!$C$5:$C$64,MATCH($A35,'12_OAMENI'!$A$5:$A$64,0)),""))</f>
        <v/>
      </c>
      <c r="D35" s="39">
        <f>IF($A35="","",IFERROR(INDEX('12_OAMENI'!$D$5:$D$64,MATCH($A35,'12_OAMENI'!$A$5:$A$64,0)),""))</f>
        <v/>
      </c>
      <c r="E35" s="48">
        <f>IF($A35="","",IFERROR(INDEX('12_OAMENI'!$E$5:$E$64,MATCH($A35,'12_OAMENI'!$A$5:$A$64,0)),""))</f>
        <v/>
      </c>
      <c r="F35" s="24">
        <f>IF($A35="","",SUMIFS('13_VANZARI'!$H$5:$H$1004,'13_VANZARI'!$F$5:$F$1004,$A35,'13_VANZARI'!$A$5:$A$1004,"&gt;="&amp;'09_PARAMETRI'!$B$5,'13_VANZARI'!$A$5:$A$1004,"&lt;="&amp;'09_PARAMETRI'!$B$6))</f>
        <v/>
      </c>
      <c r="G35" s="24">
        <f>IF($A35="","",SUMIFS('13_VANZARI'!$H$5:$H$1004,'13_VANZARI'!$F$5:$F$1004,$A35,'13_VANZARI'!$A$5:$A$1004,"&gt;="&amp;'09_PARAMETRI'!$B$7,'13_VANZARI'!$A$5:$A$1004,"&lt;="&amp;'09_PARAMETRI'!$B$8))</f>
        <v/>
      </c>
      <c r="H35" s="25">
        <f>IF($A35="","",IFERROR(IF($G35=0,"",($F35-$G35)/ABS($G35)),""))</f>
        <v/>
      </c>
      <c r="I35" s="24">
        <f>IF($A35="","",SUMIFS('13_VANZARI'!$K$5:$K$1004,'13_VANZARI'!$F$5:$F$1004,$A35,'13_VANZARI'!$A$5:$A$1004,"&gt;="&amp;'09_PARAMETRI'!$B$5,'13_VANZARI'!$A$5:$A$1004,"&lt;="&amp;'09_PARAMETRI'!$B$6))</f>
        <v/>
      </c>
      <c r="J35" s="25">
        <f>IF($A35="","",IFERROR($I35/$F35,""))</f>
        <v/>
      </c>
      <c r="K35" s="24">
        <f>IF($A35="","",SUMPRODUCT(('10_CLIENTI'!$A$5:$A$204&lt;&gt;"")*(SUMIFS('13_VANZARI'!$H$5:$H$1004,'13_VANZARI'!$F$5:$F$1004,$A35,'13_VANZARI'!$D$5:$D$1004,'10_CLIENTI'!$A$5:$A$204,'13_VANZARI'!$A$5:$A$1004,"&gt;="&amp;'09_PARAMETRI'!$B$5,'13_VANZARI'!$A$5:$A$1004,"&lt;="&amp;'09_PARAMETRI'!$B$6)&lt;&gt;0)))</f>
        <v/>
      </c>
      <c r="L35" s="24">
        <f>IF($A35="","",IFERROR($F35/$E35,""))</f>
        <v/>
      </c>
      <c r="M35" s="24">
        <f>IF($A35="","",SUMIFS('14_TINTE'!$E$5:$E$304,'14_TINTE'!$A$5:$A$304,"&gt;="&amp;'09_PARAMETRI'!$B$5,'14_TINTE'!$A$5:$A$304,"&lt;="&amp;'09_PARAMETRI'!$B$6,'14_TINTE'!$D$5:$D$304,"Venit",'14_TINTE'!$B$5:$B$304,"Persoană",'14_TINTE'!$C$5:$C$304,$A35))</f>
        <v/>
      </c>
      <c r="N35" s="25">
        <f>IF($A35="","",IFERROR(IF($M35=0,"",$F35/$M35),""))</f>
        <v/>
      </c>
      <c r="O35" s="39">
        <f>IF($A35="","",IF(AND($N35&lt;&gt;"",$N35&lt;'09_PARAMETRI'!$B$18,$M35&gt;0),"Sub țintă",IF(AND($H35&lt;&gt;"",$H35&lt;='09_PARAMETRI'!$B$13),"Portofoliu în scădere",IF(AND($F35&gt;0,$L35&lt;&gt;"",$L35&lt;IFERROR(AVERAGE($L$5:$L$64),0)*0.7),"Productivitate sub medie",IF($F35=0,"Fără vânzări înregistrate","În parametri")))))</f>
        <v/>
      </c>
      <c r="P35" s="39">
        <f>IF($A35="","",IF($O35="Sub țintă","Gap față de țintă",IF($O35="Portofoliu în scădere","Productivitate vânzări",IF($O35="Productivitate sub medie","Dezvoltare oameni",IF($O35="Fără vânzări înregistrate","Proces / operațional","Productivitate vânzări")))))</f>
        <v/>
      </c>
      <c r="Q35" s="24">
        <f>IF($A35="","",IFERROR(IF($O35="Sub țintă",MAX(0,$M35-$F35),IF($O35="Portofoliu în scădere",MAX(0,$G35-$F35),$F35*0.15)),""))</f>
        <v/>
      </c>
    </row>
    <row r="36">
      <c r="A36" s="39">
        <f>IF('12_OAMENI'!$A36="","",'12_OAMENI'!$A36)</f>
        <v/>
      </c>
      <c r="B36" s="39">
        <f>IF($A36="","",IFERROR(INDEX('12_OAMENI'!$B$5:$B$64,MATCH($A36,'12_OAMENI'!$A$5:$A$64,0)),""))</f>
        <v/>
      </c>
      <c r="C36" s="39">
        <f>IF($A36="","",IFERROR(INDEX('12_OAMENI'!$C$5:$C$64,MATCH($A36,'12_OAMENI'!$A$5:$A$64,0)),""))</f>
        <v/>
      </c>
      <c r="D36" s="39">
        <f>IF($A36="","",IFERROR(INDEX('12_OAMENI'!$D$5:$D$64,MATCH($A36,'12_OAMENI'!$A$5:$A$64,0)),""))</f>
        <v/>
      </c>
      <c r="E36" s="48">
        <f>IF($A36="","",IFERROR(INDEX('12_OAMENI'!$E$5:$E$64,MATCH($A36,'12_OAMENI'!$A$5:$A$64,0)),""))</f>
        <v/>
      </c>
      <c r="F36" s="24">
        <f>IF($A36="","",SUMIFS('13_VANZARI'!$H$5:$H$1004,'13_VANZARI'!$F$5:$F$1004,$A36,'13_VANZARI'!$A$5:$A$1004,"&gt;="&amp;'09_PARAMETRI'!$B$5,'13_VANZARI'!$A$5:$A$1004,"&lt;="&amp;'09_PARAMETRI'!$B$6))</f>
        <v/>
      </c>
      <c r="G36" s="24">
        <f>IF($A36="","",SUMIFS('13_VANZARI'!$H$5:$H$1004,'13_VANZARI'!$F$5:$F$1004,$A36,'13_VANZARI'!$A$5:$A$1004,"&gt;="&amp;'09_PARAMETRI'!$B$7,'13_VANZARI'!$A$5:$A$1004,"&lt;="&amp;'09_PARAMETRI'!$B$8))</f>
        <v/>
      </c>
      <c r="H36" s="25">
        <f>IF($A36="","",IFERROR(IF($G36=0,"",($F36-$G36)/ABS($G36)),""))</f>
        <v/>
      </c>
      <c r="I36" s="24">
        <f>IF($A36="","",SUMIFS('13_VANZARI'!$K$5:$K$1004,'13_VANZARI'!$F$5:$F$1004,$A36,'13_VANZARI'!$A$5:$A$1004,"&gt;="&amp;'09_PARAMETRI'!$B$5,'13_VANZARI'!$A$5:$A$1004,"&lt;="&amp;'09_PARAMETRI'!$B$6))</f>
        <v/>
      </c>
      <c r="J36" s="25">
        <f>IF($A36="","",IFERROR($I36/$F36,""))</f>
        <v/>
      </c>
      <c r="K36" s="24">
        <f>IF($A36="","",SUMPRODUCT(('10_CLIENTI'!$A$5:$A$204&lt;&gt;"")*(SUMIFS('13_VANZARI'!$H$5:$H$1004,'13_VANZARI'!$F$5:$F$1004,$A36,'13_VANZARI'!$D$5:$D$1004,'10_CLIENTI'!$A$5:$A$204,'13_VANZARI'!$A$5:$A$1004,"&gt;="&amp;'09_PARAMETRI'!$B$5,'13_VANZARI'!$A$5:$A$1004,"&lt;="&amp;'09_PARAMETRI'!$B$6)&lt;&gt;0)))</f>
        <v/>
      </c>
      <c r="L36" s="24">
        <f>IF($A36="","",IFERROR($F36/$E36,""))</f>
        <v/>
      </c>
      <c r="M36" s="24">
        <f>IF($A36="","",SUMIFS('14_TINTE'!$E$5:$E$304,'14_TINTE'!$A$5:$A$304,"&gt;="&amp;'09_PARAMETRI'!$B$5,'14_TINTE'!$A$5:$A$304,"&lt;="&amp;'09_PARAMETRI'!$B$6,'14_TINTE'!$D$5:$D$304,"Venit",'14_TINTE'!$B$5:$B$304,"Persoană",'14_TINTE'!$C$5:$C$304,$A36))</f>
        <v/>
      </c>
      <c r="N36" s="25">
        <f>IF($A36="","",IFERROR(IF($M36=0,"",$F36/$M36),""))</f>
        <v/>
      </c>
      <c r="O36" s="39">
        <f>IF($A36="","",IF(AND($N36&lt;&gt;"",$N36&lt;'09_PARAMETRI'!$B$18,$M36&gt;0),"Sub țintă",IF(AND($H36&lt;&gt;"",$H36&lt;='09_PARAMETRI'!$B$13),"Portofoliu în scădere",IF(AND($F36&gt;0,$L36&lt;&gt;"",$L36&lt;IFERROR(AVERAGE($L$5:$L$64),0)*0.7),"Productivitate sub medie",IF($F36=0,"Fără vânzări înregistrate","În parametri")))))</f>
        <v/>
      </c>
      <c r="P36" s="39">
        <f>IF($A36="","",IF($O36="Sub țintă","Gap față de țintă",IF($O36="Portofoliu în scădere","Productivitate vânzări",IF($O36="Productivitate sub medie","Dezvoltare oameni",IF($O36="Fără vânzări înregistrate","Proces / operațional","Productivitate vânzări")))))</f>
        <v/>
      </c>
      <c r="Q36" s="24">
        <f>IF($A36="","",IFERROR(IF($O36="Sub țintă",MAX(0,$M36-$F36),IF($O36="Portofoliu în scădere",MAX(0,$G36-$F36),$F36*0.15)),""))</f>
        <v/>
      </c>
    </row>
    <row r="37">
      <c r="A37" s="39">
        <f>IF('12_OAMENI'!$A37="","",'12_OAMENI'!$A37)</f>
        <v/>
      </c>
      <c r="B37" s="39">
        <f>IF($A37="","",IFERROR(INDEX('12_OAMENI'!$B$5:$B$64,MATCH($A37,'12_OAMENI'!$A$5:$A$64,0)),""))</f>
        <v/>
      </c>
      <c r="C37" s="39">
        <f>IF($A37="","",IFERROR(INDEX('12_OAMENI'!$C$5:$C$64,MATCH($A37,'12_OAMENI'!$A$5:$A$64,0)),""))</f>
        <v/>
      </c>
      <c r="D37" s="39">
        <f>IF($A37="","",IFERROR(INDEX('12_OAMENI'!$D$5:$D$64,MATCH($A37,'12_OAMENI'!$A$5:$A$64,0)),""))</f>
        <v/>
      </c>
      <c r="E37" s="48">
        <f>IF($A37="","",IFERROR(INDEX('12_OAMENI'!$E$5:$E$64,MATCH($A37,'12_OAMENI'!$A$5:$A$64,0)),""))</f>
        <v/>
      </c>
      <c r="F37" s="24">
        <f>IF($A37="","",SUMIFS('13_VANZARI'!$H$5:$H$1004,'13_VANZARI'!$F$5:$F$1004,$A37,'13_VANZARI'!$A$5:$A$1004,"&gt;="&amp;'09_PARAMETRI'!$B$5,'13_VANZARI'!$A$5:$A$1004,"&lt;="&amp;'09_PARAMETRI'!$B$6))</f>
        <v/>
      </c>
      <c r="G37" s="24">
        <f>IF($A37="","",SUMIFS('13_VANZARI'!$H$5:$H$1004,'13_VANZARI'!$F$5:$F$1004,$A37,'13_VANZARI'!$A$5:$A$1004,"&gt;="&amp;'09_PARAMETRI'!$B$7,'13_VANZARI'!$A$5:$A$1004,"&lt;="&amp;'09_PARAMETRI'!$B$8))</f>
        <v/>
      </c>
      <c r="H37" s="25">
        <f>IF($A37="","",IFERROR(IF($G37=0,"",($F37-$G37)/ABS($G37)),""))</f>
        <v/>
      </c>
      <c r="I37" s="24">
        <f>IF($A37="","",SUMIFS('13_VANZARI'!$K$5:$K$1004,'13_VANZARI'!$F$5:$F$1004,$A37,'13_VANZARI'!$A$5:$A$1004,"&gt;="&amp;'09_PARAMETRI'!$B$5,'13_VANZARI'!$A$5:$A$1004,"&lt;="&amp;'09_PARAMETRI'!$B$6))</f>
        <v/>
      </c>
      <c r="J37" s="25">
        <f>IF($A37="","",IFERROR($I37/$F37,""))</f>
        <v/>
      </c>
      <c r="K37" s="24">
        <f>IF($A37="","",SUMPRODUCT(('10_CLIENTI'!$A$5:$A$204&lt;&gt;"")*(SUMIFS('13_VANZARI'!$H$5:$H$1004,'13_VANZARI'!$F$5:$F$1004,$A37,'13_VANZARI'!$D$5:$D$1004,'10_CLIENTI'!$A$5:$A$204,'13_VANZARI'!$A$5:$A$1004,"&gt;="&amp;'09_PARAMETRI'!$B$5,'13_VANZARI'!$A$5:$A$1004,"&lt;="&amp;'09_PARAMETRI'!$B$6)&lt;&gt;0)))</f>
        <v/>
      </c>
      <c r="L37" s="24">
        <f>IF($A37="","",IFERROR($F37/$E37,""))</f>
        <v/>
      </c>
      <c r="M37" s="24">
        <f>IF($A37="","",SUMIFS('14_TINTE'!$E$5:$E$304,'14_TINTE'!$A$5:$A$304,"&gt;="&amp;'09_PARAMETRI'!$B$5,'14_TINTE'!$A$5:$A$304,"&lt;="&amp;'09_PARAMETRI'!$B$6,'14_TINTE'!$D$5:$D$304,"Venit",'14_TINTE'!$B$5:$B$304,"Persoană",'14_TINTE'!$C$5:$C$304,$A37))</f>
        <v/>
      </c>
      <c r="N37" s="25">
        <f>IF($A37="","",IFERROR(IF($M37=0,"",$F37/$M37),""))</f>
        <v/>
      </c>
      <c r="O37" s="39">
        <f>IF($A37="","",IF(AND($N37&lt;&gt;"",$N37&lt;'09_PARAMETRI'!$B$18,$M37&gt;0),"Sub țintă",IF(AND($H37&lt;&gt;"",$H37&lt;='09_PARAMETRI'!$B$13),"Portofoliu în scădere",IF(AND($F37&gt;0,$L37&lt;&gt;"",$L37&lt;IFERROR(AVERAGE($L$5:$L$64),0)*0.7),"Productivitate sub medie",IF($F37=0,"Fără vânzări înregistrate","În parametri")))))</f>
        <v/>
      </c>
      <c r="P37" s="39">
        <f>IF($A37="","",IF($O37="Sub țintă","Gap față de țintă",IF($O37="Portofoliu în scădere","Productivitate vânzări",IF($O37="Productivitate sub medie","Dezvoltare oameni",IF($O37="Fără vânzări înregistrate","Proces / operațional","Productivitate vânzări")))))</f>
        <v/>
      </c>
      <c r="Q37" s="24">
        <f>IF($A37="","",IFERROR(IF($O37="Sub țintă",MAX(0,$M37-$F37),IF($O37="Portofoliu în scădere",MAX(0,$G37-$F37),$F37*0.15)),""))</f>
        <v/>
      </c>
    </row>
    <row r="38">
      <c r="A38" s="39">
        <f>IF('12_OAMENI'!$A38="","",'12_OAMENI'!$A38)</f>
        <v/>
      </c>
      <c r="B38" s="39">
        <f>IF($A38="","",IFERROR(INDEX('12_OAMENI'!$B$5:$B$64,MATCH($A38,'12_OAMENI'!$A$5:$A$64,0)),""))</f>
        <v/>
      </c>
      <c r="C38" s="39">
        <f>IF($A38="","",IFERROR(INDEX('12_OAMENI'!$C$5:$C$64,MATCH($A38,'12_OAMENI'!$A$5:$A$64,0)),""))</f>
        <v/>
      </c>
      <c r="D38" s="39">
        <f>IF($A38="","",IFERROR(INDEX('12_OAMENI'!$D$5:$D$64,MATCH($A38,'12_OAMENI'!$A$5:$A$64,0)),""))</f>
        <v/>
      </c>
      <c r="E38" s="48">
        <f>IF($A38="","",IFERROR(INDEX('12_OAMENI'!$E$5:$E$64,MATCH($A38,'12_OAMENI'!$A$5:$A$64,0)),""))</f>
        <v/>
      </c>
      <c r="F38" s="24">
        <f>IF($A38="","",SUMIFS('13_VANZARI'!$H$5:$H$1004,'13_VANZARI'!$F$5:$F$1004,$A38,'13_VANZARI'!$A$5:$A$1004,"&gt;="&amp;'09_PARAMETRI'!$B$5,'13_VANZARI'!$A$5:$A$1004,"&lt;="&amp;'09_PARAMETRI'!$B$6))</f>
        <v/>
      </c>
      <c r="G38" s="24">
        <f>IF($A38="","",SUMIFS('13_VANZARI'!$H$5:$H$1004,'13_VANZARI'!$F$5:$F$1004,$A38,'13_VANZARI'!$A$5:$A$1004,"&gt;="&amp;'09_PARAMETRI'!$B$7,'13_VANZARI'!$A$5:$A$1004,"&lt;="&amp;'09_PARAMETRI'!$B$8))</f>
        <v/>
      </c>
      <c r="H38" s="25">
        <f>IF($A38="","",IFERROR(IF($G38=0,"",($F38-$G38)/ABS($G38)),""))</f>
        <v/>
      </c>
      <c r="I38" s="24">
        <f>IF($A38="","",SUMIFS('13_VANZARI'!$K$5:$K$1004,'13_VANZARI'!$F$5:$F$1004,$A38,'13_VANZARI'!$A$5:$A$1004,"&gt;="&amp;'09_PARAMETRI'!$B$5,'13_VANZARI'!$A$5:$A$1004,"&lt;="&amp;'09_PARAMETRI'!$B$6))</f>
        <v/>
      </c>
      <c r="J38" s="25">
        <f>IF($A38="","",IFERROR($I38/$F38,""))</f>
        <v/>
      </c>
      <c r="K38" s="24">
        <f>IF($A38="","",SUMPRODUCT(('10_CLIENTI'!$A$5:$A$204&lt;&gt;"")*(SUMIFS('13_VANZARI'!$H$5:$H$1004,'13_VANZARI'!$F$5:$F$1004,$A38,'13_VANZARI'!$D$5:$D$1004,'10_CLIENTI'!$A$5:$A$204,'13_VANZARI'!$A$5:$A$1004,"&gt;="&amp;'09_PARAMETRI'!$B$5,'13_VANZARI'!$A$5:$A$1004,"&lt;="&amp;'09_PARAMETRI'!$B$6)&lt;&gt;0)))</f>
        <v/>
      </c>
      <c r="L38" s="24">
        <f>IF($A38="","",IFERROR($F38/$E38,""))</f>
        <v/>
      </c>
      <c r="M38" s="24">
        <f>IF($A38="","",SUMIFS('14_TINTE'!$E$5:$E$304,'14_TINTE'!$A$5:$A$304,"&gt;="&amp;'09_PARAMETRI'!$B$5,'14_TINTE'!$A$5:$A$304,"&lt;="&amp;'09_PARAMETRI'!$B$6,'14_TINTE'!$D$5:$D$304,"Venit",'14_TINTE'!$B$5:$B$304,"Persoană",'14_TINTE'!$C$5:$C$304,$A38))</f>
        <v/>
      </c>
      <c r="N38" s="25">
        <f>IF($A38="","",IFERROR(IF($M38=0,"",$F38/$M38),""))</f>
        <v/>
      </c>
      <c r="O38" s="39">
        <f>IF($A38="","",IF(AND($N38&lt;&gt;"",$N38&lt;'09_PARAMETRI'!$B$18,$M38&gt;0),"Sub țintă",IF(AND($H38&lt;&gt;"",$H38&lt;='09_PARAMETRI'!$B$13),"Portofoliu în scădere",IF(AND($F38&gt;0,$L38&lt;&gt;"",$L38&lt;IFERROR(AVERAGE($L$5:$L$64),0)*0.7),"Productivitate sub medie",IF($F38=0,"Fără vânzări înregistrate","În parametri")))))</f>
        <v/>
      </c>
      <c r="P38" s="39">
        <f>IF($A38="","",IF($O38="Sub țintă","Gap față de țintă",IF($O38="Portofoliu în scădere","Productivitate vânzări",IF($O38="Productivitate sub medie","Dezvoltare oameni",IF($O38="Fără vânzări înregistrate","Proces / operațional","Productivitate vânzări")))))</f>
        <v/>
      </c>
      <c r="Q38" s="24">
        <f>IF($A38="","",IFERROR(IF($O38="Sub țintă",MAX(0,$M38-$F38),IF($O38="Portofoliu în scădere",MAX(0,$G38-$F38),$F38*0.15)),""))</f>
        <v/>
      </c>
    </row>
    <row r="39">
      <c r="A39" s="39">
        <f>IF('12_OAMENI'!$A39="","",'12_OAMENI'!$A39)</f>
        <v/>
      </c>
      <c r="B39" s="39">
        <f>IF($A39="","",IFERROR(INDEX('12_OAMENI'!$B$5:$B$64,MATCH($A39,'12_OAMENI'!$A$5:$A$64,0)),""))</f>
        <v/>
      </c>
      <c r="C39" s="39">
        <f>IF($A39="","",IFERROR(INDEX('12_OAMENI'!$C$5:$C$64,MATCH($A39,'12_OAMENI'!$A$5:$A$64,0)),""))</f>
        <v/>
      </c>
      <c r="D39" s="39">
        <f>IF($A39="","",IFERROR(INDEX('12_OAMENI'!$D$5:$D$64,MATCH($A39,'12_OAMENI'!$A$5:$A$64,0)),""))</f>
        <v/>
      </c>
      <c r="E39" s="48">
        <f>IF($A39="","",IFERROR(INDEX('12_OAMENI'!$E$5:$E$64,MATCH($A39,'12_OAMENI'!$A$5:$A$64,0)),""))</f>
        <v/>
      </c>
      <c r="F39" s="24">
        <f>IF($A39="","",SUMIFS('13_VANZARI'!$H$5:$H$1004,'13_VANZARI'!$F$5:$F$1004,$A39,'13_VANZARI'!$A$5:$A$1004,"&gt;="&amp;'09_PARAMETRI'!$B$5,'13_VANZARI'!$A$5:$A$1004,"&lt;="&amp;'09_PARAMETRI'!$B$6))</f>
        <v/>
      </c>
      <c r="G39" s="24">
        <f>IF($A39="","",SUMIFS('13_VANZARI'!$H$5:$H$1004,'13_VANZARI'!$F$5:$F$1004,$A39,'13_VANZARI'!$A$5:$A$1004,"&gt;="&amp;'09_PARAMETRI'!$B$7,'13_VANZARI'!$A$5:$A$1004,"&lt;="&amp;'09_PARAMETRI'!$B$8))</f>
        <v/>
      </c>
      <c r="H39" s="25">
        <f>IF($A39="","",IFERROR(IF($G39=0,"",($F39-$G39)/ABS($G39)),""))</f>
        <v/>
      </c>
      <c r="I39" s="24">
        <f>IF($A39="","",SUMIFS('13_VANZARI'!$K$5:$K$1004,'13_VANZARI'!$F$5:$F$1004,$A39,'13_VANZARI'!$A$5:$A$1004,"&gt;="&amp;'09_PARAMETRI'!$B$5,'13_VANZARI'!$A$5:$A$1004,"&lt;="&amp;'09_PARAMETRI'!$B$6))</f>
        <v/>
      </c>
      <c r="J39" s="25">
        <f>IF($A39="","",IFERROR($I39/$F39,""))</f>
        <v/>
      </c>
      <c r="K39" s="24">
        <f>IF($A39="","",SUMPRODUCT(('10_CLIENTI'!$A$5:$A$204&lt;&gt;"")*(SUMIFS('13_VANZARI'!$H$5:$H$1004,'13_VANZARI'!$F$5:$F$1004,$A39,'13_VANZARI'!$D$5:$D$1004,'10_CLIENTI'!$A$5:$A$204,'13_VANZARI'!$A$5:$A$1004,"&gt;="&amp;'09_PARAMETRI'!$B$5,'13_VANZARI'!$A$5:$A$1004,"&lt;="&amp;'09_PARAMETRI'!$B$6)&lt;&gt;0)))</f>
        <v/>
      </c>
      <c r="L39" s="24">
        <f>IF($A39="","",IFERROR($F39/$E39,""))</f>
        <v/>
      </c>
      <c r="M39" s="24">
        <f>IF($A39="","",SUMIFS('14_TINTE'!$E$5:$E$304,'14_TINTE'!$A$5:$A$304,"&gt;="&amp;'09_PARAMETRI'!$B$5,'14_TINTE'!$A$5:$A$304,"&lt;="&amp;'09_PARAMETRI'!$B$6,'14_TINTE'!$D$5:$D$304,"Venit",'14_TINTE'!$B$5:$B$304,"Persoană",'14_TINTE'!$C$5:$C$304,$A39))</f>
        <v/>
      </c>
      <c r="N39" s="25">
        <f>IF($A39="","",IFERROR(IF($M39=0,"",$F39/$M39),""))</f>
        <v/>
      </c>
      <c r="O39" s="39">
        <f>IF($A39="","",IF(AND($N39&lt;&gt;"",$N39&lt;'09_PARAMETRI'!$B$18,$M39&gt;0),"Sub țintă",IF(AND($H39&lt;&gt;"",$H39&lt;='09_PARAMETRI'!$B$13),"Portofoliu în scădere",IF(AND($F39&gt;0,$L39&lt;&gt;"",$L39&lt;IFERROR(AVERAGE($L$5:$L$64),0)*0.7),"Productivitate sub medie",IF($F39=0,"Fără vânzări înregistrate","În parametri")))))</f>
        <v/>
      </c>
      <c r="P39" s="39">
        <f>IF($A39="","",IF($O39="Sub țintă","Gap față de țintă",IF($O39="Portofoliu în scădere","Productivitate vânzări",IF($O39="Productivitate sub medie","Dezvoltare oameni",IF($O39="Fără vânzări înregistrate","Proces / operațional","Productivitate vânzări")))))</f>
        <v/>
      </c>
      <c r="Q39" s="24">
        <f>IF($A39="","",IFERROR(IF($O39="Sub țintă",MAX(0,$M39-$F39),IF($O39="Portofoliu în scădere",MAX(0,$G39-$F39),$F39*0.15)),""))</f>
        <v/>
      </c>
    </row>
    <row r="40">
      <c r="A40" s="39">
        <f>IF('12_OAMENI'!$A40="","",'12_OAMENI'!$A40)</f>
        <v/>
      </c>
      <c r="B40" s="39">
        <f>IF($A40="","",IFERROR(INDEX('12_OAMENI'!$B$5:$B$64,MATCH($A40,'12_OAMENI'!$A$5:$A$64,0)),""))</f>
        <v/>
      </c>
      <c r="C40" s="39">
        <f>IF($A40="","",IFERROR(INDEX('12_OAMENI'!$C$5:$C$64,MATCH($A40,'12_OAMENI'!$A$5:$A$64,0)),""))</f>
        <v/>
      </c>
      <c r="D40" s="39">
        <f>IF($A40="","",IFERROR(INDEX('12_OAMENI'!$D$5:$D$64,MATCH($A40,'12_OAMENI'!$A$5:$A$64,0)),""))</f>
        <v/>
      </c>
      <c r="E40" s="48">
        <f>IF($A40="","",IFERROR(INDEX('12_OAMENI'!$E$5:$E$64,MATCH($A40,'12_OAMENI'!$A$5:$A$64,0)),""))</f>
        <v/>
      </c>
      <c r="F40" s="24">
        <f>IF($A40="","",SUMIFS('13_VANZARI'!$H$5:$H$1004,'13_VANZARI'!$F$5:$F$1004,$A40,'13_VANZARI'!$A$5:$A$1004,"&gt;="&amp;'09_PARAMETRI'!$B$5,'13_VANZARI'!$A$5:$A$1004,"&lt;="&amp;'09_PARAMETRI'!$B$6))</f>
        <v/>
      </c>
      <c r="G40" s="24">
        <f>IF($A40="","",SUMIFS('13_VANZARI'!$H$5:$H$1004,'13_VANZARI'!$F$5:$F$1004,$A40,'13_VANZARI'!$A$5:$A$1004,"&gt;="&amp;'09_PARAMETRI'!$B$7,'13_VANZARI'!$A$5:$A$1004,"&lt;="&amp;'09_PARAMETRI'!$B$8))</f>
        <v/>
      </c>
      <c r="H40" s="25">
        <f>IF($A40="","",IFERROR(IF($G40=0,"",($F40-$G40)/ABS($G40)),""))</f>
        <v/>
      </c>
      <c r="I40" s="24">
        <f>IF($A40="","",SUMIFS('13_VANZARI'!$K$5:$K$1004,'13_VANZARI'!$F$5:$F$1004,$A40,'13_VANZARI'!$A$5:$A$1004,"&gt;="&amp;'09_PARAMETRI'!$B$5,'13_VANZARI'!$A$5:$A$1004,"&lt;="&amp;'09_PARAMETRI'!$B$6))</f>
        <v/>
      </c>
      <c r="J40" s="25">
        <f>IF($A40="","",IFERROR($I40/$F40,""))</f>
        <v/>
      </c>
      <c r="K40" s="24">
        <f>IF($A40="","",SUMPRODUCT(('10_CLIENTI'!$A$5:$A$204&lt;&gt;"")*(SUMIFS('13_VANZARI'!$H$5:$H$1004,'13_VANZARI'!$F$5:$F$1004,$A40,'13_VANZARI'!$D$5:$D$1004,'10_CLIENTI'!$A$5:$A$204,'13_VANZARI'!$A$5:$A$1004,"&gt;="&amp;'09_PARAMETRI'!$B$5,'13_VANZARI'!$A$5:$A$1004,"&lt;="&amp;'09_PARAMETRI'!$B$6)&lt;&gt;0)))</f>
        <v/>
      </c>
      <c r="L40" s="24">
        <f>IF($A40="","",IFERROR($F40/$E40,""))</f>
        <v/>
      </c>
      <c r="M40" s="24">
        <f>IF($A40="","",SUMIFS('14_TINTE'!$E$5:$E$304,'14_TINTE'!$A$5:$A$304,"&gt;="&amp;'09_PARAMETRI'!$B$5,'14_TINTE'!$A$5:$A$304,"&lt;="&amp;'09_PARAMETRI'!$B$6,'14_TINTE'!$D$5:$D$304,"Venit",'14_TINTE'!$B$5:$B$304,"Persoană",'14_TINTE'!$C$5:$C$304,$A40))</f>
        <v/>
      </c>
      <c r="N40" s="25">
        <f>IF($A40="","",IFERROR(IF($M40=0,"",$F40/$M40),""))</f>
        <v/>
      </c>
      <c r="O40" s="39">
        <f>IF($A40="","",IF(AND($N40&lt;&gt;"",$N40&lt;'09_PARAMETRI'!$B$18,$M40&gt;0),"Sub țintă",IF(AND($H40&lt;&gt;"",$H40&lt;='09_PARAMETRI'!$B$13),"Portofoliu în scădere",IF(AND($F40&gt;0,$L40&lt;&gt;"",$L40&lt;IFERROR(AVERAGE($L$5:$L$64),0)*0.7),"Productivitate sub medie",IF($F40=0,"Fără vânzări înregistrate","În parametri")))))</f>
        <v/>
      </c>
      <c r="P40" s="39">
        <f>IF($A40="","",IF($O40="Sub țintă","Gap față de țintă",IF($O40="Portofoliu în scădere","Productivitate vânzări",IF($O40="Productivitate sub medie","Dezvoltare oameni",IF($O40="Fără vânzări înregistrate","Proces / operațional","Productivitate vânzări")))))</f>
        <v/>
      </c>
      <c r="Q40" s="24">
        <f>IF($A40="","",IFERROR(IF($O40="Sub țintă",MAX(0,$M40-$F40),IF($O40="Portofoliu în scădere",MAX(0,$G40-$F40),$F40*0.15)),""))</f>
        <v/>
      </c>
    </row>
    <row r="41">
      <c r="A41" s="39">
        <f>IF('12_OAMENI'!$A41="","",'12_OAMENI'!$A41)</f>
        <v/>
      </c>
      <c r="B41" s="39">
        <f>IF($A41="","",IFERROR(INDEX('12_OAMENI'!$B$5:$B$64,MATCH($A41,'12_OAMENI'!$A$5:$A$64,0)),""))</f>
        <v/>
      </c>
      <c r="C41" s="39">
        <f>IF($A41="","",IFERROR(INDEX('12_OAMENI'!$C$5:$C$64,MATCH($A41,'12_OAMENI'!$A$5:$A$64,0)),""))</f>
        <v/>
      </c>
      <c r="D41" s="39">
        <f>IF($A41="","",IFERROR(INDEX('12_OAMENI'!$D$5:$D$64,MATCH($A41,'12_OAMENI'!$A$5:$A$64,0)),""))</f>
        <v/>
      </c>
      <c r="E41" s="48">
        <f>IF($A41="","",IFERROR(INDEX('12_OAMENI'!$E$5:$E$64,MATCH($A41,'12_OAMENI'!$A$5:$A$64,0)),""))</f>
        <v/>
      </c>
      <c r="F41" s="24">
        <f>IF($A41="","",SUMIFS('13_VANZARI'!$H$5:$H$1004,'13_VANZARI'!$F$5:$F$1004,$A41,'13_VANZARI'!$A$5:$A$1004,"&gt;="&amp;'09_PARAMETRI'!$B$5,'13_VANZARI'!$A$5:$A$1004,"&lt;="&amp;'09_PARAMETRI'!$B$6))</f>
        <v/>
      </c>
      <c r="G41" s="24">
        <f>IF($A41="","",SUMIFS('13_VANZARI'!$H$5:$H$1004,'13_VANZARI'!$F$5:$F$1004,$A41,'13_VANZARI'!$A$5:$A$1004,"&gt;="&amp;'09_PARAMETRI'!$B$7,'13_VANZARI'!$A$5:$A$1004,"&lt;="&amp;'09_PARAMETRI'!$B$8))</f>
        <v/>
      </c>
      <c r="H41" s="25">
        <f>IF($A41="","",IFERROR(IF($G41=0,"",($F41-$G41)/ABS($G41)),""))</f>
        <v/>
      </c>
      <c r="I41" s="24">
        <f>IF($A41="","",SUMIFS('13_VANZARI'!$K$5:$K$1004,'13_VANZARI'!$F$5:$F$1004,$A41,'13_VANZARI'!$A$5:$A$1004,"&gt;="&amp;'09_PARAMETRI'!$B$5,'13_VANZARI'!$A$5:$A$1004,"&lt;="&amp;'09_PARAMETRI'!$B$6))</f>
        <v/>
      </c>
      <c r="J41" s="25">
        <f>IF($A41="","",IFERROR($I41/$F41,""))</f>
        <v/>
      </c>
      <c r="K41" s="24">
        <f>IF($A41="","",SUMPRODUCT(('10_CLIENTI'!$A$5:$A$204&lt;&gt;"")*(SUMIFS('13_VANZARI'!$H$5:$H$1004,'13_VANZARI'!$F$5:$F$1004,$A41,'13_VANZARI'!$D$5:$D$1004,'10_CLIENTI'!$A$5:$A$204,'13_VANZARI'!$A$5:$A$1004,"&gt;="&amp;'09_PARAMETRI'!$B$5,'13_VANZARI'!$A$5:$A$1004,"&lt;="&amp;'09_PARAMETRI'!$B$6)&lt;&gt;0)))</f>
        <v/>
      </c>
      <c r="L41" s="24">
        <f>IF($A41="","",IFERROR($F41/$E41,""))</f>
        <v/>
      </c>
      <c r="M41" s="24">
        <f>IF($A41="","",SUMIFS('14_TINTE'!$E$5:$E$304,'14_TINTE'!$A$5:$A$304,"&gt;="&amp;'09_PARAMETRI'!$B$5,'14_TINTE'!$A$5:$A$304,"&lt;="&amp;'09_PARAMETRI'!$B$6,'14_TINTE'!$D$5:$D$304,"Venit",'14_TINTE'!$B$5:$B$304,"Persoană",'14_TINTE'!$C$5:$C$304,$A41))</f>
        <v/>
      </c>
      <c r="N41" s="25">
        <f>IF($A41="","",IFERROR(IF($M41=0,"",$F41/$M41),""))</f>
        <v/>
      </c>
      <c r="O41" s="39">
        <f>IF($A41="","",IF(AND($N41&lt;&gt;"",$N41&lt;'09_PARAMETRI'!$B$18,$M41&gt;0),"Sub țintă",IF(AND($H41&lt;&gt;"",$H41&lt;='09_PARAMETRI'!$B$13),"Portofoliu în scădere",IF(AND($F41&gt;0,$L41&lt;&gt;"",$L41&lt;IFERROR(AVERAGE($L$5:$L$64),0)*0.7),"Productivitate sub medie",IF($F41=0,"Fără vânzări înregistrate","În parametri")))))</f>
        <v/>
      </c>
      <c r="P41" s="39">
        <f>IF($A41="","",IF($O41="Sub țintă","Gap față de țintă",IF($O41="Portofoliu în scădere","Productivitate vânzări",IF($O41="Productivitate sub medie","Dezvoltare oameni",IF($O41="Fără vânzări înregistrate","Proces / operațional","Productivitate vânzări")))))</f>
        <v/>
      </c>
      <c r="Q41" s="24">
        <f>IF($A41="","",IFERROR(IF($O41="Sub țintă",MAX(0,$M41-$F41),IF($O41="Portofoliu în scădere",MAX(0,$G41-$F41),$F41*0.15)),""))</f>
        <v/>
      </c>
    </row>
    <row r="42">
      <c r="A42" s="39">
        <f>IF('12_OAMENI'!$A42="","",'12_OAMENI'!$A42)</f>
        <v/>
      </c>
      <c r="B42" s="39">
        <f>IF($A42="","",IFERROR(INDEX('12_OAMENI'!$B$5:$B$64,MATCH($A42,'12_OAMENI'!$A$5:$A$64,0)),""))</f>
        <v/>
      </c>
      <c r="C42" s="39">
        <f>IF($A42="","",IFERROR(INDEX('12_OAMENI'!$C$5:$C$64,MATCH($A42,'12_OAMENI'!$A$5:$A$64,0)),""))</f>
        <v/>
      </c>
      <c r="D42" s="39">
        <f>IF($A42="","",IFERROR(INDEX('12_OAMENI'!$D$5:$D$64,MATCH($A42,'12_OAMENI'!$A$5:$A$64,0)),""))</f>
        <v/>
      </c>
      <c r="E42" s="48">
        <f>IF($A42="","",IFERROR(INDEX('12_OAMENI'!$E$5:$E$64,MATCH($A42,'12_OAMENI'!$A$5:$A$64,0)),""))</f>
        <v/>
      </c>
      <c r="F42" s="24">
        <f>IF($A42="","",SUMIFS('13_VANZARI'!$H$5:$H$1004,'13_VANZARI'!$F$5:$F$1004,$A42,'13_VANZARI'!$A$5:$A$1004,"&gt;="&amp;'09_PARAMETRI'!$B$5,'13_VANZARI'!$A$5:$A$1004,"&lt;="&amp;'09_PARAMETRI'!$B$6))</f>
        <v/>
      </c>
      <c r="G42" s="24">
        <f>IF($A42="","",SUMIFS('13_VANZARI'!$H$5:$H$1004,'13_VANZARI'!$F$5:$F$1004,$A42,'13_VANZARI'!$A$5:$A$1004,"&gt;="&amp;'09_PARAMETRI'!$B$7,'13_VANZARI'!$A$5:$A$1004,"&lt;="&amp;'09_PARAMETRI'!$B$8))</f>
        <v/>
      </c>
      <c r="H42" s="25">
        <f>IF($A42="","",IFERROR(IF($G42=0,"",($F42-$G42)/ABS($G42)),""))</f>
        <v/>
      </c>
      <c r="I42" s="24">
        <f>IF($A42="","",SUMIFS('13_VANZARI'!$K$5:$K$1004,'13_VANZARI'!$F$5:$F$1004,$A42,'13_VANZARI'!$A$5:$A$1004,"&gt;="&amp;'09_PARAMETRI'!$B$5,'13_VANZARI'!$A$5:$A$1004,"&lt;="&amp;'09_PARAMETRI'!$B$6))</f>
        <v/>
      </c>
      <c r="J42" s="25">
        <f>IF($A42="","",IFERROR($I42/$F42,""))</f>
        <v/>
      </c>
      <c r="K42" s="24">
        <f>IF($A42="","",SUMPRODUCT(('10_CLIENTI'!$A$5:$A$204&lt;&gt;"")*(SUMIFS('13_VANZARI'!$H$5:$H$1004,'13_VANZARI'!$F$5:$F$1004,$A42,'13_VANZARI'!$D$5:$D$1004,'10_CLIENTI'!$A$5:$A$204,'13_VANZARI'!$A$5:$A$1004,"&gt;="&amp;'09_PARAMETRI'!$B$5,'13_VANZARI'!$A$5:$A$1004,"&lt;="&amp;'09_PARAMETRI'!$B$6)&lt;&gt;0)))</f>
        <v/>
      </c>
      <c r="L42" s="24">
        <f>IF($A42="","",IFERROR($F42/$E42,""))</f>
        <v/>
      </c>
      <c r="M42" s="24">
        <f>IF($A42="","",SUMIFS('14_TINTE'!$E$5:$E$304,'14_TINTE'!$A$5:$A$304,"&gt;="&amp;'09_PARAMETRI'!$B$5,'14_TINTE'!$A$5:$A$304,"&lt;="&amp;'09_PARAMETRI'!$B$6,'14_TINTE'!$D$5:$D$304,"Venit",'14_TINTE'!$B$5:$B$304,"Persoană",'14_TINTE'!$C$5:$C$304,$A42))</f>
        <v/>
      </c>
      <c r="N42" s="25">
        <f>IF($A42="","",IFERROR(IF($M42=0,"",$F42/$M42),""))</f>
        <v/>
      </c>
      <c r="O42" s="39">
        <f>IF($A42="","",IF(AND($N42&lt;&gt;"",$N42&lt;'09_PARAMETRI'!$B$18,$M42&gt;0),"Sub țintă",IF(AND($H42&lt;&gt;"",$H42&lt;='09_PARAMETRI'!$B$13),"Portofoliu în scădere",IF(AND($F42&gt;0,$L42&lt;&gt;"",$L42&lt;IFERROR(AVERAGE($L$5:$L$64),0)*0.7),"Productivitate sub medie",IF($F42=0,"Fără vânzări înregistrate","În parametri")))))</f>
        <v/>
      </c>
      <c r="P42" s="39">
        <f>IF($A42="","",IF($O42="Sub țintă","Gap față de țintă",IF($O42="Portofoliu în scădere","Productivitate vânzări",IF($O42="Productivitate sub medie","Dezvoltare oameni",IF($O42="Fără vânzări înregistrate","Proces / operațional","Productivitate vânzări")))))</f>
        <v/>
      </c>
      <c r="Q42" s="24">
        <f>IF($A42="","",IFERROR(IF($O42="Sub țintă",MAX(0,$M42-$F42),IF($O42="Portofoliu în scădere",MAX(0,$G42-$F42),$F42*0.15)),""))</f>
        <v/>
      </c>
    </row>
    <row r="43">
      <c r="A43" s="39">
        <f>IF('12_OAMENI'!$A43="","",'12_OAMENI'!$A43)</f>
        <v/>
      </c>
      <c r="B43" s="39">
        <f>IF($A43="","",IFERROR(INDEX('12_OAMENI'!$B$5:$B$64,MATCH($A43,'12_OAMENI'!$A$5:$A$64,0)),""))</f>
        <v/>
      </c>
      <c r="C43" s="39">
        <f>IF($A43="","",IFERROR(INDEX('12_OAMENI'!$C$5:$C$64,MATCH($A43,'12_OAMENI'!$A$5:$A$64,0)),""))</f>
        <v/>
      </c>
      <c r="D43" s="39">
        <f>IF($A43="","",IFERROR(INDEX('12_OAMENI'!$D$5:$D$64,MATCH($A43,'12_OAMENI'!$A$5:$A$64,0)),""))</f>
        <v/>
      </c>
      <c r="E43" s="48">
        <f>IF($A43="","",IFERROR(INDEX('12_OAMENI'!$E$5:$E$64,MATCH($A43,'12_OAMENI'!$A$5:$A$64,0)),""))</f>
        <v/>
      </c>
      <c r="F43" s="24">
        <f>IF($A43="","",SUMIFS('13_VANZARI'!$H$5:$H$1004,'13_VANZARI'!$F$5:$F$1004,$A43,'13_VANZARI'!$A$5:$A$1004,"&gt;="&amp;'09_PARAMETRI'!$B$5,'13_VANZARI'!$A$5:$A$1004,"&lt;="&amp;'09_PARAMETRI'!$B$6))</f>
        <v/>
      </c>
      <c r="G43" s="24">
        <f>IF($A43="","",SUMIFS('13_VANZARI'!$H$5:$H$1004,'13_VANZARI'!$F$5:$F$1004,$A43,'13_VANZARI'!$A$5:$A$1004,"&gt;="&amp;'09_PARAMETRI'!$B$7,'13_VANZARI'!$A$5:$A$1004,"&lt;="&amp;'09_PARAMETRI'!$B$8))</f>
        <v/>
      </c>
      <c r="H43" s="25">
        <f>IF($A43="","",IFERROR(IF($G43=0,"",($F43-$G43)/ABS($G43)),""))</f>
        <v/>
      </c>
      <c r="I43" s="24">
        <f>IF($A43="","",SUMIFS('13_VANZARI'!$K$5:$K$1004,'13_VANZARI'!$F$5:$F$1004,$A43,'13_VANZARI'!$A$5:$A$1004,"&gt;="&amp;'09_PARAMETRI'!$B$5,'13_VANZARI'!$A$5:$A$1004,"&lt;="&amp;'09_PARAMETRI'!$B$6))</f>
        <v/>
      </c>
      <c r="J43" s="25">
        <f>IF($A43="","",IFERROR($I43/$F43,""))</f>
        <v/>
      </c>
      <c r="K43" s="24">
        <f>IF($A43="","",SUMPRODUCT(('10_CLIENTI'!$A$5:$A$204&lt;&gt;"")*(SUMIFS('13_VANZARI'!$H$5:$H$1004,'13_VANZARI'!$F$5:$F$1004,$A43,'13_VANZARI'!$D$5:$D$1004,'10_CLIENTI'!$A$5:$A$204,'13_VANZARI'!$A$5:$A$1004,"&gt;="&amp;'09_PARAMETRI'!$B$5,'13_VANZARI'!$A$5:$A$1004,"&lt;="&amp;'09_PARAMETRI'!$B$6)&lt;&gt;0)))</f>
        <v/>
      </c>
      <c r="L43" s="24">
        <f>IF($A43="","",IFERROR($F43/$E43,""))</f>
        <v/>
      </c>
      <c r="M43" s="24">
        <f>IF($A43="","",SUMIFS('14_TINTE'!$E$5:$E$304,'14_TINTE'!$A$5:$A$304,"&gt;="&amp;'09_PARAMETRI'!$B$5,'14_TINTE'!$A$5:$A$304,"&lt;="&amp;'09_PARAMETRI'!$B$6,'14_TINTE'!$D$5:$D$304,"Venit",'14_TINTE'!$B$5:$B$304,"Persoană",'14_TINTE'!$C$5:$C$304,$A43))</f>
        <v/>
      </c>
      <c r="N43" s="25">
        <f>IF($A43="","",IFERROR(IF($M43=0,"",$F43/$M43),""))</f>
        <v/>
      </c>
      <c r="O43" s="39">
        <f>IF($A43="","",IF(AND($N43&lt;&gt;"",$N43&lt;'09_PARAMETRI'!$B$18,$M43&gt;0),"Sub țintă",IF(AND($H43&lt;&gt;"",$H43&lt;='09_PARAMETRI'!$B$13),"Portofoliu în scădere",IF(AND($F43&gt;0,$L43&lt;&gt;"",$L43&lt;IFERROR(AVERAGE($L$5:$L$64),0)*0.7),"Productivitate sub medie",IF($F43=0,"Fără vânzări înregistrate","În parametri")))))</f>
        <v/>
      </c>
      <c r="P43" s="39">
        <f>IF($A43="","",IF($O43="Sub țintă","Gap față de țintă",IF($O43="Portofoliu în scădere","Productivitate vânzări",IF($O43="Productivitate sub medie","Dezvoltare oameni",IF($O43="Fără vânzări înregistrate","Proces / operațional","Productivitate vânzări")))))</f>
        <v/>
      </c>
      <c r="Q43" s="24">
        <f>IF($A43="","",IFERROR(IF($O43="Sub țintă",MAX(0,$M43-$F43),IF($O43="Portofoliu în scădere",MAX(0,$G43-$F43),$F43*0.15)),""))</f>
        <v/>
      </c>
    </row>
    <row r="44">
      <c r="A44" s="39">
        <f>IF('12_OAMENI'!$A44="","",'12_OAMENI'!$A44)</f>
        <v/>
      </c>
      <c r="B44" s="39">
        <f>IF($A44="","",IFERROR(INDEX('12_OAMENI'!$B$5:$B$64,MATCH($A44,'12_OAMENI'!$A$5:$A$64,0)),""))</f>
        <v/>
      </c>
      <c r="C44" s="39">
        <f>IF($A44="","",IFERROR(INDEX('12_OAMENI'!$C$5:$C$64,MATCH($A44,'12_OAMENI'!$A$5:$A$64,0)),""))</f>
        <v/>
      </c>
      <c r="D44" s="39">
        <f>IF($A44="","",IFERROR(INDEX('12_OAMENI'!$D$5:$D$64,MATCH($A44,'12_OAMENI'!$A$5:$A$64,0)),""))</f>
        <v/>
      </c>
      <c r="E44" s="48">
        <f>IF($A44="","",IFERROR(INDEX('12_OAMENI'!$E$5:$E$64,MATCH($A44,'12_OAMENI'!$A$5:$A$64,0)),""))</f>
        <v/>
      </c>
      <c r="F44" s="24">
        <f>IF($A44="","",SUMIFS('13_VANZARI'!$H$5:$H$1004,'13_VANZARI'!$F$5:$F$1004,$A44,'13_VANZARI'!$A$5:$A$1004,"&gt;="&amp;'09_PARAMETRI'!$B$5,'13_VANZARI'!$A$5:$A$1004,"&lt;="&amp;'09_PARAMETRI'!$B$6))</f>
        <v/>
      </c>
      <c r="G44" s="24">
        <f>IF($A44="","",SUMIFS('13_VANZARI'!$H$5:$H$1004,'13_VANZARI'!$F$5:$F$1004,$A44,'13_VANZARI'!$A$5:$A$1004,"&gt;="&amp;'09_PARAMETRI'!$B$7,'13_VANZARI'!$A$5:$A$1004,"&lt;="&amp;'09_PARAMETRI'!$B$8))</f>
        <v/>
      </c>
      <c r="H44" s="25">
        <f>IF($A44="","",IFERROR(IF($G44=0,"",($F44-$G44)/ABS($G44)),""))</f>
        <v/>
      </c>
      <c r="I44" s="24">
        <f>IF($A44="","",SUMIFS('13_VANZARI'!$K$5:$K$1004,'13_VANZARI'!$F$5:$F$1004,$A44,'13_VANZARI'!$A$5:$A$1004,"&gt;="&amp;'09_PARAMETRI'!$B$5,'13_VANZARI'!$A$5:$A$1004,"&lt;="&amp;'09_PARAMETRI'!$B$6))</f>
        <v/>
      </c>
      <c r="J44" s="25">
        <f>IF($A44="","",IFERROR($I44/$F44,""))</f>
        <v/>
      </c>
      <c r="K44" s="24">
        <f>IF($A44="","",SUMPRODUCT(('10_CLIENTI'!$A$5:$A$204&lt;&gt;"")*(SUMIFS('13_VANZARI'!$H$5:$H$1004,'13_VANZARI'!$F$5:$F$1004,$A44,'13_VANZARI'!$D$5:$D$1004,'10_CLIENTI'!$A$5:$A$204,'13_VANZARI'!$A$5:$A$1004,"&gt;="&amp;'09_PARAMETRI'!$B$5,'13_VANZARI'!$A$5:$A$1004,"&lt;="&amp;'09_PARAMETRI'!$B$6)&lt;&gt;0)))</f>
        <v/>
      </c>
      <c r="L44" s="24">
        <f>IF($A44="","",IFERROR($F44/$E44,""))</f>
        <v/>
      </c>
      <c r="M44" s="24">
        <f>IF($A44="","",SUMIFS('14_TINTE'!$E$5:$E$304,'14_TINTE'!$A$5:$A$304,"&gt;="&amp;'09_PARAMETRI'!$B$5,'14_TINTE'!$A$5:$A$304,"&lt;="&amp;'09_PARAMETRI'!$B$6,'14_TINTE'!$D$5:$D$304,"Venit",'14_TINTE'!$B$5:$B$304,"Persoană",'14_TINTE'!$C$5:$C$304,$A44))</f>
        <v/>
      </c>
      <c r="N44" s="25">
        <f>IF($A44="","",IFERROR(IF($M44=0,"",$F44/$M44),""))</f>
        <v/>
      </c>
      <c r="O44" s="39">
        <f>IF($A44="","",IF(AND($N44&lt;&gt;"",$N44&lt;'09_PARAMETRI'!$B$18,$M44&gt;0),"Sub țintă",IF(AND($H44&lt;&gt;"",$H44&lt;='09_PARAMETRI'!$B$13),"Portofoliu în scădere",IF(AND($F44&gt;0,$L44&lt;&gt;"",$L44&lt;IFERROR(AVERAGE($L$5:$L$64),0)*0.7),"Productivitate sub medie",IF($F44=0,"Fără vânzări înregistrate","În parametri")))))</f>
        <v/>
      </c>
      <c r="P44" s="39">
        <f>IF($A44="","",IF($O44="Sub țintă","Gap față de țintă",IF($O44="Portofoliu în scădere","Productivitate vânzări",IF($O44="Productivitate sub medie","Dezvoltare oameni",IF($O44="Fără vânzări înregistrate","Proces / operațional","Productivitate vânzări")))))</f>
        <v/>
      </c>
      <c r="Q44" s="24">
        <f>IF($A44="","",IFERROR(IF($O44="Sub țintă",MAX(0,$M44-$F44),IF($O44="Portofoliu în scădere",MAX(0,$G44-$F44),$F44*0.15)),""))</f>
        <v/>
      </c>
    </row>
    <row r="45">
      <c r="A45" s="39">
        <f>IF('12_OAMENI'!$A45="","",'12_OAMENI'!$A45)</f>
        <v/>
      </c>
      <c r="B45" s="39">
        <f>IF($A45="","",IFERROR(INDEX('12_OAMENI'!$B$5:$B$64,MATCH($A45,'12_OAMENI'!$A$5:$A$64,0)),""))</f>
        <v/>
      </c>
      <c r="C45" s="39">
        <f>IF($A45="","",IFERROR(INDEX('12_OAMENI'!$C$5:$C$64,MATCH($A45,'12_OAMENI'!$A$5:$A$64,0)),""))</f>
        <v/>
      </c>
      <c r="D45" s="39">
        <f>IF($A45="","",IFERROR(INDEX('12_OAMENI'!$D$5:$D$64,MATCH($A45,'12_OAMENI'!$A$5:$A$64,0)),""))</f>
        <v/>
      </c>
      <c r="E45" s="48">
        <f>IF($A45="","",IFERROR(INDEX('12_OAMENI'!$E$5:$E$64,MATCH($A45,'12_OAMENI'!$A$5:$A$64,0)),""))</f>
        <v/>
      </c>
      <c r="F45" s="24">
        <f>IF($A45="","",SUMIFS('13_VANZARI'!$H$5:$H$1004,'13_VANZARI'!$F$5:$F$1004,$A45,'13_VANZARI'!$A$5:$A$1004,"&gt;="&amp;'09_PARAMETRI'!$B$5,'13_VANZARI'!$A$5:$A$1004,"&lt;="&amp;'09_PARAMETRI'!$B$6))</f>
        <v/>
      </c>
      <c r="G45" s="24">
        <f>IF($A45="","",SUMIFS('13_VANZARI'!$H$5:$H$1004,'13_VANZARI'!$F$5:$F$1004,$A45,'13_VANZARI'!$A$5:$A$1004,"&gt;="&amp;'09_PARAMETRI'!$B$7,'13_VANZARI'!$A$5:$A$1004,"&lt;="&amp;'09_PARAMETRI'!$B$8))</f>
        <v/>
      </c>
      <c r="H45" s="25">
        <f>IF($A45="","",IFERROR(IF($G45=0,"",($F45-$G45)/ABS($G45)),""))</f>
        <v/>
      </c>
      <c r="I45" s="24">
        <f>IF($A45="","",SUMIFS('13_VANZARI'!$K$5:$K$1004,'13_VANZARI'!$F$5:$F$1004,$A45,'13_VANZARI'!$A$5:$A$1004,"&gt;="&amp;'09_PARAMETRI'!$B$5,'13_VANZARI'!$A$5:$A$1004,"&lt;="&amp;'09_PARAMETRI'!$B$6))</f>
        <v/>
      </c>
      <c r="J45" s="25">
        <f>IF($A45="","",IFERROR($I45/$F45,""))</f>
        <v/>
      </c>
      <c r="K45" s="24">
        <f>IF($A45="","",SUMPRODUCT(('10_CLIENTI'!$A$5:$A$204&lt;&gt;"")*(SUMIFS('13_VANZARI'!$H$5:$H$1004,'13_VANZARI'!$F$5:$F$1004,$A45,'13_VANZARI'!$D$5:$D$1004,'10_CLIENTI'!$A$5:$A$204,'13_VANZARI'!$A$5:$A$1004,"&gt;="&amp;'09_PARAMETRI'!$B$5,'13_VANZARI'!$A$5:$A$1004,"&lt;="&amp;'09_PARAMETRI'!$B$6)&lt;&gt;0)))</f>
        <v/>
      </c>
      <c r="L45" s="24">
        <f>IF($A45="","",IFERROR($F45/$E45,""))</f>
        <v/>
      </c>
      <c r="M45" s="24">
        <f>IF($A45="","",SUMIFS('14_TINTE'!$E$5:$E$304,'14_TINTE'!$A$5:$A$304,"&gt;="&amp;'09_PARAMETRI'!$B$5,'14_TINTE'!$A$5:$A$304,"&lt;="&amp;'09_PARAMETRI'!$B$6,'14_TINTE'!$D$5:$D$304,"Venit",'14_TINTE'!$B$5:$B$304,"Persoană",'14_TINTE'!$C$5:$C$304,$A45))</f>
        <v/>
      </c>
      <c r="N45" s="25">
        <f>IF($A45="","",IFERROR(IF($M45=0,"",$F45/$M45),""))</f>
        <v/>
      </c>
      <c r="O45" s="39">
        <f>IF($A45="","",IF(AND($N45&lt;&gt;"",$N45&lt;'09_PARAMETRI'!$B$18,$M45&gt;0),"Sub țintă",IF(AND($H45&lt;&gt;"",$H45&lt;='09_PARAMETRI'!$B$13),"Portofoliu în scădere",IF(AND($F45&gt;0,$L45&lt;&gt;"",$L45&lt;IFERROR(AVERAGE($L$5:$L$64),0)*0.7),"Productivitate sub medie",IF($F45=0,"Fără vânzări înregistrate","În parametri")))))</f>
        <v/>
      </c>
      <c r="P45" s="39">
        <f>IF($A45="","",IF($O45="Sub țintă","Gap față de țintă",IF($O45="Portofoliu în scădere","Productivitate vânzări",IF($O45="Productivitate sub medie","Dezvoltare oameni",IF($O45="Fără vânzări înregistrate","Proces / operațional","Productivitate vânzări")))))</f>
        <v/>
      </c>
      <c r="Q45" s="24">
        <f>IF($A45="","",IFERROR(IF($O45="Sub țintă",MAX(0,$M45-$F45),IF($O45="Portofoliu în scădere",MAX(0,$G45-$F45),$F45*0.15)),""))</f>
        <v/>
      </c>
    </row>
    <row r="46">
      <c r="A46" s="39">
        <f>IF('12_OAMENI'!$A46="","",'12_OAMENI'!$A46)</f>
        <v/>
      </c>
      <c r="B46" s="39">
        <f>IF($A46="","",IFERROR(INDEX('12_OAMENI'!$B$5:$B$64,MATCH($A46,'12_OAMENI'!$A$5:$A$64,0)),""))</f>
        <v/>
      </c>
      <c r="C46" s="39">
        <f>IF($A46="","",IFERROR(INDEX('12_OAMENI'!$C$5:$C$64,MATCH($A46,'12_OAMENI'!$A$5:$A$64,0)),""))</f>
        <v/>
      </c>
      <c r="D46" s="39">
        <f>IF($A46="","",IFERROR(INDEX('12_OAMENI'!$D$5:$D$64,MATCH($A46,'12_OAMENI'!$A$5:$A$64,0)),""))</f>
        <v/>
      </c>
      <c r="E46" s="48">
        <f>IF($A46="","",IFERROR(INDEX('12_OAMENI'!$E$5:$E$64,MATCH($A46,'12_OAMENI'!$A$5:$A$64,0)),""))</f>
        <v/>
      </c>
      <c r="F46" s="24">
        <f>IF($A46="","",SUMIFS('13_VANZARI'!$H$5:$H$1004,'13_VANZARI'!$F$5:$F$1004,$A46,'13_VANZARI'!$A$5:$A$1004,"&gt;="&amp;'09_PARAMETRI'!$B$5,'13_VANZARI'!$A$5:$A$1004,"&lt;="&amp;'09_PARAMETRI'!$B$6))</f>
        <v/>
      </c>
      <c r="G46" s="24">
        <f>IF($A46="","",SUMIFS('13_VANZARI'!$H$5:$H$1004,'13_VANZARI'!$F$5:$F$1004,$A46,'13_VANZARI'!$A$5:$A$1004,"&gt;="&amp;'09_PARAMETRI'!$B$7,'13_VANZARI'!$A$5:$A$1004,"&lt;="&amp;'09_PARAMETRI'!$B$8))</f>
        <v/>
      </c>
      <c r="H46" s="25">
        <f>IF($A46="","",IFERROR(IF($G46=0,"",($F46-$G46)/ABS($G46)),""))</f>
        <v/>
      </c>
      <c r="I46" s="24">
        <f>IF($A46="","",SUMIFS('13_VANZARI'!$K$5:$K$1004,'13_VANZARI'!$F$5:$F$1004,$A46,'13_VANZARI'!$A$5:$A$1004,"&gt;="&amp;'09_PARAMETRI'!$B$5,'13_VANZARI'!$A$5:$A$1004,"&lt;="&amp;'09_PARAMETRI'!$B$6))</f>
        <v/>
      </c>
      <c r="J46" s="25">
        <f>IF($A46="","",IFERROR($I46/$F46,""))</f>
        <v/>
      </c>
      <c r="K46" s="24">
        <f>IF($A46="","",SUMPRODUCT(('10_CLIENTI'!$A$5:$A$204&lt;&gt;"")*(SUMIFS('13_VANZARI'!$H$5:$H$1004,'13_VANZARI'!$F$5:$F$1004,$A46,'13_VANZARI'!$D$5:$D$1004,'10_CLIENTI'!$A$5:$A$204,'13_VANZARI'!$A$5:$A$1004,"&gt;="&amp;'09_PARAMETRI'!$B$5,'13_VANZARI'!$A$5:$A$1004,"&lt;="&amp;'09_PARAMETRI'!$B$6)&lt;&gt;0)))</f>
        <v/>
      </c>
      <c r="L46" s="24">
        <f>IF($A46="","",IFERROR($F46/$E46,""))</f>
        <v/>
      </c>
      <c r="M46" s="24">
        <f>IF($A46="","",SUMIFS('14_TINTE'!$E$5:$E$304,'14_TINTE'!$A$5:$A$304,"&gt;="&amp;'09_PARAMETRI'!$B$5,'14_TINTE'!$A$5:$A$304,"&lt;="&amp;'09_PARAMETRI'!$B$6,'14_TINTE'!$D$5:$D$304,"Venit",'14_TINTE'!$B$5:$B$304,"Persoană",'14_TINTE'!$C$5:$C$304,$A46))</f>
        <v/>
      </c>
      <c r="N46" s="25">
        <f>IF($A46="","",IFERROR(IF($M46=0,"",$F46/$M46),""))</f>
        <v/>
      </c>
      <c r="O46" s="39">
        <f>IF($A46="","",IF(AND($N46&lt;&gt;"",$N46&lt;'09_PARAMETRI'!$B$18,$M46&gt;0),"Sub țintă",IF(AND($H46&lt;&gt;"",$H46&lt;='09_PARAMETRI'!$B$13),"Portofoliu în scădere",IF(AND($F46&gt;0,$L46&lt;&gt;"",$L46&lt;IFERROR(AVERAGE($L$5:$L$64),0)*0.7),"Productivitate sub medie",IF($F46=0,"Fără vânzări înregistrate","În parametri")))))</f>
        <v/>
      </c>
      <c r="P46" s="39">
        <f>IF($A46="","",IF($O46="Sub țintă","Gap față de țintă",IF($O46="Portofoliu în scădere","Productivitate vânzări",IF($O46="Productivitate sub medie","Dezvoltare oameni",IF($O46="Fără vânzări înregistrate","Proces / operațional","Productivitate vânzări")))))</f>
        <v/>
      </c>
      <c r="Q46" s="24">
        <f>IF($A46="","",IFERROR(IF($O46="Sub țintă",MAX(0,$M46-$F46),IF($O46="Portofoliu în scădere",MAX(0,$G46-$F46),$F46*0.15)),""))</f>
        <v/>
      </c>
    </row>
    <row r="47">
      <c r="A47" s="39">
        <f>IF('12_OAMENI'!$A47="","",'12_OAMENI'!$A47)</f>
        <v/>
      </c>
      <c r="B47" s="39">
        <f>IF($A47="","",IFERROR(INDEX('12_OAMENI'!$B$5:$B$64,MATCH($A47,'12_OAMENI'!$A$5:$A$64,0)),""))</f>
        <v/>
      </c>
      <c r="C47" s="39">
        <f>IF($A47="","",IFERROR(INDEX('12_OAMENI'!$C$5:$C$64,MATCH($A47,'12_OAMENI'!$A$5:$A$64,0)),""))</f>
        <v/>
      </c>
      <c r="D47" s="39">
        <f>IF($A47="","",IFERROR(INDEX('12_OAMENI'!$D$5:$D$64,MATCH($A47,'12_OAMENI'!$A$5:$A$64,0)),""))</f>
        <v/>
      </c>
      <c r="E47" s="48">
        <f>IF($A47="","",IFERROR(INDEX('12_OAMENI'!$E$5:$E$64,MATCH($A47,'12_OAMENI'!$A$5:$A$64,0)),""))</f>
        <v/>
      </c>
      <c r="F47" s="24">
        <f>IF($A47="","",SUMIFS('13_VANZARI'!$H$5:$H$1004,'13_VANZARI'!$F$5:$F$1004,$A47,'13_VANZARI'!$A$5:$A$1004,"&gt;="&amp;'09_PARAMETRI'!$B$5,'13_VANZARI'!$A$5:$A$1004,"&lt;="&amp;'09_PARAMETRI'!$B$6))</f>
        <v/>
      </c>
      <c r="G47" s="24">
        <f>IF($A47="","",SUMIFS('13_VANZARI'!$H$5:$H$1004,'13_VANZARI'!$F$5:$F$1004,$A47,'13_VANZARI'!$A$5:$A$1004,"&gt;="&amp;'09_PARAMETRI'!$B$7,'13_VANZARI'!$A$5:$A$1004,"&lt;="&amp;'09_PARAMETRI'!$B$8))</f>
        <v/>
      </c>
      <c r="H47" s="25">
        <f>IF($A47="","",IFERROR(IF($G47=0,"",($F47-$G47)/ABS($G47)),""))</f>
        <v/>
      </c>
      <c r="I47" s="24">
        <f>IF($A47="","",SUMIFS('13_VANZARI'!$K$5:$K$1004,'13_VANZARI'!$F$5:$F$1004,$A47,'13_VANZARI'!$A$5:$A$1004,"&gt;="&amp;'09_PARAMETRI'!$B$5,'13_VANZARI'!$A$5:$A$1004,"&lt;="&amp;'09_PARAMETRI'!$B$6))</f>
        <v/>
      </c>
      <c r="J47" s="25">
        <f>IF($A47="","",IFERROR($I47/$F47,""))</f>
        <v/>
      </c>
      <c r="K47" s="24">
        <f>IF($A47="","",SUMPRODUCT(('10_CLIENTI'!$A$5:$A$204&lt;&gt;"")*(SUMIFS('13_VANZARI'!$H$5:$H$1004,'13_VANZARI'!$F$5:$F$1004,$A47,'13_VANZARI'!$D$5:$D$1004,'10_CLIENTI'!$A$5:$A$204,'13_VANZARI'!$A$5:$A$1004,"&gt;="&amp;'09_PARAMETRI'!$B$5,'13_VANZARI'!$A$5:$A$1004,"&lt;="&amp;'09_PARAMETRI'!$B$6)&lt;&gt;0)))</f>
        <v/>
      </c>
      <c r="L47" s="24">
        <f>IF($A47="","",IFERROR($F47/$E47,""))</f>
        <v/>
      </c>
      <c r="M47" s="24">
        <f>IF($A47="","",SUMIFS('14_TINTE'!$E$5:$E$304,'14_TINTE'!$A$5:$A$304,"&gt;="&amp;'09_PARAMETRI'!$B$5,'14_TINTE'!$A$5:$A$304,"&lt;="&amp;'09_PARAMETRI'!$B$6,'14_TINTE'!$D$5:$D$304,"Venit",'14_TINTE'!$B$5:$B$304,"Persoană",'14_TINTE'!$C$5:$C$304,$A47))</f>
        <v/>
      </c>
      <c r="N47" s="25">
        <f>IF($A47="","",IFERROR(IF($M47=0,"",$F47/$M47),""))</f>
        <v/>
      </c>
      <c r="O47" s="39">
        <f>IF($A47="","",IF(AND($N47&lt;&gt;"",$N47&lt;'09_PARAMETRI'!$B$18,$M47&gt;0),"Sub țintă",IF(AND($H47&lt;&gt;"",$H47&lt;='09_PARAMETRI'!$B$13),"Portofoliu în scădere",IF(AND($F47&gt;0,$L47&lt;&gt;"",$L47&lt;IFERROR(AVERAGE($L$5:$L$64),0)*0.7),"Productivitate sub medie",IF($F47=0,"Fără vânzări înregistrate","În parametri")))))</f>
        <v/>
      </c>
      <c r="P47" s="39">
        <f>IF($A47="","",IF($O47="Sub țintă","Gap față de țintă",IF($O47="Portofoliu în scădere","Productivitate vânzări",IF($O47="Productivitate sub medie","Dezvoltare oameni",IF($O47="Fără vânzări înregistrate","Proces / operațional","Productivitate vânzări")))))</f>
        <v/>
      </c>
      <c r="Q47" s="24">
        <f>IF($A47="","",IFERROR(IF($O47="Sub țintă",MAX(0,$M47-$F47),IF($O47="Portofoliu în scădere",MAX(0,$G47-$F47),$F47*0.15)),""))</f>
        <v/>
      </c>
    </row>
    <row r="48">
      <c r="A48" s="39">
        <f>IF('12_OAMENI'!$A48="","",'12_OAMENI'!$A48)</f>
        <v/>
      </c>
      <c r="B48" s="39">
        <f>IF($A48="","",IFERROR(INDEX('12_OAMENI'!$B$5:$B$64,MATCH($A48,'12_OAMENI'!$A$5:$A$64,0)),""))</f>
        <v/>
      </c>
      <c r="C48" s="39">
        <f>IF($A48="","",IFERROR(INDEX('12_OAMENI'!$C$5:$C$64,MATCH($A48,'12_OAMENI'!$A$5:$A$64,0)),""))</f>
        <v/>
      </c>
      <c r="D48" s="39">
        <f>IF($A48="","",IFERROR(INDEX('12_OAMENI'!$D$5:$D$64,MATCH($A48,'12_OAMENI'!$A$5:$A$64,0)),""))</f>
        <v/>
      </c>
      <c r="E48" s="48">
        <f>IF($A48="","",IFERROR(INDEX('12_OAMENI'!$E$5:$E$64,MATCH($A48,'12_OAMENI'!$A$5:$A$64,0)),""))</f>
        <v/>
      </c>
      <c r="F48" s="24">
        <f>IF($A48="","",SUMIFS('13_VANZARI'!$H$5:$H$1004,'13_VANZARI'!$F$5:$F$1004,$A48,'13_VANZARI'!$A$5:$A$1004,"&gt;="&amp;'09_PARAMETRI'!$B$5,'13_VANZARI'!$A$5:$A$1004,"&lt;="&amp;'09_PARAMETRI'!$B$6))</f>
        <v/>
      </c>
      <c r="G48" s="24">
        <f>IF($A48="","",SUMIFS('13_VANZARI'!$H$5:$H$1004,'13_VANZARI'!$F$5:$F$1004,$A48,'13_VANZARI'!$A$5:$A$1004,"&gt;="&amp;'09_PARAMETRI'!$B$7,'13_VANZARI'!$A$5:$A$1004,"&lt;="&amp;'09_PARAMETRI'!$B$8))</f>
        <v/>
      </c>
      <c r="H48" s="25">
        <f>IF($A48="","",IFERROR(IF($G48=0,"",($F48-$G48)/ABS($G48)),""))</f>
        <v/>
      </c>
      <c r="I48" s="24">
        <f>IF($A48="","",SUMIFS('13_VANZARI'!$K$5:$K$1004,'13_VANZARI'!$F$5:$F$1004,$A48,'13_VANZARI'!$A$5:$A$1004,"&gt;="&amp;'09_PARAMETRI'!$B$5,'13_VANZARI'!$A$5:$A$1004,"&lt;="&amp;'09_PARAMETRI'!$B$6))</f>
        <v/>
      </c>
      <c r="J48" s="25">
        <f>IF($A48="","",IFERROR($I48/$F48,""))</f>
        <v/>
      </c>
      <c r="K48" s="24">
        <f>IF($A48="","",SUMPRODUCT(('10_CLIENTI'!$A$5:$A$204&lt;&gt;"")*(SUMIFS('13_VANZARI'!$H$5:$H$1004,'13_VANZARI'!$F$5:$F$1004,$A48,'13_VANZARI'!$D$5:$D$1004,'10_CLIENTI'!$A$5:$A$204,'13_VANZARI'!$A$5:$A$1004,"&gt;="&amp;'09_PARAMETRI'!$B$5,'13_VANZARI'!$A$5:$A$1004,"&lt;="&amp;'09_PARAMETRI'!$B$6)&lt;&gt;0)))</f>
        <v/>
      </c>
      <c r="L48" s="24">
        <f>IF($A48="","",IFERROR($F48/$E48,""))</f>
        <v/>
      </c>
      <c r="M48" s="24">
        <f>IF($A48="","",SUMIFS('14_TINTE'!$E$5:$E$304,'14_TINTE'!$A$5:$A$304,"&gt;="&amp;'09_PARAMETRI'!$B$5,'14_TINTE'!$A$5:$A$304,"&lt;="&amp;'09_PARAMETRI'!$B$6,'14_TINTE'!$D$5:$D$304,"Venit",'14_TINTE'!$B$5:$B$304,"Persoană",'14_TINTE'!$C$5:$C$304,$A48))</f>
        <v/>
      </c>
      <c r="N48" s="25">
        <f>IF($A48="","",IFERROR(IF($M48=0,"",$F48/$M48),""))</f>
        <v/>
      </c>
      <c r="O48" s="39">
        <f>IF($A48="","",IF(AND($N48&lt;&gt;"",$N48&lt;'09_PARAMETRI'!$B$18,$M48&gt;0),"Sub țintă",IF(AND($H48&lt;&gt;"",$H48&lt;='09_PARAMETRI'!$B$13),"Portofoliu în scădere",IF(AND($F48&gt;0,$L48&lt;&gt;"",$L48&lt;IFERROR(AVERAGE($L$5:$L$64),0)*0.7),"Productivitate sub medie",IF($F48=0,"Fără vânzări înregistrate","În parametri")))))</f>
        <v/>
      </c>
      <c r="P48" s="39">
        <f>IF($A48="","",IF($O48="Sub țintă","Gap față de țintă",IF($O48="Portofoliu în scădere","Productivitate vânzări",IF($O48="Productivitate sub medie","Dezvoltare oameni",IF($O48="Fără vânzări înregistrate","Proces / operațional","Productivitate vânzări")))))</f>
        <v/>
      </c>
      <c r="Q48" s="24">
        <f>IF($A48="","",IFERROR(IF($O48="Sub țintă",MAX(0,$M48-$F48),IF($O48="Portofoliu în scădere",MAX(0,$G48-$F48),$F48*0.15)),""))</f>
        <v/>
      </c>
    </row>
    <row r="49">
      <c r="A49" s="39">
        <f>IF('12_OAMENI'!$A49="","",'12_OAMENI'!$A49)</f>
        <v/>
      </c>
      <c r="B49" s="39">
        <f>IF($A49="","",IFERROR(INDEX('12_OAMENI'!$B$5:$B$64,MATCH($A49,'12_OAMENI'!$A$5:$A$64,0)),""))</f>
        <v/>
      </c>
      <c r="C49" s="39">
        <f>IF($A49="","",IFERROR(INDEX('12_OAMENI'!$C$5:$C$64,MATCH($A49,'12_OAMENI'!$A$5:$A$64,0)),""))</f>
        <v/>
      </c>
      <c r="D49" s="39">
        <f>IF($A49="","",IFERROR(INDEX('12_OAMENI'!$D$5:$D$64,MATCH($A49,'12_OAMENI'!$A$5:$A$64,0)),""))</f>
        <v/>
      </c>
      <c r="E49" s="48">
        <f>IF($A49="","",IFERROR(INDEX('12_OAMENI'!$E$5:$E$64,MATCH($A49,'12_OAMENI'!$A$5:$A$64,0)),""))</f>
        <v/>
      </c>
      <c r="F49" s="24">
        <f>IF($A49="","",SUMIFS('13_VANZARI'!$H$5:$H$1004,'13_VANZARI'!$F$5:$F$1004,$A49,'13_VANZARI'!$A$5:$A$1004,"&gt;="&amp;'09_PARAMETRI'!$B$5,'13_VANZARI'!$A$5:$A$1004,"&lt;="&amp;'09_PARAMETRI'!$B$6))</f>
        <v/>
      </c>
      <c r="G49" s="24">
        <f>IF($A49="","",SUMIFS('13_VANZARI'!$H$5:$H$1004,'13_VANZARI'!$F$5:$F$1004,$A49,'13_VANZARI'!$A$5:$A$1004,"&gt;="&amp;'09_PARAMETRI'!$B$7,'13_VANZARI'!$A$5:$A$1004,"&lt;="&amp;'09_PARAMETRI'!$B$8))</f>
        <v/>
      </c>
      <c r="H49" s="25">
        <f>IF($A49="","",IFERROR(IF($G49=0,"",($F49-$G49)/ABS($G49)),""))</f>
        <v/>
      </c>
      <c r="I49" s="24">
        <f>IF($A49="","",SUMIFS('13_VANZARI'!$K$5:$K$1004,'13_VANZARI'!$F$5:$F$1004,$A49,'13_VANZARI'!$A$5:$A$1004,"&gt;="&amp;'09_PARAMETRI'!$B$5,'13_VANZARI'!$A$5:$A$1004,"&lt;="&amp;'09_PARAMETRI'!$B$6))</f>
        <v/>
      </c>
      <c r="J49" s="25">
        <f>IF($A49="","",IFERROR($I49/$F49,""))</f>
        <v/>
      </c>
      <c r="K49" s="24">
        <f>IF($A49="","",SUMPRODUCT(('10_CLIENTI'!$A$5:$A$204&lt;&gt;"")*(SUMIFS('13_VANZARI'!$H$5:$H$1004,'13_VANZARI'!$F$5:$F$1004,$A49,'13_VANZARI'!$D$5:$D$1004,'10_CLIENTI'!$A$5:$A$204,'13_VANZARI'!$A$5:$A$1004,"&gt;="&amp;'09_PARAMETRI'!$B$5,'13_VANZARI'!$A$5:$A$1004,"&lt;="&amp;'09_PARAMETRI'!$B$6)&lt;&gt;0)))</f>
        <v/>
      </c>
      <c r="L49" s="24">
        <f>IF($A49="","",IFERROR($F49/$E49,""))</f>
        <v/>
      </c>
      <c r="M49" s="24">
        <f>IF($A49="","",SUMIFS('14_TINTE'!$E$5:$E$304,'14_TINTE'!$A$5:$A$304,"&gt;="&amp;'09_PARAMETRI'!$B$5,'14_TINTE'!$A$5:$A$304,"&lt;="&amp;'09_PARAMETRI'!$B$6,'14_TINTE'!$D$5:$D$304,"Venit",'14_TINTE'!$B$5:$B$304,"Persoană",'14_TINTE'!$C$5:$C$304,$A49))</f>
        <v/>
      </c>
      <c r="N49" s="25">
        <f>IF($A49="","",IFERROR(IF($M49=0,"",$F49/$M49),""))</f>
        <v/>
      </c>
      <c r="O49" s="39">
        <f>IF($A49="","",IF(AND($N49&lt;&gt;"",$N49&lt;'09_PARAMETRI'!$B$18,$M49&gt;0),"Sub țintă",IF(AND($H49&lt;&gt;"",$H49&lt;='09_PARAMETRI'!$B$13),"Portofoliu în scădere",IF(AND($F49&gt;0,$L49&lt;&gt;"",$L49&lt;IFERROR(AVERAGE($L$5:$L$64),0)*0.7),"Productivitate sub medie",IF($F49=0,"Fără vânzări înregistrate","În parametri")))))</f>
        <v/>
      </c>
      <c r="P49" s="39">
        <f>IF($A49="","",IF($O49="Sub țintă","Gap față de țintă",IF($O49="Portofoliu în scădere","Productivitate vânzări",IF($O49="Productivitate sub medie","Dezvoltare oameni",IF($O49="Fără vânzări înregistrate","Proces / operațional","Productivitate vânzări")))))</f>
        <v/>
      </c>
      <c r="Q49" s="24">
        <f>IF($A49="","",IFERROR(IF($O49="Sub țintă",MAX(0,$M49-$F49),IF($O49="Portofoliu în scădere",MAX(0,$G49-$F49),$F49*0.15)),""))</f>
        <v/>
      </c>
    </row>
    <row r="50">
      <c r="A50" s="39">
        <f>IF('12_OAMENI'!$A50="","",'12_OAMENI'!$A50)</f>
        <v/>
      </c>
      <c r="B50" s="39">
        <f>IF($A50="","",IFERROR(INDEX('12_OAMENI'!$B$5:$B$64,MATCH($A50,'12_OAMENI'!$A$5:$A$64,0)),""))</f>
        <v/>
      </c>
      <c r="C50" s="39">
        <f>IF($A50="","",IFERROR(INDEX('12_OAMENI'!$C$5:$C$64,MATCH($A50,'12_OAMENI'!$A$5:$A$64,0)),""))</f>
        <v/>
      </c>
      <c r="D50" s="39">
        <f>IF($A50="","",IFERROR(INDEX('12_OAMENI'!$D$5:$D$64,MATCH($A50,'12_OAMENI'!$A$5:$A$64,0)),""))</f>
        <v/>
      </c>
      <c r="E50" s="48">
        <f>IF($A50="","",IFERROR(INDEX('12_OAMENI'!$E$5:$E$64,MATCH($A50,'12_OAMENI'!$A$5:$A$64,0)),""))</f>
        <v/>
      </c>
      <c r="F50" s="24">
        <f>IF($A50="","",SUMIFS('13_VANZARI'!$H$5:$H$1004,'13_VANZARI'!$F$5:$F$1004,$A50,'13_VANZARI'!$A$5:$A$1004,"&gt;="&amp;'09_PARAMETRI'!$B$5,'13_VANZARI'!$A$5:$A$1004,"&lt;="&amp;'09_PARAMETRI'!$B$6))</f>
        <v/>
      </c>
      <c r="G50" s="24">
        <f>IF($A50="","",SUMIFS('13_VANZARI'!$H$5:$H$1004,'13_VANZARI'!$F$5:$F$1004,$A50,'13_VANZARI'!$A$5:$A$1004,"&gt;="&amp;'09_PARAMETRI'!$B$7,'13_VANZARI'!$A$5:$A$1004,"&lt;="&amp;'09_PARAMETRI'!$B$8))</f>
        <v/>
      </c>
      <c r="H50" s="25">
        <f>IF($A50="","",IFERROR(IF($G50=0,"",($F50-$G50)/ABS($G50)),""))</f>
        <v/>
      </c>
      <c r="I50" s="24">
        <f>IF($A50="","",SUMIFS('13_VANZARI'!$K$5:$K$1004,'13_VANZARI'!$F$5:$F$1004,$A50,'13_VANZARI'!$A$5:$A$1004,"&gt;="&amp;'09_PARAMETRI'!$B$5,'13_VANZARI'!$A$5:$A$1004,"&lt;="&amp;'09_PARAMETRI'!$B$6))</f>
        <v/>
      </c>
      <c r="J50" s="25">
        <f>IF($A50="","",IFERROR($I50/$F50,""))</f>
        <v/>
      </c>
      <c r="K50" s="24">
        <f>IF($A50="","",SUMPRODUCT(('10_CLIENTI'!$A$5:$A$204&lt;&gt;"")*(SUMIFS('13_VANZARI'!$H$5:$H$1004,'13_VANZARI'!$F$5:$F$1004,$A50,'13_VANZARI'!$D$5:$D$1004,'10_CLIENTI'!$A$5:$A$204,'13_VANZARI'!$A$5:$A$1004,"&gt;="&amp;'09_PARAMETRI'!$B$5,'13_VANZARI'!$A$5:$A$1004,"&lt;="&amp;'09_PARAMETRI'!$B$6)&lt;&gt;0)))</f>
        <v/>
      </c>
      <c r="L50" s="24">
        <f>IF($A50="","",IFERROR($F50/$E50,""))</f>
        <v/>
      </c>
      <c r="M50" s="24">
        <f>IF($A50="","",SUMIFS('14_TINTE'!$E$5:$E$304,'14_TINTE'!$A$5:$A$304,"&gt;="&amp;'09_PARAMETRI'!$B$5,'14_TINTE'!$A$5:$A$304,"&lt;="&amp;'09_PARAMETRI'!$B$6,'14_TINTE'!$D$5:$D$304,"Venit",'14_TINTE'!$B$5:$B$304,"Persoană",'14_TINTE'!$C$5:$C$304,$A50))</f>
        <v/>
      </c>
      <c r="N50" s="25">
        <f>IF($A50="","",IFERROR(IF($M50=0,"",$F50/$M50),""))</f>
        <v/>
      </c>
      <c r="O50" s="39">
        <f>IF($A50="","",IF(AND($N50&lt;&gt;"",$N50&lt;'09_PARAMETRI'!$B$18,$M50&gt;0),"Sub țintă",IF(AND($H50&lt;&gt;"",$H50&lt;='09_PARAMETRI'!$B$13),"Portofoliu în scădere",IF(AND($F50&gt;0,$L50&lt;&gt;"",$L50&lt;IFERROR(AVERAGE($L$5:$L$64),0)*0.7),"Productivitate sub medie",IF($F50=0,"Fără vânzări înregistrate","În parametri")))))</f>
        <v/>
      </c>
      <c r="P50" s="39">
        <f>IF($A50="","",IF($O50="Sub țintă","Gap față de țintă",IF($O50="Portofoliu în scădere","Productivitate vânzări",IF($O50="Productivitate sub medie","Dezvoltare oameni",IF($O50="Fără vânzări înregistrate","Proces / operațional","Productivitate vânzări")))))</f>
        <v/>
      </c>
      <c r="Q50" s="24">
        <f>IF($A50="","",IFERROR(IF($O50="Sub țintă",MAX(0,$M50-$F50),IF($O50="Portofoliu în scădere",MAX(0,$G50-$F50),$F50*0.15)),""))</f>
        <v/>
      </c>
    </row>
    <row r="51">
      <c r="A51" s="39">
        <f>IF('12_OAMENI'!$A51="","",'12_OAMENI'!$A51)</f>
        <v/>
      </c>
      <c r="B51" s="39">
        <f>IF($A51="","",IFERROR(INDEX('12_OAMENI'!$B$5:$B$64,MATCH($A51,'12_OAMENI'!$A$5:$A$64,0)),""))</f>
        <v/>
      </c>
      <c r="C51" s="39">
        <f>IF($A51="","",IFERROR(INDEX('12_OAMENI'!$C$5:$C$64,MATCH($A51,'12_OAMENI'!$A$5:$A$64,0)),""))</f>
        <v/>
      </c>
      <c r="D51" s="39">
        <f>IF($A51="","",IFERROR(INDEX('12_OAMENI'!$D$5:$D$64,MATCH($A51,'12_OAMENI'!$A$5:$A$64,0)),""))</f>
        <v/>
      </c>
      <c r="E51" s="48">
        <f>IF($A51="","",IFERROR(INDEX('12_OAMENI'!$E$5:$E$64,MATCH($A51,'12_OAMENI'!$A$5:$A$64,0)),""))</f>
        <v/>
      </c>
      <c r="F51" s="24">
        <f>IF($A51="","",SUMIFS('13_VANZARI'!$H$5:$H$1004,'13_VANZARI'!$F$5:$F$1004,$A51,'13_VANZARI'!$A$5:$A$1004,"&gt;="&amp;'09_PARAMETRI'!$B$5,'13_VANZARI'!$A$5:$A$1004,"&lt;="&amp;'09_PARAMETRI'!$B$6))</f>
        <v/>
      </c>
      <c r="G51" s="24">
        <f>IF($A51="","",SUMIFS('13_VANZARI'!$H$5:$H$1004,'13_VANZARI'!$F$5:$F$1004,$A51,'13_VANZARI'!$A$5:$A$1004,"&gt;="&amp;'09_PARAMETRI'!$B$7,'13_VANZARI'!$A$5:$A$1004,"&lt;="&amp;'09_PARAMETRI'!$B$8))</f>
        <v/>
      </c>
      <c r="H51" s="25">
        <f>IF($A51="","",IFERROR(IF($G51=0,"",($F51-$G51)/ABS($G51)),""))</f>
        <v/>
      </c>
      <c r="I51" s="24">
        <f>IF($A51="","",SUMIFS('13_VANZARI'!$K$5:$K$1004,'13_VANZARI'!$F$5:$F$1004,$A51,'13_VANZARI'!$A$5:$A$1004,"&gt;="&amp;'09_PARAMETRI'!$B$5,'13_VANZARI'!$A$5:$A$1004,"&lt;="&amp;'09_PARAMETRI'!$B$6))</f>
        <v/>
      </c>
      <c r="J51" s="25">
        <f>IF($A51="","",IFERROR($I51/$F51,""))</f>
        <v/>
      </c>
      <c r="K51" s="24">
        <f>IF($A51="","",SUMPRODUCT(('10_CLIENTI'!$A$5:$A$204&lt;&gt;"")*(SUMIFS('13_VANZARI'!$H$5:$H$1004,'13_VANZARI'!$F$5:$F$1004,$A51,'13_VANZARI'!$D$5:$D$1004,'10_CLIENTI'!$A$5:$A$204,'13_VANZARI'!$A$5:$A$1004,"&gt;="&amp;'09_PARAMETRI'!$B$5,'13_VANZARI'!$A$5:$A$1004,"&lt;="&amp;'09_PARAMETRI'!$B$6)&lt;&gt;0)))</f>
        <v/>
      </c>
      <c r="L51" s="24">
        <f>IF($A51="","",IFERROR($F51/$E51,""))</f>
        <v/>
      </c>
      <c r="M51" s="24">
        <f>IF($A51="","",SUMIFS('14_TINTE'!$E$5:$E$304,'14_TINTE'!$A$5:$A$304,"&gt;="&amp;'09_PARAMETRI'!$B$5,'14_TINTE'!$A$5:$A$304,"&lt;="&amp;'09_PARAMETRI'!$B$6,'14_TINTE'!$D$5:$D$304,"Venit",'14_TINTE'!$B$5:$B$304,"Persoană",'14_TINTE'!$C$5:$C$304,$A51))</f>
        <v/>
      </c>
      <c r="N51" s="25">
        <f>IF($A51="","",IFERROR(IF($M51=0,"",$F51/$M51),""))</f>
        <v/>
      </c>
      <c r="O51" s="39">
        <f>IF($A51="","",IF(AND($N51&lt;&gt;"",$N51&lt;'09_PARAMETRI'!$B$18,$M51&gt;0),"Sub țintă",IF(AND($H51&lt;&gt;"",$H51&lt;='09_PARAMETRI'!$B$13),"Portofoliu în scădere",IF(AND($F51&gt;0,$L51&lt;&gt;"",$L51&lt;IFERROR(AVERAGE($L$5:$L$64),0)*0.7),"Productivitate sub medie",IF($F51=0,"Fără vânzări înregistrate","În parametri")))))</f>
        <v/>
      </c>
      <c r="P51" s="39">
        <f>IF($A51="","",IF($O51="Sub țintă","Gap față de țintă",IF($O51="Portofoliu în scădere","Productivitate vânzări",IF($O51="Productivitate sub medie","Dezvoltare oameni",IF($O51="Fără vânzări înregistrate","Proces / operațional","Productivitate vânzări")))))</f>
        <v/>
      </c>
      <c r="Q51" s="24">
        <f>IF($A51="","",IFERROR(IF($O51="Sub țintă",MAX(0,$M51-$F51),IF($O51="Portofoliu în scădere",MAX(0,$G51-$F51),$F51*0.15)),""))</f>
        <v/>
      </c>
    </row>
    <row r="52">
      <c r="A52" s="39">
        <f>IF('12_OAMENI'!$A52="","",'12_OAMENI'!$A52)</f>
        <v/>
      </c>
      <c r="B52" s="39">
        <f>IF($A52="","",IFERROR(INDEX('12_OAMENI'!$B$5:$B$64,MATCH($A52,'12_OAMENI'!$A$5:$A$64,0)),""))</f>
        <v/>
      </c>
      <c r="C52" s="39">
        <f>IF($A52="","",IFERROR(INDEX('12_OAMENI'!$C$5:$C$64,MATCH($A52,'12_OAMENI'!$A$5:$A$64,0)),""))</f>
        <v/>
      </c>
      <c r="D52" s="39">
        <f>IF($A52="","",IFERROR(INDEX('12_OAMENI'!$D$5:$D$64,MATCH($A52,'12_OAMENI'!$A$5:$A$64,0)),""))</f>
        <v/>
      </c>
      <c r="E52" s="48">
        <f>IF($A52="","",IFERROR(INDEX('12_OAMENI'!$E$5:$E$64,MATCH($A52,'12_OAMENI'!$A$5:$A$64,0)),""))</f>
        <v/>
      </c>
      <c r="F52" s="24">
        <f>IF($A52="","",SUMIFS('13_VANZARI'!$H$5:$H$1004,'13_VANZARI'!$F$5:$F$1004,$A52,'13_VANZARI'!$A$5:$A$1004,"&gt;="&amp;'09_PARAMETRI'!$B$5,'13_VANZARI'!$A$5:$A$1004,"&lt;="&amp;'09_PARAMETRI'!$B$6))</f>
        <v/>
      </c>
      <c r="G52" s="24">
        <f>IF($A52="","",SUMIFS('13_VANZARI'!$H$5:$H$1004,'13_VANZARI'!$F$5:$F$1004,$A52,'13_VANZARI'!$A$5:$A$1004,"&gt;="&amp;'09_PARAMETRI'!$B$7,'13_VANZARI'!$A$5:$A$1004,"&lt;="&amp;'09_PARAMETRI'!$B$8))</f>
        <v/>
      </c>
      <c r="H52" s="25">
        <f>IF($A52="","",IFERROR(IF($G52=0,"",($F52-$G52)/ABS($G52)),""))</f>
        <v/>
      </c>
      <c r="I52" s="24">
        <f>IF($A52="","",SUMIFS('13_VANZARI'!$K$5:$K$1004,'13_VANZARI'!$F$5:$F$1004,$A52,'13_VANZARI'!$A$5:$A$1004,"&gt;="&amp;'09_PARAMETRI'!$B$5,'13_VANZARI'!$A$5:$A$1004,"&lt;="&amp;'09_PARAMETRI'!$B$6))</f>
        <v/>
      </c>
      <c r="J52" s="25">
        <f>IF($A52="","",IFERROR($I52/$F52,""))</f>
        <v/>
      </c>
      <c r="K52" s="24">
        <f>IF($A52="","",SUMPRODUCT(('10_CLIENTI'!$A$5:$A$204&lt;&gt;"")*(SUMIFS('13_VANZARI'!$H$5:$H$1004,'13_VANZARI'!$F$5:$F$1004,$A52,'13_VANZARI'!$D$5:$D$1004,'10_CLIENTI'!$A$5:$A$204,'13_VANZARI'!$A$5:$A$1004,"&gt;="&amp;'09_PARAMETRI'!$B$5,'13_VANZARI'!$A$5:$A$1004,"&lt;="&amp;'09_PARAMETRI'!$B$6)&lt;&gt;0)))</f>
        <v/>
      </c>
      <c r="L52" s="24">
        <f>IF($A52="","",IFERROR($F52/$E52,""))</f>
        <v/>
      </c>
      <c r="M52" s="24">
        <f>IF($A52="","",SUMIFS('14_TINTE'!$E$5:$E$304,'14_TINTE'!$A$5:$A$304,"&gt;="&amp;'09_PARAMETRI'!$B$5,'14_TINTE'!$A$5:$A$304,"&lt;="&amp;'09_PARAMETRI'!$B$6,'14_TINTE'!$D$5:$D$304,"Venit",'14_TINTE'!$B$5:$B$304,"Persoană",'14_TINTE'!$C$5:$C$304,$A52))</f>
        <v/>
      </c>
      <c r="N52" s="25">
        <f>IF($A52="","",IFERROR(IF($M52=0,"",$F52/$M52),""))</f>
        <v/>
      </c>
      <c r="O52" s="39">
        <f>IF($A52="","",IF(AND($N52&lt;&gt;"",$N52&lt;'09_PARAMETRI'!$B$18,$M52&gt;0),"Sub țintă",IF(AND($H52&lt;&gt;"",$H52&lt;='09_PARAMETRI'!$B$13),"Portofoliu în scădere",IF(AND($F52&gt;0,$L52&lt;&gt;"",$L52&lt;IFERROR(AVERAGE($L$5:$L$64),0)*0.7),"Productivitate sub medie",IF($F52=0,"Fără vânzări înregistrate","În parametri")))))</f>
        <v/>
      </c>
      <c r="P52" s="39">
        <f>IF($A52="","",IF($O52="Sub țintă","Gap față de țintă",IF($O52="Portofoliu în scădere","Productivitate vânzări",IF($O52="Productivitate sub medie","Dezvoltare oameni",IF($O52="Fără vânzări înregistrate","Proces / operațional","Productivitate vânzări")))))</f>
        <v/>
      </c>
      <c r="Q52" s="24">
        <f>IF($A52="","",IFERROR(IF($O52="Sub țintă",MAX(0,$M52-$F52),IF($O52="Portofoliu în scădere",MAX(0,$G52-$F52),$F52*0.15)),""))</f>
        <v/>
      </c>
    </row>
    <row r="53">
      <c r="A53" s="39">
        <f>IF('12_OAMENI'!$A53="","",'12_OAMENI'!$A53)</f>
        <v/>
      </c>
      <c r="B53" s="39">
        <f>IF($A53="","",IFERROR(INDEX('12_OAMENI'!$B$5:$B$64,MATCH($A53,'12_OAMENI'!$A$5:$A$64,0)),""))</f>
        <v/>
      </c>
      <c r="C53" s="39">
        <f>IF($A53="","",IFERROR(INDEX('12_OAMENI'!$C$5:$C$64,MATCH($A53,'12_OAMENI'!$A$5:$A$64,0)),""))</f>
        <v/>
      </c>
      <c r="D53" s="39">
        <f>IF($A53="","",IFERROR(INDEX('12_OAMENI'!$D$5:$D$64,MATCH($A53,'12_OAMENI'!$A$5:$A$64,0)),""))</f>
        <v/>
      </c>
      <c r="E53" s="48">
        <f>IF($A53="","",IFERROR(INDEX('12_OAMENI'!$E$5:$E$64,MATCH($A53,'12_OAMENI'!$A$5:$A$64,0)),""))</f>
        <v/>
      </c>
      <c r="F53" s="24">
        <f>IF($A53="","",SUMIFS('13_VANZARI'!$H$5:$H$1004,'13_VANZARI'!$F$5:$F$1004,$A53,'13_VANZARI'!$A$5:$A$1004,"&gt;="&amp;'09_PARAMETRI'!$B$5,'13_VANZARI'!$A$5:$A$1004,"&lt;="&amp;'09_PARAMETRI'!$B$6))</f>
        <v/>
      </c>
      <c r="G53" s="24">
        <f>IF($A53="","",SUMIFS('13_VANZARI'!$H$5:$H$1004,'13_VANZARI'!$F$5:$F$1004,$A53,'13_VANZARI'!$A$5:$A$1004,"&gt;="&amp;'09_PARAMETRI'!$B$7,'13_VANZARI'!$A$5:$A$1004,"&lt;="&amp;'09_PARAMETRI'!$B$8))</f>
        <v/>
      </c>
      <c r="H53" s="25">
        <f>IF($A53="","",IFERROR(IF($G53=0,"",($F53-$G53)/ABS($G53)),""))</f>
        <v/>
      </c>
      <c r="I53" s="24">
        <f>IF($A53="","",SUMIFS('13_VANZARI'!$K$5:$K$1004,'13_VANZARI'!$F$5:$F$1004,$A53,'13_VANZARI'!$A$5:$A$1004,"&gt;="&amp;'09_PARAMETRI'!$B$5,'13_VANZARI'!$A$5:$A$1004,"&lt;="&amp;'09_PARAMETRI'!$B$6))</f>
        <v/>
      </c>
      <c r="J53" s="25">
        <f>IF($A53="","",IFERROR($I53/$F53,""))</f>
        <v/>
      </c>
      <c r="K53" s="24">
        <f>IF($A53="","",SUMPRODUCT(('10_CLIENTI'!$A$5:$A$204&lt;&gt;"")*(SUMIFS('13_VANZARI'!$H$5:$H$1004,'13_VANZARI'!$F$5:$F$1004,$A53,'13_VANZARI'!$D$5:$D$1004,'10_CLIENTI'!$A$5:$A$204,'13_VANZARI'!$A$5:$A$1004,"&gt;="&amp;'09_PARAMETRI'!$B$5,'13_VANZARI'!$A$5:$A$1004,"&lt;="&amp;'09_PARAMETRI'!$B$6)&lt;&gt;0)))</f>
        <v/>
      </c>
      <c r="L53" s="24">
        <f>IF($A53="","",IFERROR($F53/$E53,""))</f>
        <v/>
      </c>
      <c r="M53" s="24">
        <f>IF($A53="","",SUMIFS('14_TINTE'!$E$5:$E$304,'14_TINTE'!$A$5:$A$304,"&gt;="&amp;'09_PARAMETRI'!$B$5,'14_TINTE'!$A$5:$A$304,"&lt;="&amp;'09_PARAMETRI'!$B$6,'14_TINTE'!$D$5:$D$304,"Venit",'14_TINTE'!$B$5:$B$304,"Persoană",'14_TINTE'!$C$5:$C$304,$A53))</f>
        <v/>
      </c>
      <c r="N53" s="25">
        <f>IF($A53="","",IFERROR(IF($M53=0,"",$F53/$M53),""))</f>
        <v/>
      </c>
      <c r="O53" s="39">
        <f>IF($A53="","",IF(AND($N53&lt;&gt;"",$N53&lt;'09_PARAMETRI'!$B$18,$M53&gt;0),"Sub țintă",IF(AND($H53&lt;&gt;"",$H53&lt;='09_PARAMETRI'!$B$13),"Portofoliu în scădere",IF(AND($F53&gt;0,$L53&lt;&gt;"",$L53&lt;IFERROR(AVERAGE($L$5:$L$64),0)*0.7),"Productivitate sub medie",IF($F53=0,"Fără vânzări înregistrate","În parametri")))))</f>
        <v/>
      </c>
      <c r="P53" s="39">
        <f>IF($A53="","",IF($O53="Sub țintă","Gap față de țintă",IF($O53="Portofoliu în scădere","Productivitate vânzări",IF($O53="Productivitate sub medie","Dezvoltare oameni",IF($O53="Fără vânzări înregistrate","Proces / operațional","Productivitate vânzări")))))</f>
        <v/>
      </c>
      <c r="Q53" s="24">
        <f>IF($A53="","",IFERROR(IF($O53="Sub țintă",MAX(0,$M53-$F53),IF($O53="Portofoliu în scădere",MAX(0,$G53-$F53),$F53*0.15)),""))</f>
        <v/>
      </c>
    </row>
    <row r="54">
      <c r="A54" s="39">
        <f>IF('12_OAMENI'!$A54="","",'12_OAMENI'!$A54)</f>
        <v/>
      </c>
      <c r="B54" s="39">
        <f>IF($A54="","",IFERROR(INDEX('12_OAMENI'!$B$5:$B$64,MATCH($A54,'12_OAMENI'!$A$5:$A$64,0)),""))</f>
        <v/>
      </c>
      <c r="C54" s="39">
        <f>IF($A54="","",IFERROR(INDEX('12_OAMENI'!$C$5:$C$64,MATCH($A54,'12_OAMENI'!$A$5:$A$64,0)),""))</f>
        <v/>
      </c>
      <c r="D54" s="39">
        <f>IF($A54="","",IFERROR(INDEX('12_OAMENI'!$D$5:$D$64,MATCH($A54,'12_OAMENI'!$A$5:$A$64,0)),""))</f>
        <v/>
      </c>
      <c r="E54" s="48">
        <f>IF($A54="","",IFERROR(INDEX('12_OAMENI'!$E$5:$E$64,MATCH($A54,'12_OAMENI'!$A$5:$A$64,0)),""))</f>
        <v/>
      </c>
      <c r="F54" s="24">
        <f>IF($A54="","",SUMIFS('13_VANZARI'!$H$5:$H$1004,'13_VANZARI'!$F$5:$F$1004,$A54,'13_VANZARI'!$A$5:$A$1004,"&gt;="&amp;'09_PARAMETRI'!$B$5,'13_VANZARI'!$A$5:$A$1004,"&lt;="&amp;'09_PARAMETRI'!$B$6))</f>
        <v/>
      </c>
      <c r="G54" s="24">
        <f>IF($A54="","",SUMIFS('13_VANZARI'!$H$5:$H$1004,'13_VANZARI'!$F$5:$F$1004,$A54,'13_VANZARI'!$A$5:$A$1004,"&gt;="&amp;'09_PARAMETRI'!$B$7,'13_VANZARI'!$A$5:$A$1004,"&lt;="&amp;'09_PARAMETRI'!$B$8))</f>
        <v/>
      </c>
      <c r="H54" s="25">
        <f>IF($A54="","",IFERROR(IF($G54=0,"",($F54-$G54)/ABS($G54)),""))</f>
        <v/>
      </c>
      <c r="I54" s="24">
        <f>IF($A54="","",SUMIFS('13_VANZARI'!$K$5:$K$1004,'13_VANZARI'!$F$5:$F$1004,$A54,'13_VANZARI'!$A$5:$A$1004,"&gt;="&amp;'09_PARAMETRI'!$B$5,'13_VANZARI'!$A$5:$A$1004,"&lt;="&amp;'09_PARAMETRI'!$B$6))</f>
        <v/>
      </c>
      <c r="J54" s="25">
        <f>IF($A54="","",IFERROR($I54/$F54,""))</f>
        <v/>
      </c>
      <c r="K54" s="24">
        <f>IF($A54="","",SUMPRODUCT(('10_CLIENTI'!$A$5:$A$204&lt;&gt;"")*(SUMIFS('13_VANZARI'!$H$5:$H$1004,'13_VANZARI'!$F$5:$F$1004,$A54,'13_VANZARI'!$D$5:$D$1004,'10_CLIENTI'!$A$5:$A$204,'13_VANZARI'!$A$5:$A$1004,"&gt;="&amp;'09_PARAMETRI'!$B$5,'13_VANZARI'!$A$5:$A$1004,"&lt;="&amp;'09_PARAMETRI'!$B$6)&lt;&gt;0)))</f>
        <v/>
      </c>
      <c r="L54" s="24">
        <f>IF($A54="","",IFERROR($F54/$E54,""))</f>
        <v/>
      </c>
      <c r="M54" s="24">
        <f>IF($A54="","",SUMIFS('14_TINTE'!$E$5:$E$304,'14_TINTE'!$A$5:$A$304,"&gt;="&amp;'09_PARAMETRI'!$B$5,'14_TINTE'!$A$5:$A$304,"&lt;="&amp;'09_PARAMETRI'!$B$6,'14_TINTE'!$D$5:$D$304,"Venit",'14_TINTE'!$B$5:$B$304,"Persoană",'14_TINTE'!$C$5:$C$304,$A54))</f>
        <v/>
      </c>
      <c r="N54" s="25">
        <f>IF($A54="","",IFERROR(IF($M54=0,"",$F54/$M54),""))</f>
        <v/>
      </c>
      <c r="O54" s="39">
        <f>IF($A54="","",IF(AND($N54&lt;&gt;"",$N54&lt;'09_PARAMETRI'!$B$18,$M54&gt;0),"Sub țintă",IF(AND($H54&lt;&gt;"",$H54&lt;='09_PARAMETRI'!$B$13),"Portofoliu în scădere",IF(AND($F54&gt;0,$L54&lt;&gt;"",$L54&lt;IFERROR(AVERAGE($L$5:$L$64),0)*0.7),"Productivitate sub medie",IF($F54=0,"Fără vânzări înregistrate","În parametri")))))</f>
        <v/>
      </c>
      <c r="P54" s="39">
        <f>IF($A54="","",IF($O54="Sub țintă","Gap față de țintă",IF($O54="Portofoliu în scădere","Productivitate vânzări",IF($O54="Productivitate sub medie","Dezvoltare oameni",IF($O54="Fără vânzări înregistrate","Proces / operațional","Productivitate vânzări")))))</f>
        <v/>
      </c>
      <c r="Q54" s="24">
        <f>IF($A54="","",IFERROR(IF($O54="Sub țintă",MAX(0,$M54-$F54),IF($O54="Portofoliu în scădere",MAX(0,$G54-$F54),$F54*0.15)),""))</f>
        <v/>
      </c>
    </row>
    <row r="55">
      <c r="A55" s="39">
        <f>IF('12_OAMENI'!$A55="","",'12_OAMENI'!$A55)</f>
        <v/>
      </c>
      <c r="B55" s="39">
        <f>IF($A55="","",IFERROR(INDEX('12_OAMENI'!$B$5:$B$64,MATCH($A55,'12_OAMENI'!$A$5:$A$64,0)),""))</f>
        <v/>
      </c>
      <c r="C55" s="39">
        <f>IF($A55="","",IFERROR(INDEX('12_OAMENI'!$C$5:$C$64,MATCH($A55,'12_OAMENI'!$A$5:$A$64,0)),""))</f>
        <v/>
      </c>
      <c r="D55" s="39">
        <f>IF($A55="","",IFERROR(INDEX('12_OAMENI'!$D$5:$D$64,MATCH($A55,'12_OAMENI'!$A$5:$A$64,0)),""))</f>
        <v/>
      </c>
      <c r="E55" s="48">
        <f>IF($A55="","",IFERROR(INDEX('12_OAMENI'!$E$5:$E$64,MATCH($A55,'12_OAMENI'!$A$5:$A$64,0)),""))</f>
        <v/>
      </c>
      <c r="F55" s="24">
        <f>IF($A55="","",SUMIFS('13_VANZARI'!$H$5:$H$1004,'13_VANZARI'!$F$5:$F$1004,$A55,'13_VANZARI'!$A$5:$A$1004,"&gt;="&amp;'09_PARAMETRI'!$B$5,'13_VANZARI'!$A$5:$A$1004,"&lt;="&amp;'09_PARAMETRI'!$B$6))</f>
        <v/>
      </c>
      <c r="G55" s="24">
        <f>IF($A55="","",SUMIFS('13_VANZARI'!$H$5:$H$1004,'13_VANZARI'!$F$5:$F$1004,$A55,'13_VANZARI'!$A$5:$A$1004,"&gt;="&amp;'09_PARAMETRI'!$B$7,'13_VANZARI'!$A$5:$A$1004,"&lt;="&amp;'09_PARAMETRI'!$B$8))</f>
        <v/>
      </c>
      <c r="H55" s="25">
        <f>IF($A55="","",IFERROR(IF($G55=0,"",($F55-$G55)/ABS($G55)),""))</f>
        <v/>
      </c>
      <c r="I55" s="24">
        <f>IF($A55="","",SUMIFS('13_VANZARI'!$K$5:$K$1004,'13_VANZARI'!$F$5:$F$1004,$A55,'13_VANZARI'!$A$5:$A$1004,"&gt;="&amp;'09_PARAMETRI'!$B$5,'13_VANZARI'!$A$5:$A$1004,"&lt;="&amp;'09_PARAMETRI'!$B$6))</f>
        <v/>
      </c>
      <c r="J55" s="25">
        <f>IF($A55="","",IFERROR($I55/$F55,""))</f>
        <v/>
      </c>
      <c r="K55" s="24">
        <f>IF($A55="","",SUMPRODUCT(('10_CLIENTI'!$A$5:$A$204&lt;&gt;"")*(SUMIFS('13_VANZARI'!$H$5:$H$1004,'13_VANZARI'!$F$5:$F$1004,$A55,'13_VANZARI'!$D$5:$D$1004,'10_CLIENTI'!$A$5:$A$204,'13_VANZARI'!$A$5:$A$1004,"&gt;="&amp;'09_PARAMETRI'!$B$5,'13_VANZARI'!$A$5:$A$1004,"&lt;="&amp;'09_PARAMETRI'!$B$6)&lt;&gt;0)))</f>
        <v/>
      </c>
      <c r="L55" s="24">
        <f>IF($A55="","",IFERROR($F55/$E55,""))</f>
        <v/>
      </c>
      <c r="M55" s="24">
        <f>IF($A55="","",SUMIFS('14_TINTE'!$E$5:$E$304,'14_TINTE'!$A$5:$A$304,"&gt;="&amp;'09_PARAMETRI'!$B$5,'14_TINTE'!$A$5:$A$304,"&lt;="&amp;'09_PARAMETRI'!$B$6,'14_TINTE'!$D$5:$D$304,"Venit",'14_TINTE'!$B$5:$B$304,"Persoană",'14_TINTE'!$C$5:$C$304,$A55))</f>
        <v/>
      </c>
      <c r="N55" s="25">
        <f>IF($A55="","",IFERROR(IF($M55=0,"",$F55/$M55),""))</f>
        <v/>
      </c>
      <c r="O55" s="39">
        <f>IF($A55="","",IF(AND($N55&lt;&gt;"",$N55&lt;'09_PARAMETRI'!$B$18,$M55&gt;0),"Sub țintă",IF(AND($H55&lt;&gt;"",$H55&lt;='09_PARAMETRI'!$B$13),"Portofoliu în scădere",IF(AND($F55&gt;0,$L55&lt;&gt;"",$L55&lt;IFERROR(AVERAGE($L$5:$L$64),0)*0.7),"Productivitate sub medie",IF($F55=0,"Fără vânzări înregistrate","În parametri")))))</f>
        <v/>
      </c>
      <c r="P55" s="39">
        <f>IF($A55="","",IF($O55="Sub țintă","Gap față de țintă",IF($O55="Portofoliu în scădere","Productivitate vânzări",IF($O55="Productivitate sub medie","Dezvoltare oameni",IF($O55="Fără vânzări înregistrate","Proces / operațional","Productivitate vânzări")))))</f>
        <v/>
      </c>
      <c r="Q55" s="24">
        <f>IF($A55="","",IFERROR(IF($O55="Sub țintă",MAX(0,$M55-$F55),IF($O55="Portofoliu în scădere",MAX(0,$G55-$F55),$F55*0.15)),""))</f>
        <v/>
      </c>
    </row>
    <row r="56">
      <c r="A56" s="39">
        <f>IF('12_OAMENI'!$A56="","",'12_OAMENI'!$A56)</f>
        <v/>
      </c>
      <c r="B56" s="39">
        <f>IF($A56="","",IFERROR(INDEX('12_OAMENI'!$B$5:$B$64,MATCH($A56,'12_OAMENI'!$A$5:$A$64,0)),""))</f>
        <v/>
      </c>
      <c r="C56" s="39">
        <f>IF($A56="","",IFERROR(INDEX('12_OAMENI'!$C$5:$C$64,MATCH($A56,'12_OAMENI'!$A$5:$A$64,0)),""))</f>
        <v/>
      </c>
      <c r="D56" s="39">
        <f>IF($A56="","",IFERROR(INDEX('12_OAMENI'!$D$5:$D$64,MATCH($A56,'12_OAMENI'!$A$5:$A$64,0)),""))</f>
        <v/>
      </c>
      <c r="E56" s="48">
        <f>IF($A56="","",IFERROR(INDEX('12_OAMENI'!$E$5:$E$64,MATCH($A56,'12_OAMENI'!$A$5:$A$64,0)),""))</f>
        <v/>
      </c>
      <c r="F56" s="24">
        <f>IF($A56="","",SUMIFS('13_VANZARI'!$H$5:$H$1004,'13_VANZARI'!$F$5:$F$1004,$A56,'13_VANZARI'!$A$5:$A$1004,"&gt;="&amp;'09_PARAMETRI'!$B$5,'13_VANZARI'!$A$5:$A$1004,"&lt;="&amp;'09_PARAMETRI'!$B$6))</f>
        <v/>
      </c>
      <c r="G56" s="24">
        <f>IF($A56="","",SUMIFS('13_VANZARI'!$H$5:$H$1004,'13_VANZARI'!$F$5:$F$1004,$A56,'13_VANZARI'!$A$5:$A$1004,"&gt;="&amp;'09_PARAMETRI'!$B$7,'13_VANZARI'!$A$5:$A$1004,"&lt;="&amp;'09_PARAMETRI'!$B$8))</f>
        <v/>
      </c>
      <c r="H56" s="25">
        <f>IF($A56="","",IFERROR(IF($G56=0,"",($F56-$G56)/ABS($G56)),""))</f>
        <v/>
      </c>
      <c r="I56" s="24">
        <f>IF($A56="","",SUMIFS('13_VANZARI'!$K$5:$K$1004,'13_VANZARI'!$F$5:$F$1004,$A56,'13_VANZARI'!$A$5:$A$1004,"&gt;="&amp;'09_PARAMETRI'!$B$5,'13_VANZARI'!$A$5:$A$1004,"&lt;="&amp;'09_PARAMETRI'!$B$6))</f>
        <v/>
      </c>
      <c r="J56" s="25">
        <f>IF($A56="","",IFERROR($I56/$F56,""))</f>
        <v/>
      </c>
      <c r="K56" s="24">
        <f>IF($A56="","",SUMPRODUCT(('10_CLIENTI'!$A$5:$A$204&lt;&gt;"")*(SUMIFS('13_VANZARI'!$H$5:$H$1004,'13_VANZARI'!$F$5:$F$1004,$A56,'13_VANZARI'!$D$5:$D$1004,'10_CLIENTI'!$A$5:$A$204,'13_VANZARI'!$A$5:$A$1004,"&gt;="&amp;'09_PARAMETRI'!$B$5,'13_VANZARI'!$A$5:$A$1004,"&lt;="&amp;'09_PARAMETRI'!$B$6)&lt;&gt;0)))</f>
        <v/>
      </c>
      <c r="L56" s="24">
        <f>IF($A56="","",IFERROR($F56/$E56,""))</f>
        <v/>
      </c>
      <c r="M56" s="24">
        <f>IF($A56="","",SUMIFS('14_TINTE'!$E$5:$E$304,'14_TINTE'!$A$5:$A$304,"&gt;="&amp;'09_PARAMETRI'!$B$5,'14_TINTE'!$A$5:$A$304,"&lt;="&amp;'09_PARAMETRI'!$B$6,'14_TINTE'!$D$5:$D$304,"Venit",'14_TINTE'!$B$5:$B$304,"Persoană",'14_TINTE'!$C$5:$C$304,$A56))</f>
        <v/>
      </c>
      <c r="N56" s="25">
        <f>IF($A56="","",IFERROR(IF($M56=0,"",$F56/$M56),""))</f>
        <v/>
      </c>
      <c r="O56" s="39">
        <f>IF($A56="","",IF(AND($N56&lt;&gt;"",$N56&lt;'09_PARAMETRI'!$B$18,$M56&gt;0),"Sub țintă",IF(AND($H56&lt;&gt;"",$H56&lt;='09_PARAMETRI'!$B$13),"Portofoliu în scădere",IF(AND($F56&gt;0,$L56&lt;&gt;"",$L56&lt;IFERROR(AVERAGE($L$5:$L$64),0)*0.7),"Productivitate sub medie",IF($F56=0,"Fără vânzări înregistrate","În parametri")))))</f>
        <v/>
      </c>
      <c r="P56" s="39">
        <f>IF($A56="","",IF($O56="Sub țintă","Gap față de țintă",IF($O56="Portofoliu în scădere","Productivitate vânzări",IF($O56="Productivitate sub medie","Dezvoltare oameni",IF($O56="Fără vânzări înregistrate","Proces / operațional","Productivitate vânzări")))))</f>
        <v/>
      </c>
      <c r="Q56" s="24">
        <f>IF($A56="","",IFERROR(IF($O56="Sub țintă",MAX(0,$M56-$F56),IF($O56="Portofoliu în scădere",MAX(0,$G56-$F56),$F56*0.15)),""))</f>
        <v/>
      </c>
    </row>
    <row r="57">
      <c r="A57" s="39">
        <f>IF('12_OAMENI'!$A57="","",'12_OAMENI'!$A57)</f>
        <v/>
      </c>
      <c r="B57" s="39">
        <f>IF($A57="","",IFERROR(INDEX('12_OAMENI'!$B$5:$B$64,MATCH($A57,'12_OAMENI'!$A$5:$A$64,0)),""))</f>
        <v/>
      </c>
      <c r="C57" s="39">
        <f>IF($A57="","",IFERROR(INDEX('12_OAMENI'!$C$5:$C$64,MATCH($A57,'12_OAMENI'!$A$5:$A$64,0)),""))</f>
        <v/>
      </c>
      <c r="D57" s="39">
        <f>IF($A57="","",IFERROR(INDEX('12_OAMENI'!$D$5:$D$64,MATCH($A57,'12_OAMENI'!$A$5:$A$64,0)),""))</f>
        <v/>
      </c>
      <c r="E57" s="48">
        <f>IF($A57="","",IFERROR(INDEX('12_OAMENI'!$E$5:$E$64,MATCH($A57,'12_OAMENI'!$A$5:$A$64,0)),""))</f>
        <v/>
      </c>
      <c r="F57" s="24">
        <f>IF($A57="","",SUMIFS('13_VANZARI'!$H$5:$H$1004,'13_VANZARI'!$F$5:$F$1004,$A57,'13_VANZARI'!$A$5:$A$1004,"&gt;="&amp;'09_PARAMETRI'!$B$5,'13_VANZARI'!$A$5:$A$1004,"&lt;="&amp;'09_PARAMETRI'!$B$6))</f>
        <v/>
      </c>
      <c r="G57" s="24">
        <f>IF($A57="","",SUMIFS('13_VANZARI'!$H$5:$H$1004,'13_VANZARI'!$F$5:$F$1004,$A57,'13_VANZARI'!$A$5:$A$1004,"&gt;="&amp;'09_PARAMETRI'!$B$7,'13_VANZARI'!$A$5:$A$1004,"&lt;="&amp;'09_PARAMETRI'!$B$8))</f>
        <v/>
      </c>
      <c r="H57" s="25">
        <f>IF($A57="","",IFERROR(IF($G57=0,"",($F57-$G57)/ABS($G57)),""))</f>
        <v/>
      </c>
      <c r="I57" s="24">
        <f>IF($A57="","",SUMIFS('13_VANZARI'!$K$5:$K$1004,'13_VANZARI'!$F$5:$F$1004,$A57,'13_VANZARI'!$A$5:$A$1004,"&gt;="&amp;'09_PARAMETRI'!$B$5,'13_VANZARI'!$A$5:$A$1004,"&lt;="&amp;'09_PARAMETRI'!$B$6))</f>
        <v/>
      </c>
      <c r="J57" s="25">
        <f>IF($A57="","",IFERROR($I57/$F57,""))</f>
        <v/>
      </c>
      <c r="K57" s="24">
        <f>IF($A57="","",SUMPRODUCT(('10_CLIENTI'!$A$5:$A$204&lt;&gt;"")*(SUMIFS('13_VANZARI'!$H$5:$H$1004,'13_VANZARI'!$F$5:$F$1004,$A57,'13_VANZARI'!$D$5:$D$1004,'10_CLIENTI'!$A$5:$A$204,'13_VANZARI'!$A$5:$A$1004,"&gt;="&amp;'09_PARAMETRI'!$B$5,'13_VANZARI'!$A$5:$A$1004,"&lt;="&amp;'09_PARAMETRI'!$B$6)&lt;&gt;0)))</f>
        <v/>
      </c>
      <c r="L57" s="24">
        <f>IF($A57="","",IFERROR($F57/$E57,""))</f>
        <v/>
      </c>
      <c r="M57" s="24">
        <f>IF($A57="","",SUMIFS('14_TINTE'!$E$5:$E$304,'14_TINTE'!$A$5:$A$304,"&gt;="&amp;'09_PARAMETRI'!$B$5,'14_TINTE'!$A$5:$A$304,"&lt;="&amp;'09_PARAMETRI'!$B$6,'14_TINTE'!$D$5:$D$304,"Venit",'14_TINTE'!$B$5:$B$304,"Persoană",'14_TINTE'!$C$5:$C$304,$A57))</f>
        <v/>
      </c>
      <c r="N57" s="25">
        <f>IF($A57="","",IFERROR(IF($M57=0,"",$F57/$M57),""))</f>
        <v/>
      </c>
      <c r="O57" s="39">
        <f>IF($A57="","",IF(AND($N57&lt;&gt;"",$N57&lt;'09_PARAMETRI'!$B$18,$M57&gt;0),"Sub țintă",IF(AND($H57&lt;&gt;"",$H57&lt;='09_PARAMETRI'!$B$13),"Portofoliu în scădere",IF(AND($F57&gt;0,$L57&lt;&gt;"",$L57&lt;IFERROR(AVERAGE($L$5:$L$64),0)*0.7),"Productivitate sub medie",IF($F57=0,"Fără vânzări înregistrate","În parametri")))))</f>
        <v/>
      </c>
      <c r="P57" s="39">
        <f>IF($A57="","",IF($O57="Sub țintă","Gap față de țintă",IF($O57="Portofoliu în scădere","Productivitate vânzări",IF($O57="Productivitate sub medie","Dezvoltare oameni",IF($O57="Fără vânzări înregistrate","Proces / operațional","Productivitate vânzări")))))</f>
        <v/>
      </c>
      <c r="Q57" s="24">
        <f>IF($A57="","",IFERROR(IF($O57="Sub țintă",MAX(0,$M57-$F57),IF($O57="Portofoliu în scădere",MAX(0,$G57-$F57),$F57*0.15)),""))</f>
        <v/>
      </c>
    </row>
    <row r="58">
      <c r="A58" s="39">
        <f>IF('12_OAMENI'!$A58="","",'12_OAMENI'!$A58)</f>
        <v/>
      </c>
      <c r="B58" s="39">
        <f>IF($A58="","",IFERROR(INDEX('12_OAMENI'!$B$5:$B$64,MATCH($A58,'12_OAMENI'!$A$5:$A$64,0)),""))</f>
        <v/>
      </c>
      <c r="C58" s="39">
        <f>IF($A58="","",IFERROR(INDEX('12_OAMENI'!$C$5:$C$64,MATCH($A58,'12_OAMENI'!$A$5:$A$64,0)),""))</f>
        <v/>
      </c>
      <c r="D58" s="39">
        <f>IF($A58="","",IFERROR(INDEX('12_OAMENI'!$D$5:$D$64,MATCH($A58,'12_OAMENI'!$A$5:$A$64,0)),""))</f>
        <v/>
      </c>
      <c r="E58" s="48">
        <f>IF($A58="","",IFERROR(INDEX('12_OAMENI'!$E$5:$E$64,MATCH($A58,'12_OAMENI'!$A$5:$A$64,0)),""))</f>
        <v/>
      </c>
      <c r="F58" s="24">
        <f>IF($A58="","",SUMIFS('13_VANZARI'!$H$5:$H$1004,'13_VANZARI'!$F$5:$F$1004,$A58,'13_VANZARI'!$A$5:$A$1004,"&gt;="&amp;'09_PARAMETRI'!$B$5,'13_VANZARI'!$A$5:$A$1004,"&lt;="&amp;'09_PARAMETRI'!$B$6))</f>
        <v/>
      </c>
      <c r="G58" s="24">
        <f>IF($A58="","",SUMIFS('13_VANZARI'!$H$5:$H$1004,'13_VANZARI'!$F$5:$F$1004,$A58,'13_VANZARI'!$A$5:$A$1004,"&gt;="&amp;'09_PARAMETRI'!$B$7,'13_VANZARI'!$A$5:$A$1004,"&lt;="&amp;'09_PARAMETRI'!$B$8))</f>
        <v/>
      </c>
      <c r="H58" s="25">
        <f>IF($A58="","",IFERROR(IF($G58=0,"",($F58-$G58)/ABS($G58)),""))</f>
        <v/>
      </c>
      <c r="I58" s="24">
        <f>IF($A58="","",SUMIFS('13_VANZARI'!$K$5:$K$1004,'13_VANZARI'!$F$5:$F$1004,$A58,'13_VANZARI'!$A$5:$A$1004,"&gt;="&amp;'09_PARAMETRI'!$B$5,'13_VANZARI'!$A$5:$A$1004,"&lt;="&amp;'09_PARAMETRI'!$B$6))</f>
        <v/>
      </c>
      <c r="J58" s="25">
        <f>IF($A58="","",IFERROR($I58/$F58,""))</f>
        <v/>
      </c>
      <c r="K58" s="24">
        <f>IF($A58="","",SUMPRODUCT(('10_CLIENTI'!$A$5:$A$204&lt;&gt;"")*(SUMIFS('13_VANZARI'!$H$5:$H$1004,'13_VANZARI'!$F$5:$F$1004,$A58,'13_VANZARI'!$D$5:$D$1004,'10_CLIENTI'!$A$5:$A$204,'13_VANZARI'!$A$5:$A$1004,"&gt;="&amp;'09_PARAMETRI'!$B$5,'13_VANZARI'!$A$5:$A$1004,"&lt;="&amp;'09_PARAMETRI'!$B$6)&lt;&gt;0)))</f>
        <v/>
      </c>
      <c r="L58" s="24">
        <f>IF($A58="","",IFERROR($F58/$E58,""))</f>
        <v/>
      </c>
      <c r="M58" s="24">
        <f>IF($A58="","",SUMIFS('14_TINTE'!$E$5:$E$304,'14_TINTE'!$A$5:$A$304,"&gt;="&amp;'09_PARAMETRI'!$B$5,'14_TINTE'!$A$5:$A$304,"&lt;="&amp;'09_PARAMETRI'!$B$6,'14_TINTE'!$D$5:$D$304,"Venit",'14_TINTE'!$B$5:$B$304,"Persoană",'14_TINTE'!$C$5:$C$304,$A58))</f>
        <v/>
      </c>
      <c r="N58" s="25">
        <f>IF($A58="","",IFERROR(IF($M58=0,"",$F58/$M58),""))</f>
        <v/>
      </c>
      <c r="O58" s="39">
        <f>IF($A58="","",IF(AND($N58&lt;&gt;"",$N58&lt;'09_PARAMETRI'!$B$18,$M58&gt;0),"Sub țintă",IF(AND($H58&lt;&gt;"",$H58&lt;='09_PARAMETRI'!$B$13),"Portofoliu în scădere",IF(AND($F58&gt;0,$L58&lt;&gt;"",$L58&lt;IFERROR(AVERAGE($L$5:$L$64),0)*0.7),"Productivitate sub medie",IF($F58=0,"Fără vânzări înregistrate","În parametri")))))</f>
        <v/>
      </c>
      <c r="P58" s="39">
        <f>IF($A58="","",IF($O58="Sub țintă","Gap față de țintă",IF($O58="Portofoliu în scădere","Productivitate vânzări",IF($O58="Productivitate sub medie","Dezvoltare oameni",IF($O58="Fără vânzări înregistrate","Proces / operațional","Productivitate vânzări")))))</f>
        <v/>
      </c>
      <c r="Q58" s="24">
        <f>IF($A58="","",IFERROR(IF($O58="Sub țintă",MAX(0,$M58-$F58),IF($O58="Portofoliu în scădere",MAX(0,$G58-$F58),$F58*0.15)),""))</f>
        <v/>
      </c>
    </row>
    <row r="59">
      <c r="A59" s="39">
        <f>IF('12_OAMENI'!$A59="","",'12_OAMENI'!$A59)</f>
        <v/>
      </c>
      <c r="B59" s="39">
        <f>IF($A59="","",IFERROR(INDEX('12_OAMENI'!$B$5:$B$64,MATCH($A59,'12_OAMENI'!$A$5:$A$64,0)),""))</f>
        <v/>
      </c>
      <c r="C59" s="39">
        <f>IF($A59="","",IFERROR(INDEX('12_OAMENI'!$C$5:$C$64,MATCH($A59,'12_OAMENI'!$A$5:$A$64,0)),""))</f>
        <v/>
      </c>
      <c r="D59" s="39">
        <f>IF($A59="","",IFERROR(INDEX('12_OAMENI'!$D$5:$D$64,MATCH($A59,'12_OAMENI'!$A$5:$A$64,0)),""))</f>
        <v/>
      </c>
      <c r="E59" s="48">
        <f>IF($A59="","",IFERROR(INDEX('12_OAMENI'!$E$5:$E$64,MATCH($A59,'12_OAMENI'!$A$5:$A$64,0)),""))</f>
        <v/>
      </c>
      <c r="F59" s="24">
        <f>IF($A59="","",SUMIFS('13_VANZARI'!$H$5:$H$1004,'13_VANZARI'!$F$5:$F$1004,$A59,'13_VANZARI'!$A$5:$A$1004,"&gt;="&amp;'09_PARAMETRI'!$B$5,'13_VANZARI'!$A$5:$A$1004,"&lt;="&amp;'09_PARAMETRI'!$B$6))</f>
        <v/>
      </c>
      <c r="G59" s="24">
        <f>IF($A59="","",SUMIFS('13_VANZARI'!$H$5:$H$1004,'13_VANZARI'!$F$5:$F$1004,$A59,'13_VANZARI'!$A$5:$A$1004,"&gt;="&amp;'09_PARAMETRI'!$B$7,'13_VANZARI'!$A$5:$A$1004,"&lt;="&amp;'09_PARAMETRI'!$B$8))</f>
        <v/>
      </c>
      <c r="H59" s="25">
        <f>IF($A59="","",IFERROR(IF($G59=0,"",($F59-$G59)/ABS($G59)),""))</f>
        <v/>
      </c>
      <c r="I59" s="24">
        <f>IF($A59="","",SUMIFS('13_VANZARI'!$K$5:$K$1004,'13_VANZARI'!$F$5:$F$1004,$A59,'13_VANZARI'!$A$5:$A$1004,"&gt;="&amp;'09_PARAMETRI'!$B$5,'13_VANZARI'!$A$5:$A$1004,"&lt;="&amp;'09_PARAMETRI'!$B$6))</f>
        <v/>
      </c>
      <c r="J59" s="25">
        <f>IF($A59="","",IFERROR($I59/$F59,""))</f>
        <v/>
      </c>
      <c r="K59" s="24">
        <f>IF($A59="","",SUMPRODUCT(('10_CLIENTI'!$A$5:$A$204&lt;&gt;"")*(SUMIFS('13_VANZARI'!$H$5:$H$1004,'13_VANZARI'!$F$5:$F$1004,$A59,'13_VANZARI'!$D$5:$D$1004,'10_CLIENTI'!$A$5:$A$204,'13_VANZARI'!$A$5:$A$1004,"&gt;="&amp;'09_PARAMETRI'!$B$5,'13_VANZARI'!$A$5:$A$1004,"&lt;="&amp;'09_PARAMETRI'!$B$6)&lt;&gt;0)))</f>
        <v/>
      </c>
      <c r="L59" s="24">
        <f>IF($A59="","",IFERROR($F59/$E59,""))</f>
        <v/>
      </c>
      <c r="M59" s="24">
        <f>IF($A59="","",SUMIFS('14_TINTE'!$E$5:$E$304,'14_TINTE'!$A$5:$A$304,"&gt;="&amp;'09_PARAMETRI'!$B$5,'14_TINTE'!$A$5:$A$304,"&lt;="&amp;'09_PARAMETRI'!$B$6,'14_TINTE'!$D$5:$D$304,"Venit",'14_TINTE'!$B$5:$B$304,"Persoană",'14_TINTE'!$C$5:$C$304,$A59))</f>
        <v/>
      </c>
      <c r="N59" s="25">
        <f>IF($A59="","",IFERROR(IF($M59=0,"",$F59/$M59),""))</f>
        <v/>
      </c>
      <c r="O59" s="39">
        <f>IF($A59="","",IF(AND($N59&lt;&gt;"",$N59&lt;'09_PARAMETRI'!$B$18,$M59&gt;0),"Sub țintă",IF(AND($H59&lt;&gt;"",$H59&lt;='09_PARAMETRI'!$B$13),"Portofoliu în scădere",IF(AND($F59&gt;0,$L59&lt;&gt;"",$L59&lt;IFERROR(AVERAGE($L$5:$L$64),0)*0.7),"Productivitate sub medie",IF($F59=0,"Fără vânzări înregistrate","În parametri")))))</f>
        <v/>
      </c>
      <c r="P59" s="39">
        <f>IF($A59="","",IF($O59="Sub țintă","Gap față de țintă",IF($O59="Portofoliu în scădere","Productivitate vânzări",IF($O59="Productivitate sub medie","Dezvoltare oameni",IF($O59="Fără vânzări înregistrate","Proces / operațional","Productivitate vânzări")))))</f>
        <v/>
      </c>
      <c r="Q59" s="24">
        <f>IF($A59="","",IFERROR(IF($O59="Sub țintă",MAX(0,$M59-$F59),IF($O59="Portofoliu în scădere",MAX(0,$G59-$F59),$F59*0.15)),""))</f>
        <v/>
      </c>
    </row>
    <row r="60">
      <c r="A60" s="39">
        <f>IF('12_OAMENI'!$A60="","",'12_OAMENI'!$A60)</f>
        <v/>
      </c>
      <c r="B60" s="39">
        <f>IF($A60="","",IFERROR(INDEX('12_OAMENI'!$B$5:$B$64,MATCH($A60,'12_OAMENI'!$A$5:$A$64,0)),""))</f>
        <v/>
      </c>
      <c r="C60" s="39">
        <f>IF($A60="","",IFERROR(INDEX('12_OAMENI'!$C$5:$C$64,MATCH($A60,'12_OAMENI'!$A$5:$A$64,0)),""))</f>
        <v/>
      </c>
      <c r="D60" s="39">
        <f>IF($A60="","",IFERROR(INDEX('12_OAMENI'!$D$5:$D$64,MATCH($A60,'12_OAMENI'!$A$5:$A$64,0)),""))</f>
        <v/>
      </c>
      <c r="E60" s="48">
        <f>IF($A60="","",IFERROR(INDEX('12_OAMENI'!$E$5:$E$64,MATCH($A60,'12_OAMENI'!$A$5:$A$64,0)),""))</f>
        <v/>
      </c>
      <c r="F60" s="24">
        <f>IF($A60="","",SUMIFS('13_VANZARI'!$H$5:$H$1004,'13_VANZARI'!$F$5:$F$1004,$A60,'13_VANZARI'!$A$5:$A$1004,"&gt;="&amp;'09_PARAMETRI'!$B$5,'13_VANZARI'!$A$5:$A$1004,"&lt;="&amp;'09_PARAMETRI'!$B$6))</f>
        <v/>
      </c>
      <c r="G60" s="24">
        <f>IF($A60="","",SUMIFS('13_VANZARI'!$H$5:$H$1004,'13_VANZARI'!$F$5:$F$1004,$A60,'13_VANZARI'!$A$5:$A$1004,"&gt;="&amp;'09_PARAMETRI'!$B$7,'13_VANZARI'!$A$5:$A$1004,"&lt;="&amp;'09_PARAMETRI'!$B$8))</f>
        <v/>
      </c>
      <c r="H60" s="25">
        <f>IF($A60="","",IFERROR(IF($G60=0,"",($F60-$G60)/ABS($G60)),""))</f>
        <v/>
      </c>
      <c r="I60" s="24">
        <f>IF($A60="","",SUMIFS('13_VANZARI'!$K$5:$K$1004,'13_VANZARI'!$F$5:$F$1004,$A60,'13_VANZARI'!$A$5:$A$1004,"&gt;="&amp;'09_PARAMETRI'!$B$5,'13_VANZARI'!$A$5:$A$1004,"&lt;="&amp;'09_PARAMETRI'!$B$6))</f>
        <v/>
      </c>
      <c r="J60" s="25">
        <f>IF($A60="","",IFERROR($I60/$F60,""))</f>
        <v/>
      </c>
      <c r="K60" s="24">
        <f>IF($A60="","",SUMPRODUCT(('10_CLIENTI'!$A$5:$A$204&lt;&gt;"")*(SUMIFS('13_VANZARI'!$H$5:$H$1004,'13_VANZARI'!$F$5:$F$1004,$A60,'13_VANZARI'!$D$5:$D$1004,'10_CLIENTI'!$A$5:$A$204,'13_VANZARI'!$A$5:$A$1004,"&gt;="&amp;'09_PARAMETRI'!$B$5,'13_VANZARI'!$A$5:$A$1004,"&lt;="&amp;'09_PARAMETRI'!$B$6)&lt;&gt;0)))</f>
        <v/>
      </c>
      <c r="L60" s="24">
        <f>IF($A60="","",IFERROR($F60/$E60,""))</f>
        <v/>
      </c>
      <c r="M60" s="24">
        <f>IF($A60="","",SUMIFS('14_TINTE'!$E$5:$E$304,'14_TINTE'!$A$5:$A$304,"&gt;="&amp;'09_PARAMETRI'!$B$5,'14_TINTE'!$A$5:$A$304,"&lt;="&amp;'09_PARAMETRI'!$B$6,'14_TINTE'!$D$5:$D$304,"Venit",'14_TINTE'!$B$5:$B$304,"Persoană",'14_TINTE'!$C$5:$C$304,$A60))</f>
        <v/>
      </c>
      <c r="N60" s="25">
        <f>IF($A60="","",IFERROR(IF($M60=0,"",$F60/$M60),""))</f>
        <v/>
      </c>
      <c r="O60" s="39">
        <f>IF($A60="","",IF(AND($N60&lt;&gt;"",$N60&lt;'09_PARAMETRI'!$B$18,$M60&gt;0),"Sub țintă",IF(AND($H60&lt;&gt;"",$H60&lt;='09_PARAMETRI'!$B$13),"Portofoliu în scădere",IF(AND($F60&gt;0,$L60&lt;&gt;"",$L60&lt;IFERROR(AVERAGE($L$5:$L$64),0)*0.7),"Productivitate sub medie",IF($F60=0,"Fără vânzări înregistrate","În parametri")))))</f>
        <v/>
      </c>
      <c r="P60" s="39">
        <f>IF($A60="","",IF($O60="Sub țintă","Gap față de țintă",IF($O60="Portofoliu în scădere","Productivitate vânzări",IF($O60="Productivitate sub medie","Dezvoltare oameni",IF($O60="Fără vânzări înregistrate","Proces / operațional","Productivitate vânzări")))))</f>
        <v/>
      </c>
      <c r="Q60" s="24">
        <f>IF($A60="","",IFERROR(IF($O60="Sub țintă",MAX(0,$M60-$F60),IF($O60="Portofoliu în scădere",MAX(0,$G60-$F60),$F60*0.15)),""))</f>
        <v/>
      </c>
    </row>
    <row r="61">
      <c r="A61" s="39">
        <f>IF('12_OAMENI'!$A61="","",'12_OAMENI'!$A61)</f>
        <v/>
      </c>
      <c r="B61" s="39">
        <f>IF($A61="","",IFERROR(INDEX('12_OAMENI'!$B$5:$B$64,MATCH($A61,'12_OAMENI'!$A$5:$A$64,0)),""))</f>
        <v/>
      </c>
      <c r="C61" s="39">
        <f>IF($A61="","",IFERROR(INDEX('12_OAMENI'!$C$5:$C$64,MATCH($A61,'12_OAMENI'!$A$5:$A$64,0)),""))</f>
        <v/>
      </c>
      <c r="D61" s="39">
        <f>IF($A61="","",IFERROR(INDEX('12_OAMENI'!$D$5:$D$64,MATCH($A61,'12_OAMENI'!$A$5:$A$64,0)),""))</f>
        <v/>
      </c>
      <c r="E61" s="48">
        <f>IF($A61="","",IFERROR(INDEX('12_OAMENI'!$E$5:$E$64,MATCH($A61,'12_OAMENI'!$A$5:$A$64,0)),""))</f>
        <v/>
      </c>
      <c r="F61" s="24">
        <f>IF($A61="","",SUMIFS('13_VANZARI'!$H$5:$H$1004,'13_VANZARI'!$F$5:$F$1004,$A61,'13_VANZARI'!$A$5:$A$1004,"&gt;="&amp;'09_PARAMETRI'!$B$5,'13_VANZARI'!$A$5:$A$1004,"&lt;="&amp;'09_PARAMETRI'!$B$6))</f>
        <v/>
      </c>
      <c r="G61" s="24">
        <f>IF($A61="","",SUMIFS('13_VANZARI'!$H$5:$H$1004,'13_VANZARI'!$F$5:$F$1004,$A61,'13_VANZARI'!$A$5:$A$1004,"&gt;="&amp;'09_PARAMETRI'!$B$7,'13_VANZARI'!$A$5:$A$1004,"&lt;="&amp;'09_PARAMETRI'!$B$8))</f>
        <v/>
      </c>
      <c r="H61" s="25">
        <f>IF($A61="","",IFERROR(IF($G61=0,"",($F61-$G61)/ABS($G61)),""))</f>
        <v/>
      </c>
      <c r="I61" s="24">
        <f>IF($A61="","",SUMIFS('13_VANZARI'!$K$5:$K$1004,'13_VANZARI'!$F$5:$F$1004,$A61,'13_VANZARI'!$A$5:$A$1004,"&gt;="&amp;'09_PARAMETRI'!$B$5,'13_VANZARI'!$A$5:$A$1004,"&lt;="&amp;'09_PARAMETRI'!$B$6))</f>
        <v/>
      </c>
      <c r="J61" s="25">
        <f>IF($A61="","",IFERROR($I61/$F61,""))</f>
        <v/>
      </c>
      <c r="K61" s="24">
        <f>IF($A61="","",SUMPRODUCT(('10_CLIENTI'!$A$5:$A$204&lt;&gt;"")*(SUMIFS('13_VANZARI'!$H$5:$H$1004,'13_VANZARI'!$F$5:$F$1004,$A61,'13_VANZARI'!$D$5:$D$1004,'10_CLIENTI'!$A$5:$A$204,'13_VANZARI'!$A$5:$A$1004,"&gt;="&amp;'09_PARAMETRI'!$B$5,'13_VANZARI'!$A$5:$A$1004,"&lt;="&amp;'09_PARAMETRI'!$B$6)&lt;&gt;0)))</f>
        <v/>
      </c>
      <c r="L61" s="24">
        <f>IF($A61="","",IFERROR($F61/$E61,""))</f>
        <v/>
      </c>
      <c r="M61" s="24">
        <f>IF($A61="","",SUMIFS('14_TINTE'!$E$5:$E$304,'14_TINTE'!$A$5:$A$304,"&gt;="&amp;'09_PARAMETRI'!$B$5,'14_TINTE'!$A$5:$A$304,"&lt;="&amp;'09_PARAMETRI'!$B$6,'14_TINTE'!$D$5:$D$304,"Venit",'14_TINTE'!$B$5:$B$304,"Persoană",'14_TINTE'!$C$5:$C$304,$A61))</f>
        <v/>
      </c>
      <c r="N61" s="25">
        <f>IF($A61="","",IFERROR(IF($M61=0,"",$F61/$M61),""))</f>
        <v/>
      </c>
      <c r="O61" s="39">
        <f>IF($A61="","",IF(AND($N61&lt;&gt;"",$N61&lt;'09_PARAMETRI'!$B$18,$M61&gt;0),"Sub țintă",IF(AND($H61&lt;&gt;"",$H61&lt;='09_PARAMETRI'!$B$13),"Portofoliu în scădere",IF(AND($F61&gt;0,$L61&lt;&gt;"",$L61&lt;IFERROR(AVERAGE($L$5:$L$64),0)*0.7),"Productivitate sub medie",IF($F61=0,"Fără vânzări înregistrate","În parametri")))))</f>
        <v/>
      </c>
      <c r="P61" s="39">
        <f>IF($A61="","",IF($O61="Sub țintă","Gap față de țintă",IF($O61="Portofoliu în scădere","Productivitate vânzări",IF($O61="Productivitate sub medie","Dezvoltare oameni",IF($O61="Fără vânzări înregistrate","Proces / operațional","Productivitate vânzări")))))</f>
        <v/>
      </c>
      <c r="Q61" s="24">
        <f>IF($A61="","",IFERROR(IF($O61="Sub țintă",MAX(0,$M61-$F61),IF($O61="Portofoliu în scădere",MAX(0,$G61-$F61),$F61*0.15)),""))</f>
        <v/>
      </c>
    </row>
    <row r="62">
      <c r="A62" s="39">
        <f>IF('12_OAMENI'!$A62="","",'12_OAMENI'!$A62)</f>
        <v/>
      </c>
      <c r="B62" s="39">
        <f>IF($A62="","",IFERROR(INDEX('12_OAMENI'!$B$5:$B$64,MATCH($A62,'12_OAMENI'!$A$5:$A$64,0)),""))</f>
        <v/>
      </c>
      <c r="C62" s="39">
        <f>IF($A62="","",IFERROR(INDEX('12_OAMENI'!$C$5:$C$64,MATCH($A62,'12_OAMENI'!$A$5:$A$64,0)),""))</f>
        <v/>
      </c>
      <c r="D62" s="39">
        <f>IF($A62="","",IFERROR(INDEX('12_OAMENI'!$D$5:$D$64,MATCH($A62,'12_OAMENI'!$A$5:$A$64,0)),""))</f>
        <v/>
      </c>
      <c r="E62" s="48">
        <f>IF($A62="","",IFERROR(INDEX('12_OAMENI'!$E$5:$E$64,MATCH($A62,'12_OAMENI'!$A$5:$A$64,0)),""))</f>
        <v/>
      </c>
      <c r="F62" s="24">
        <f>IF($A62="","",SUMIFS('13_VANZARI'!$H$5:$H$1004,'13_VANZARI'!$F$5:$F$1004,$A62,'13_VANZARI'!$A$5:$A$1004,"&gt;="&amp;'09_PARAMETRI'!$B$5,'13_VANZARI'!$A$5:$A$1004,"&lt;="&amp;'09_PARAMETRI'!$B$6))</f>
        <v/>
      </c>
      <c r="G62" s="24">
        <f>IF($A62="","",SUMIFS('13_VANZARI'!$H$5:$H$1004,'13_VANZARI'!$F$5:$F$1004,$A62,'13_VANZARI'!$A$5:$A$1004,"&gt;="&amp;'09_PARAMETRI'!$B$7,'13_VANZARI'!$A$5:$A$1004,"&lt;="&amp;'09_PARAMETRI'!$B$8))</f>
        <v/>
      </c>
      <c r="H62" s="25">
        <f>IF($A62="","",IFERROR(IF($G62=0,"",($F62-$G62)/ABS($G62)),""))</f>
        <v/>
      </c>
      <c r="I62" s="24">
        <f>IF($A62="","",SUMIFS('13_VANZARI'!$K$5:$K$1004,'13_VANZARI'!$F$5:$F$1004,$A62,'13_VANZARI'!$A$5:$A$1004,"&gt;="&amp;'09_PARAMETRI'!$B$5,'13_VANZARI'!$A$5:$A$1004,"&lt;="&amp;'09_PARAMETRI'!$B$6))</f>
        <v/>
      </c>
      <c r="J62" s="25">
        <f>IF($A62="","",IFERROR($I62/$F62,""))</f>
        <v/>
      </c>
      <c r="K62" s="24">
        <f>IF($A62="","",SUMPRODUCT(('10_CLIENTI'!$A$5:$A$204&lt;&gt;"")*(SUMIFS('13_VANZARI'!$H$5:$H$1004,'13_VANZARI'!$F$5:$F$1004,$A62,'13_VANZARI'!$D$5:$D$1004,'10_CLIENTI'!$A$5:$A$204,'13_VANZARI'!$A$5:$A$1004,"&gt;="&amp;'09_PARAMETRI'!$B$5,'13_VANZARI'!$A$5:$A$1004,"&lt;="&amp;'09_PARAMETRI'!$B$6)&lt;&gt;0)))</f>
        <v/>
      </c>
      <c r="L62" s="24">
        <f>IF($A62="","",IFERROR($F62/$E62,""))</f>
        <v/>
      </c>
      <c r="M62" s="24">
        <f>IF($A62="","",SUMIFS('14_TINTE'!$E$5:$E$304,'14_TINTE'!$A$5:$A$304,"&gt;="&amp;'09_PARAMETRI'!$B$5,'14_TINTE'!$A$5:$A$304,"&lt;="&amp;'09_PARAMETRI'!$B$6,'14_TINTE'!$D$5:$D$304,"Venit",'14_TINTE'!$B$5:$B$304,"Persoană",'14_TINTE'!$C$5:$C$304,$A62))</f>
        <v/>
      </c>
      <c r="N62" s="25">
        <f>IF($A62="","",IFERROR(IF($M62=0,"",$F62/$M62),""))</f>
        <v/>
      </c>
      <c r="O62" s="39">
        <f>IF($A62="","",IF(AND($N62&lt;&gt;"",$N62&lt;'09_PARAMETRI'!$B$18,$M62&gt;0),"Sub țintă",IF(AND($H62&lt;&gt;"",$H62&lt;='09_PARAMETRI'!$B$13),"Portofoliu în scădere",IF(AND($F62&gt;0,$L62&lt;&gt;"",$L62&lt;IFERROR(AVERAGE($L$5:$L$64),0)*0.7),"Productivitate sub medie",IF($F62=0,"Fără vânzări înregistrate","În parametri")))))</f>
        <v/>
      </c>
      <c r="P62" s="39">
        <f>IF($A62="","",IF($O62="Sub țintă","Gap față de țintă",IF($O62="Portofoliu în scădere","Productivitate vânzări",IF($O62="Productivitate sub medie","Dezvoltare oameni",IF($O62="Fără vânzări înregistrate","Proces / operațional","Productivitate vânzări")))))</f>
        <v/>
      </c>
      <c r="Q62" s="24">
        <f>IF($A62="","",IFERROR(IF($O62="Sub țintă",MAX(0,$M62-$F62),IF($O62="Portofoliu în scădere",MAX(0,$G62-$F62),$F62*0.15)),""))</f>
        <v/>
      </c>
    </row>
    <row r="63">
      <c r="A63" s="39">
        <f>IF('12_OAMENI'!$A63="","",'12_OAMENI'!$A63)</f>
        <v/>
      </c>
      <c r="B63" s="39">
        <f>IF($A63="","",IFERROR(INDEX('12_OAMENI'!$B$5:$B$64,MATCH($A63,'12_OAMENI'!$A$5:$A$64,0)),""))</f>
        <v/>
      </c>
      <c r="C63" s="39">
        <f>IF($A63="","",IFERROR(INDEX('12_OAMENI'!$C$5:$C$64,MATCH($A63,'12_OAMENI'!$A$5:$A$64,0)),""))</f>
        <v/>
      </c>
      <c r="D63" s="39">
        <f>IF($A63="","",IFERROR(INDEX('12_OAMENI'!$D$5:$D$64,MATCH($A63,'12_OAMENI'!$A$5:$A$64,0)),""))</f>
        <v/>
      </c>
      <c r="E63" s="48">
        <f>IF($A63="","",IFERROR(INDEX('12_OAMENI'!$E$5:$E$64,MATCH($A63,'12_OAMENI'!$A$5:$A$64,0)),""))</f>
        <v/>
      </c>
      <c r="F63" s="24">
        <f>IF($A63="","",SUMIFS('13_VANZARI'!$H$5:$H$1004,'13_VANZARI'!$F$5:$F$1004,$A63,'13_VANZARI'!$A$5:$A$1004,"&gt;="&amp;'09_PARAMETRI'!$B$5,'13_VANZARI'!$A$5:$A$1004,"&lt;="&amp;'09_PARAMETRI'!$B$6))</f>
        <v/>
      </c>
      <c r="G63" s="24">
        <f>IF($A63="","",SUMIFS('13_VANZARI'!$H$5:$H$1004,'13_VANZARI'!$F$5:$F$1004,$A63,'13_VANZARI'!$A$5:$A$1004,"&gt;="&amp;'09_PARAMETRI'!$B$7,'13_VANZARI'!$A$5:$A$1004,"&lt;="&amp;'09_PARAMETRI'!$B$8))</f>
        <v/>
      </c>
      <c r="H63" s="25">
        <f>IF($A63="","",IFERROR(IF($G63=0,"",($F63-$G63)/ABS($G63)),""))</f>
        <v/>
      </c>
      <c r="I63" s="24">
        <f>IF($A63="","",SUMIFS('13_VANZARI'!$K$5:$K$1004,'13_VANZARI'!$F$5:$F$1004,$A63,'13_VANZARI'!$A$5:$A$1004,"&gt;="&amp;'09_PARAMETRI'!$B$5,'13_VANZARI'!$A$5:$A$1004,"&lt;="&amp;'09_PARAMETRI'!$B$6))</f>
        <v/>
      </c>
      <c r="J63" s="25">
        <f>IF($A63="","",IFERROR($I63/$F63,""))</f>
        <v/>
      </c>
      <c r="K63" s="24">
        <f>IF($A63="","",SUMPRODUCT(('10_CLIENTI'!$A$5:$A$204&lt;&gt;"")*(SUMIFS('13_VANZARI'!$H$5:$H$1004,'13_VANZARI'!$F$5:$F$1004,$A63,'13_VANZARI'!$D$5:$D$1004,'10_CLIENTI'!$A$5:$A$204,'13_VANZARI'!$A$5:$A$1004,"&gt;="&amp;'09_PARAMETRI'!$B$5,'13_VANZARI'!$A$5:$A$1004,"&lt;="&amp;'09_PARAMETRI'!$B$6)&lt;&gt;0)))</f>
        <v/>
      </c>
      <c r="L63" s="24">
        <f>IF($A63="","",IFERROR($F63/$E63,""))</f>
        <v/>
      </c>
      <c r="M63" s="24">
        <f>IF($A63="","",SUMIFS('14_TINTE'!$E$5:$E$304,'14_TINTE'!$A$5:$A$304,"&gt;="&amp;'09_PARAMETRI'!$B$5,'14_TINTE'!$A$5:$A$304,"&lt;="&amp;'09_PARAMETRI'!$B$6,'14_TINTE'!$D$5:$D$304,"Venit",'14_TINTE'!$B$5:$B$304,"Persoană",'14_TINTE'!$C$5:$C$304,$A63))</f>
        <v/>
      </c>
      <c r="N63" s="25">
        <f>IF($A63="","",IFERROR(IF($M63=0,"",$F63/$M63),""))</f>
        <v/>
      </c>
      <c r="O63" s="39">
        <f>IF($A63="","",IF(AND($N63&lt;&gt;"",$N63&lt;'09_PARAMETRI'!$B$18,$M63&gt;0),"Sub țintă",IF(AND($H63&lt;&gt;"",$H63&lt;='09_PARAMETRI'!$B$13),"Portofoliu în scădere",IF(AND($F63&gt;0,$L63&lt;&gt;"",$L63&lt;IFERROR(AVERAGE($L$5:$L$64),0)*0.7),"Productivitate sub medie",IF($F63=0,"Fără vânzări înregistrate","În parametri")))))</f>
        <v/>
      </c>
      <c r="P63" s="39">
        <f>IF($A63="","",IF($O63="Sub țintă","Gap față de țintă",IF($O63="Portofoliu în scădere","Productivitate vânzări",IF($O63="Productivitate sub medie","Dezvoltare oameni",IF($O63="Fără vânzări înregistrate","Proces / operațional","Productivitate vânzări")))))</f>
        <v/>
      </c>
      <c r="Q63" s="24">
        <f>IF($A63="","",IFERROR(IF($O63="Sub țintă",MAX(0,$M63-$F63),IF($O63="Portofoliu în scădere",MAX(0,$G63-$F63),$F63*0.15)),""))</f>
        <v/>
      </c>
    </row>
    <row r="64">
      <c r="A64" s="39">
        <f>IF('12_OAMENI'!$A64="","",'12_OAMENI'!$A64)</f>
        <v/>
      </c>
      <c r="B64" s="39">
        <f>IF($A64="","",IFERROR(INDEX('12_OAMENI'!$B$5:$B$64,MATCH($A64,'12_OAMENI'!$A$5:$A$64,0)),""))</f>
        <v/>
      </c>
      <c r="C64" s="39">
        <f>IF($A64="","",IFERROR(INDEX('12_OAMENI'!$C$5:$C$64,MATCH($A64,'12_OAMENI'!$A$5:$A$64,0)),""))</f>
        <v/>
      </c>
      <c r="D64" s="39">
        <f>IF($A64="","",IFERROR(INDEX('12_OAMENI'!$D$5:$D$64,MATCH($A64,'12_OAMENI'!$A$5:$A$64,0)),""))</f>
        <v/>
      </c>
      <c r="E64" s="48">
        <f>IF($A64="","",IFERROR(INDEX('12_OAMENI'!$E$5:$E$64,MATCH($A64,'12_OAMENI'!$A$5:$A$64,0)),""))</f>
        <v/>
      </c>
      <c r="F64" s="24">
        <f>IF($A64="","",SUMIFS('13_VANZARI'!$H$5:$H$1004,'13_VANZARI'!$F$5:$F$1004,$A64,'13_VANZARI'!$A$5:$A$1004,"&gt;="&amp;'09_PARAMETRI'!$B$5,'13_VANZARI'!$A$5:$A$1004,"&lt;="&amp;'09_PARAMETRI'!$B$6))</f>
        <v/>
      </c>
      <c r="G64" s="24">
        <f>IF($A64="","",SUMIFS('13_VANZARI'!$H$5:$H$1004,'13_VANZARI'!$F$5:$F$1004,$A64,'13_VANZARI'!$A$5:$A$1004,"&gt;="&amp;'09_PARAMETRI'!$B$7,'13_VANZARI'!$A$5:$A$1004,"&lt;="&amp;'09_PARAMETRI'!$B$8))</f>
        <v/>
      </c>
      <c r="H64" s="25">
        <f>IF($A64="","",IFERROR(IF($G64=0,"",($F64-$G64)/ABS($G64)),""))</f>
        <v/>
      </c>
      <c r="I64" s="24">
        <f>IF($A64="","",SUMIFS('13_VANZARI'!$K$5:$K$1004,'13_VANZARI'!$F$5:$F$1004,$A64,'13_VANZARI'!$A$5:$A$1004,"&gt;="&amp;'09_PARAMETRI'!$B$5,'13_VANZARI'!$A$5:$A$1004,"&lt;="&amp;'09_PARAMETRI'!$B$6))</f>
        <v/>
      </c>
      <c r="J64" s="25">
        <f>IF($A64="","",IFERROR($I64/$F64,""))</f>
        <v/>
      </c>
      <c r="K64" s="24">
        <f>IF($A64="","",SUMPRODUCT(('10_CLIENTI'!$A$5:$A$204&lt;&gt;"")*(SUMIFS('13_VANZARI'!$H$5:$H$1004,'13_VANZARI'!$F$5:$F$1004,$A64,'13_VANZARI'!$D$5:$D$1004,'10_CLIENTI'!$A$5:$A$204,'13_VANZARI'!$A$5:$A$1004,"&gt;="&amp;'09_PARAMETRI'!$B$5,'13_VANZARI'!$A$5:$A$1004,"&lt;="&amp;'09_PARAMETRI'!$B$6)&lt;&gt;0)))</f>
        <v/>
      </c>
      <c r="L64" s="24">
        <f>IF($A64="","",IFERROR($F64/$E64,""))</f>
        <v/>
      </c>
      <c r="M64" s="24">
        <f>IF($A64="","",SUMIFS('14_TINTE'!$E$5:$E$304,'14_TINTE'!$A$5:$A$304,"&gt;="&amp;'09_PARAMETRI'!$B$5,'14_TINTE'!$A$5:$A$304,"&lt;="&amp;'09_PARAMETRI'!$B$6,'14_TINTE'!$D$5:$D$304,"Venit",'14_TINTE'!$B$5:$B$304,"Persoană",'14_TINTE'!$C$5:$C$304,$A64))</f>
        <v/>
      </c>
      <c r="N64" s="25">
        <f>IF($A64="","",IFERROR(IF($M64=0,"",$F64/$M64),""))</f>
        <v/>
      </c>
      <c r="O64" s="39">
        <f>IF($A64="","",IF(AND($N64&lt;&gt;"",$N64&lt;'09_PARAMETRI'!$B$18,$M64&gt;0),"Sub țintă",IF(AND($H64&lt;&gt;"",$H64&lt;='09_PARAMETRI'!$B$13),"Portofoliu în scădere",IF(AND($F64&gt;0,$L64&lt;&gt;"",$L64&lt;IFERROR(AVERAGE($L$5:$L$64),0)*0.7),"Productivitate sub medie",IF($F64=0,"Fără vânzări înregistrate","În parametri")))))</f>
        <v/>
      </c>
      <c r="P64" s="39">
        <f>IF($A64="","",IF($O64="Sub țintă","Gap față de țintă",IF($O64="Portofoliu în scădere","Productivitate vânzări",IF($O64="Productivitate sub medie","Dezvoltare oameni",IF($O64="Fără vânzări înregistrate","Proces / operațional","Productivitate vânzări")))))</f>
        <v/>
      </c>
      <c r="Q64" s="24">
        <f>IF($A64="","",IFERROR(IF($O64="Sub țintă",MAX(0,$M64-$F64),IF($O64="Portofoliu în scădere",MAX(0,$G64-$F64),$F64*0.15)),""))</f>
        <v/>
      </c>
    </row>
  </sheetData>
  <autoFilter ref="A4:Q64"/>
  <conditionalFormatting sqref="O5:O64">
    <cfRule type="cellIs" priority="1" operator="equal" dxfId="1">
      <formula>"Sub țintă"</formula>
    </cfRule>
    <cfRule type="cellIs" priority="2" operator="equal" dxfId="7">
      <formula>"Portofoliu în scădere"</formula>
    </cfRule>
    <cfRule type="cellIs" priority="3" operator="equal" dxfId="8">
      <formula>"Productivitate sub medie"</formula>
    </cfRule>
    <cfRule type="cellIs" priority="4" operator="equal" dxfId="9">
      <formula>"Fără vânzări înregistrate"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2" customWidth="1" min="4" max="4"/>
    <col width="40" customWidth="1" min="5" max="5"/>
    <col width="13" customWidth="1" min="6" max="6"/>
    <col width="11" customWidth="1" min="7" max="7"/>
    <col width="10" customWidth="1" min="8" max="8"/>
    <col width="13" customWidth="1" min="9" max="9"/>
    <col width="11" customWidth="1" min="10" max="10"/>
    <col width="42" customWidth="1" min="11" max="11"/>
    <col width="16" customWidth="1" min="12" max="12"/>
    <col width="16" customWidth="1" min="13" max="13"/>
    <col width="12" customWidth="1" min="14" max="14"/>
    <col width="15" customWidth="1" min="15" max="15"/>
    <col width="13" customWidth="1" min="16" max="16"/>
    <col width="26" customWidth="1" min="17" max="17"/>
    <col width="30" customWidth="1" min="19" max="19"/>
    <col width="14" customWidth="1" min="20" max="20"/>
  </cols>
  <sheetData>
    <row r="1" ht="26" customHeight="1">
      <c r="A1" s="1" t="inlineStr">
        <is>
          <t>30 — OPORTUNITĂȚI PRIORITIZATE</t>
        </is>
      </c>
    </row>
    <row r="2" ht="16" customHeight="1">
      <c r="A2" s="2" t="inlineStr">
        <is>
          <t>Scor = Impact × Probabilitate × Ușurință. Prioritatea se calculează din pragurile din 09_PARAMETRI. Rândurile de mai jos sunt tipare; înlocuiește-le cu semnalele reale din foile 21-23.</t>
        </is>
      </c>
    </row>
    <row r="3"/>
    <row r="4" ht="32" customHeight="1">
      <c r="A4" s="15" t="inlineStr">
        <is>
          <t>ID</t>
        </is>
      </c>
      <c r="B4" s="15" t="inlineStr">
        <is>
          <t>Sursă</t>
        </is>
      </c>
      <c r="C4" s="15" t="inlineStr">
        <is>
          <t>Tip oportunitate</t>
        </is>
      </c>
      <c r="D4" s="15" t="inlineStr">
        <is>
          <t>Țintă (client / produs / persoană)</t>
        </is>
      </c>
      <c r="E4" s="15" t="inlineStr">
        <is>
          <t>Declanșator / dovadă din date</t>
        </is>
      </c>
      <c r="F4" s="15" t="inlineStr">
        <is>
          <t>Impact estimat</t>
        </is>
      </c>
      <c r="G4" s="15" t="inlineStr">
        <is>
          <t>Probabilitate</t>
        </is>
      </c>
      <c r="H4" s="15" t="inlineStr">
        <is>
          <t>Ușurință</t>
        </is>
      </c>
      <c r="I4" s="15" t="inlineStr">
        <is>
          <t>Scor</t>
        </is>
      </c>
      <c r="J4" s="15" t="inlineStr">
        <is>
          <t>Prioritate</t>
        </is>
      </c>
      <c r="K4" s="15" t="inlineStr">
        <is>
          <t>Acțiune recomandată</t>
        </is>
      </c>
      <c r="L4" s="15" t="inlineStr">
        <is>
          <t>Responsabil EQUIL</t>
        </is>
      </c>
      <c r="M4" s="15" t="inlineStr">
        <is>
          <t>Responsabil client</t>
        </is>
      </c>
      <c r="N4" s="15" t="inlineStr">
        <is>
          <t>Termen</t>
        </is>
      </c>
      <c r="O4" s="15" t="inlineStr">
        <is>
          <t>Status</t>
        </is>
      </c>
      <c r="P4" s="15" t="inlineStr">
        <is>
          <t>Valoare realizată</t>
        </is>
      </c>
      <c r="Q4" s="15" t="inlineStr">
        <is>
          <t>Observații</t>
        </is>
      </c>
      <c r="S4" s="21" t="inlineStr">
        <is>
          <t>SUMAR PORTOFOLIU</t>
        </is>
      </c>
      <c r="T4" s="22" t="n"/>
    </row>
    <row r="5" ht="30" customHeight="1">
      <c r="A5" s="16" t="inlineStr">
        <is>
          <t>OPP001</t>
        </is>
      </c>
      <c r="B5" s="16" t="inlineStr">
        <is>
          <t>Manual</t>
        </is>
      </c>
      <c r="C5" s="16" t="inlineStr">
        <is>
          <t>Recuperare client</t>
        </is>
      </c>
      <c r="D5" s="16" t="inlineStr"/>
      <c r="E5" s="16" t="inlineStr">
        <is>
          <t>Venit în scădere cu peste pragul setat față de perioada comparativă (vezi 21, coloana Semnal)</t>
        </is>
      </c>
      <c r="F5" s="51" t="n">
        <v>42000</v>
      </c>
      <c r="G5" s="52" t="n">
        <v>0.8</v>
      </c>
      <c r="H5" s="52" t="n">
        <v>0.7</v>
      </c>
      <c r="I5" s="53">
        <f>IF($F5="","",N($F5)*N($G5)*N($H5))</f>
        <v/>
      </c>
      <c r="J5" s="54">
        <f>IF($I5="","",IF($I5&gt;='09_PARAMETRI'!$B$23,"HIGH",IF($I5&gt;='09_PARAMETRI'!$B$24,"MEDIUM","LOW")))</f>
        <v/>
      </c>
      <c r="K5" s="16" t="inlineStr">
        <is>
          <t>Contact direct cu decidentul, diagnostic al volumului pierdut, ofertă de revenire</t>
        </is>
      </c>
      <c r="L5" s="16" t="n"/>
      <c r="M5" s="16" t="n"/>
      <c r="N5" s="17" t="n"/>
      <c r="O5" s="16" t="inlineStr">
        <is>
          <t>Identificată</t>
        </is>
      </c>
      <c r="P5" s="51" t="n"/>
      <c r="Q5" s="16" t="n"/>
      <c r="S5" s="12" t="inlineStr">
        <is>
          <t>Oportunități identificate</t>
        </is>
      </c>
      <c r="T5" s="55">
        <f>COUNTA($A$5:$A$64)</f>
        <v/>
      </c>
    </row>
    <row r="6" ht="30" customHeight="1">
      <c r="A6" s="16" t="inlineStr">
        <is>
          <t>OPP002</t>
        </is>
      </c>
      <c r="B6" s="16" t="inlineStr">
        <is>
          <t>Manual</t>
        </is>
      </c>
      <c r="C6" s="16" t="inlineStr">
        <is>
          <t>Cross-sell</t>
        </is>
      </c>
      <c r="D6" s="16" t="inlineStr"/>
      <c r="E6" s="16" t="inlineStr">
        <is>
          <t>Client care cumpără produsul X, dar nu și produsul Y pe care îl iau clienți similari</t>
        </is>
      </c>
      <c r="F6" s="51" t="n">
        <v>30000</v>
      </c>
      <c r="G6" s="52" t="n">
        <v>0.7</v>
      </c>
      <c r="H6" s="52" t="n">
        <v>0.9</v>
      </c>
      <c r="I6" s="53">
        <f>IF($F6="","",N($F6)*N($G6)*N($H6))</f>
        <v/>
      </c>
      <c r="J6" s="54">
        <f>IF($I6="","",IF($I6&gt;='09_PARAMETRI'!$B$23,"HIGH",IF($I6&gt;='09_PARAMETRI'!$B$24,"MEDIUM","LOW")))</f>
        <v/>
      </c>
      <c r="K6" s="16" t="inlineStr">
        <is>
          <t>Propunere pachet, pe baza comportamentului clienților comparabili</t>
        </is>
      </c>
      <c r="L6" s="16" t="n"/>
      <c r="M6" s="16" t="n"/>
      <c r="N6" s="17" t="n"/>
      <c r="O6" s="16" t="inlineStr">
        <is>
          <t>Identificată</t>
        </is>
      </c>
      <c r="P6" s="51" t="n"/>
      <c r="Q6" s="16" t="n"/>
      <c r="S6" s="12" t="inlineStr">
        <is>
          <t>Valoare brută (impact)</t>
        </is>
      </c>
      <c r="T6" s="55">
        <f>SUM($F$5:$F$64)</f>
        <v/>
      </c>
    </row>
    <row r="7" ht="30" customHeight="1">
      <c r="A7" s="16" t="inlineStr">
        <is>
          <t>OPP003</t>
        </is>
      </c>
      <c r="B7" s="16" t="inlineStr">
        <is>
          <t>Manual</t>
        </is>
      </c>
      <c r="C7" s="16" t="inlineStr">
        <is>
          <t>Marjă / preț</t>
        </is>
      </c>
      <c r="D7" s="16" t="inlineStr"/>
      <c r="E7" s="16" t="inlineStr">
        <is>
          <t>Venit stabil sau în creștere, dar marjă sub referința din 09_PARAMETRI (vezi 22)</t>
        </is>
      </c>
      <c r="F7" s="51" t="n">
        <v>25000</v>
      </c>
      <c r="G7" s="52" t="n">
        <v>0.7</v>
      </c>
      <c r="H7" s="52" t="n">
        <v>0.5</v>
      </c>
      <c r="I7" s="53">
        <f>IF($F7="","",N($F7)*N($G7)*N($H7))</f>
        <v/>
      </c>
      <c r="J7" s="54">
        <f>IF($I7="","",IF($I7&gt;='09_PARAMETRI'!$B$23,"HIGH",IF($I7&gt;='09_PARAMETRI'!$B$24,"MEDIUM","LOW")))</f>
        <v/>
      </c>
      <c r="K7" s="16" t="inlineStr">
        <is>
          <t>Revizuire preț, mix și cost; renegociere discount pe volum</t>
        </is>
      </c>
      <c r="L7" s="16" t="n"/>
      <c r="M7" s="16" t="n"/>
      <c r="N7" s="17" t="n"/>
      <c r="O7" s="16" t="inlineStr">
        <is>
          <t>Identificată</t>
        </is>
      </c>
      <c r="P7" s="51" t="n"/>
      <c r="Q7" s="16" t="n"/>
      <c r="S7" s="12" t="inlineStr">
        <is>
          <t>Valoare ponderată (scor)</t>
        </is>
      </c>
      <c r="T7" s="55">
        <f>SUM($I$5:$I$64)</f>
        <v/>
      </c>
    </row>
    <row r="8" ht="30" customHeight="1">
      <c r="A8" s="16" t="inlineStr">
        <is>
          <t>OPP004</t>
        </is>
      </c>
      <c r="B8" s="16" t="inlineStr">
        <is>
          <t>Manual</t>
        </is>
      </c>
      <c r="C8" s="16" t="inlineStr">
        <is>
          <t>Productivitate vânzări</t>
        </is>
      </c>
      <c r="D8" s="16" t="inlineStr"/>
      <c r="E8" s="16" t="inlineStr">
        <is>
          <t>Venit per om semnificativ sub media echipei (vezi 23)</t>
        </is>
      </c>
      <c r="F8" s="51" t="n">
        <v>20000</v>
      </c>
      <c r="G8" s="52" t="n">
        <v>0.6</v>
      </c>
      <c r="H8" s="52" t="n">
        <v>0.8</v>
      </c>
      <c r="I8" s="53">
        <f>IF($F8="","",N($F8)*N($G8)*N($H8))</f>
        <v/>
      </c>
      <c r="J8" s="54">
        <f>IF($I8="","",IF($I8&gt;='09_PARAMETRI'!$B$23,"HIGH",IF($I8&gt;='09_PARAMETRI'!$B$24,"MEDIUM","LOW")))</f>
        <v/>
      </c>
      <c r="K8" s="16" t="inlineStr">
        <is>
          <t>Coaching pe pipeline, acoperire de cont și rată de conversie</t>
        </is>
      </c>
      <c r="L8" s="16" t="n"/>
      <c r="M8" s="16" t="n"/>
      <c r="N8" s="17" t="n"/>
      <c r="O8" s="16" t="inlineStr">
        <is>
          <t>Identificată</t>
        </is>
      </c>
      <c r="P8" s="51" t="n"/>
      <c r="Q8" s="16" t="n"/>
      <c r="S8" s="12" t="inlineStr">
        <is>
          <t>Din care HIGH</t>
        </is>
      </c>
      <c r="T8" s="55">
        <f>SUMIF($J$5:$J$64,"HIGH",$I$5:$I$64)</f>
        <v/>
      </c>
    </row>
    <row r="9" ht="30" customHeight="1">
      <c r="A9" s="16" t="inlineStr">
        <is>
          <t>OPP005</t>
        </is>
      </c>
      <c r="B9" s="16" t="inlineStr">
        <is>
          <t>Manual</t>
        </is>
      </c>
      <c r="C9" s="16" t="inlineStr">
        <is>
          <t>Risc concentrare</t>
        </is>
      </c>
      <c r="D9" s="16" t="inlineStr"/>
      <c r="E9" s="16" t="inlineStr">
        <is>
          <t>Un client depășește pragul de concentrare din venitul total</t>
        </is>
      </c>
      <c r="F9" s="51" t="n">
        <v>50000</v>
      </c>
      <c r="G9" s="52" t="n">
        <v>0.8</v>
      </c>
      <c r="H9" s="52" t="n">
        <v>0.5</v>
      </c>
      <c r="I9" s="53">
        <f>IF($F9="","",N($F9)*N($G9)*N($H9))</f>
        <v/>
      </c>
      <c r="J9" s="54">
        <f>IF($I9="","",IF($I9&gt;='09_PARAMETRI'!$B$23,"HIGH",IF($I9&gt;='09_PARAMETRI'!$B$24,"MEDIUM","LOW")))</f>
        <v/>
      </c>
      <c r="K9" s="16" t="inlineStr">
        <is>
          <t>Plan de retenție pe clientul mare + diversificare activă a bazei</t>
        </is>
      </c>
      <c r="L9" s="16" t="n"/>
      <c r="M9" s="16" t="n"/>
      <c r="N9" s="17" t="n"/>
      <c r="O9" s="16" t="inlineStr">
        <is>
          <t>Identificată</t>
        </is>
      </c>
      <c r="P9" s="51" t="n"/>
      <c r="Q9" s="16" t="n"/>
      <c r="S9" s="12" t="inlineStr">
        <is>
          <t>Din care MEDIUM</t>
        </is>
      </c>
      <c r="T9" s="55">
        <f>SUMIF($J$5:$J$64,"MEDIUM",$I$5:$I$64)</f>
        <v/>
      </c>
    </row>
    <row r="10" ht="30" customHeight="1">
      <c r="A10" s="16" t="inlineStr">
        <is>
          <t>OPP006</t>
        </is>
      </c>
      <c r="B10" s="16" t="inlineStr">
        <is>
          <t>Manual</t>
        </is>
      </c>
      <c r="C10" s="16" t="inlineStr">
        <is>
          <t>Recuperare NPS</t>
        </is>
      </c>
      <c r="D10" s="16" t="inlineStr"/>
      <c r="E10" s="16" t="inlineStr">
        <is>
          <t>Detractori identificați în 15_NPS, cu motive concrete</t>
        </is>
      </c>
      <c r="F10" s="51" t="n">
        <v>15000</v>
      </c>
      <c r="G10" s="52" t="n">
        <v>0.6</v>
      </c>
      <c r="H10" s="52" t="n">
        <v>0.8</v>
      </c>
      <c r="I10" s="53">
        <f>IF($F10="","",N($F10)*N($G10)*N($H10))</f>
        <v/>
      </c>
      <c r="J10" s="54">
        <f>IF($I10="","",IF($I10&gt;='09_PARAMETRI'!$B$23,"HIGH",IF($I10&gt;='09_PARAMETRI'!$B$24,"MEDIUM","LOW")))</f>
        <v/>
      </c>
      <c r="K10" s="16" t="inlineStr">
        <is>
          <t>Apel de recuperare în 10 zile, rezolvarea cauzei, remăsurare după 60 de zile</t>
        </is>
      </c>
      <c r="L10" s="16" t="n"/>
      <c r="M10" s="16" t="n"/>
      <c r="N10" s="17" t="n"/>
      <c r="O10" s="16" t="inlineStr">
        <is>
          <t>Identificată</t>
        </is>
      </c>
      <c r="P10" s="51" t="n"/>
      <c r="Q10" s="16" t="n"/>
      <c r="S10" s="12" t="inlineStr">
        <is>
          <t>Realizat până acum</t>
        </is>
      </c>
      <c r="T10" s="55">
        <f>SUM($P$5:$P$64)</f>
        <v/>
      </c>
    </row>
    <row r="11" ht="30" customHeight="1">
      <c r="A11" s="16" t="inlineStr">
        <is>
          <t>OPP007</t>
        </is>
      </c>
      <c r="B11" s="16" t="inlineStr">
        <is>
          <t>Manual</t>
        </is>
      </c>
      <c r="C11" s="16" t="inlineStr">
        <is>
          <t>Creștere produs</t>
        </is>
      </c>
      <c r="D11" s="16" t="inlineStr"/>
      <c r="E11" s="16" t="inlineStr">
        <is>
          <t>Produs în creștere, dar cu penetrare mică în baza de clienți (vezi 22)</t>
        </is>
      </c>
      <c r="F11" s="51" t="n">
        <v>35000</v>
      </c>
      <c r="G11" s="52" t="n">
        <v>0.7</v>
      </c>
      <c r="H11" s="52" t="n">
        <v>0.7</v>
      </c>
      <c r="I11" s="53">
        <f>IF($F11="","",N($F11)*N($G11)*N($H11))</f>
        <v/>
      </c>
      <c r="J11" s="54">
        <f>IF($I11="","",IF($I11&gt;='09_PARAMETRI'!$B$23,"HIGH",IF($I11&gt;='09_PARAMETRI'!$B$24,"MEDIUM","LOW")))</f>
        <v/>
      </c>
      <c r="K11" s="16" t="inlineStr">
        <is>
          <t>Campanie dedicată pe clienții care nu îl au încă</t>
        </is>
      </c>
      <c r="L11" s="16" t="n"/>
      <c r="M11" s="16" t="n"/>
      <c r="N11" s="17" t="n"/>
      <c r="O11" s="16" t="inlineStr">
        <is>
          <t>Identificată</t>
        </is>
      </c>
      <c r="P11" s="51" t="n"/>
      <c r="Q11" s="16" t="n"/>
      <c r="S11" s="12" t="inlineStr">
        <is>
          <t>Acoperire gap față de țintă</t>
        </is>
      </c>
      <c r="T11" s="56">
        <f>IFERROR(SUM($I$5:$I$64)/'20_KPI'!$B$31,"")</f>
        <v/>
      </c>
    </row>
    <row r="12" ht="30" customHeight="1">
      <c r="A12" s="16" t="inlineStr">
        <is>
          <t>OPP008</t>
        </is>
      </c>
      <c r="B12" s="16" t="inlineStr">
        <is>
          <t>Manual</t>
        </is>
      </c>
      <c r="C12" s="16" t="inlineStr">
        <is>
          <t>Gap față de țintă</t>
        </is>
      </c>
      <c r="D12" s="16" t="inlineStr"/>
      <c r="E12" s="16" t="inlineStr">
        <is>
          <t>Atingerea țintei sub pragul din 09_PARAMETRI</t>
        </is>
      </c>
      <c r="F12" s="51" t="n">
        <v>30000</v>
      </c>
      <c r="G12" s="52" t="n">
        <v>0.7</v>
      </c>
      <c r="H12" s="52" t="n">
        <v>0.7</v>
      </c>
      <c r="I12" s="53">
        <f>IF($F12="","",N($F12)*N($G12)*N($H12))</f>
        <v/>
      </c>
      <c r="J12" s="54">
        <f>IF($I12="","",IF($I12&gt;='09_PARAMETRI'!$B$23,"HIGH",IF($I12&gt;='09_PARAMETRI'!$B$24,"MEDIUM","LOW")))</f>
        <v/>
      </c>
      <c r="K12" s="16" t="inlineStr">
        <is>
          <t>Prioritizarea pipeline-ului pe oportunitățile cu probabilitate mare</t>
        </is>
      </c>
      <c r="L12" s="16" t="n"/>
      <c r="M12" s="16" t="n"/>
      <c r="N12" s="17" t="n"/>
      <c r="O12" s="16" t="inlineStr">
        <is>
          <t>Identificată</t>
        </is>
      </c>
      <c r="P12" s="51" t="n"/>
      <c r="Q12" s="16" t="n"/>
    </row>
    <row r="13" ht="30" customHeight="1">
      <c r="A13" s="16" t="inlineStr">
        <is>
          <t>OPP009</t>
        </is>
      </c>
      <c r="B13" s="16" t="inlineStr">
        <is>
          <t>Manual</t>
        </is>
      </c>
      <c r="C13" s="16" t="inlineStr">
        <is>
          <t>Reactivare client</t>
        </is>
      </c>
      <c r="D13" s="16" t="inlineStr"/>
      <c r="E13" s="16" t="inlineStr">
        <is>
          <t>Client dormant: fără achiziții peste pragul de zile setat</t>
        </is>
      </c>
      <c r="F13" s="51" t="n">
        <v>18000</v>
      </c>
      <c r="G13" s="52" t="n">
        <v>0.6</v>
      </c>
      <c r="H13" s="52" t="n">
        <v>0.9</v>
      </c>
      <c r="I13" s="53">
        <f>IF($F13="","",N($F13)*N($G13)*N($H13))</f>
        <v/>
      </c>
      <c r="J13" s="54">
        <f>IF($I13="","",IF($I13&gt;='09_PARAMETRI'!$B$23,"HIGH",IF($I13&gt;='09_PARAMETRI'!$B$24,"MEDIUM","LOW")))</f>
        <v/>
      </c>
      <c r="K13" s="16" t="inlineStr">
        <is>
          <t>Campanie de reactivare cu ofertă de revenire și termen limitat</t>
        </is>
      </c>
      <c r="L13" s="16" t="n"/>
      <c r="M13" s="16" t="n"/>
      <c r="N13" s="17" t="n"/>
      <c r="O13" s="16" t="inlineStr">
        <is>
          <t>Identificată</t>
        </is>
      </c>
      <c r="P13" s="51" t="n"/>
      <c r="Q13" s="16" t="n"/>
    </row>
    <row r="14" ht="30" customHeight="1">
      <c r="A14" s="16" t="inlineStr">
        <is>
          <t>OPP010</t>
        </is>
      </c>
      <c r="B14" s="16" t="inlineStr">
        <is>
          <t>Manual</t>
        </is>
      </c>
      <c r="C14" s="16" t="inlineStr">
        <is>
          <t>Dezvoltare oameni</t>
        </is>
      </c>
      <c r="D14" s="16" t="inlineStr"/>
      <c r="E14" s="16" t="inlineStr">
        <is>
          <t>Diferență de performanță față de colegii comparabili</t>
        </is>
      </c>
      <c r="F14" s="51" t="n">
        <v>22000</v>
      </c>
      <c r="G14" s="52" t="n">
        <v>0.6</v>
      </c>
      <c r="H14" s="52" t="n">
        <v>0.8</v>
      </c>
      <c r="I14" s="53">
        <f>IF($F14="","",N($F14)*N($G14)*N($H14))</f>
        <v/>
      </c>
      <c r="J14" s="54">
        <f>IF($I14="","",IF($I14&gt;='09_PARAMETRI'!$B$23,"HIGH",IF($I14&gt;='09_PARAMETRI'!$B$24,"MEDIUM","LOW")))</f>
        <v/>
      </c>
      <c r="K14" s="16" t="inlineStr">
        <is>
          <t>Plan de training și shadowing pe cele mai slabe două etape din proces</t>
        </is>
      </c>
      <c r="L14" s="16" t="n"/>
      <c r="M14" s="16" t="n"/>
      <c r="N14" s="17" t="n"/>
      <c r="O14" s="16" t="inlineStr">
        <is>
          <t>Identificată</t>
        </is>
      </c>
      <c r="P14" s="51" t="n"/>
      <c r="Q14" s="16" t="n"/>
    </row>
    <row r="15" ht="30" customHeight="1">
      <c r="A15" s="16" t="n"/>
      <c r="B15" s="16" t="n"/>
      <c r="C15" s="16" t="n"/>
      <c r="D15" s="16" t="n"/>
      <c r="E15" s="16" t="n"/>
      <c r="F15" s="51" t="n"/>
      <c r="G15" s="52" t="n"/>
      <c r="H15" s="52" t="n"/>
      <c r="I15" s="53">
        <f>IF($F15="","",N($F15)*N($G15)*N($H15))</f>
        <v/>
      </c>
      <c r="J15" s="54">
        <f>IF($I15="","",IF($I15&gt;='09_PARAMETRI'!$B$23,"HIGH",IF($I15&gt;='09_PARAMETRI'!$B$24,"MEDIUM","LOW")))</f>
        <v/>
      </c>
      <c r="K15" s="16" t="n"/>
      <c r="L15" s="16" t="n"/>
      <c r="M15" s="16" t="n"/>
      <c r="N15" s="17" t="n"/>
      <c r="O15" s="16" t="n"/>
      <c r="P15" s="51" t="n"/>
      <c r="Q15" s="16" t="n"/>
    </row>
    <row r="16" ht="30" customHeight="1">
      <c r="A16" s="16" t="n"/>
      <c r="B16" s="16" t="n"/>
      <c r="C16" s="16" t="n"/>
      <c r="D16" s="16" t="n"/>
      <c r="E16" s="16" t="n"/>
      <c r="F16" s="51" t="n"/>
      <c r="G16" s="52" t="n"/>
      <c r="H16" s="52" t="n"/>
      <c r="I16" s="53">
        <f>IF($F16="","",N($F16)*N($G16)*N($H16))</f>
        <v/>
      </c>
      <c r="J16" s="54">
        <f>IF($I16="","",IF($I16&gt;='09_PARAMETRI'!$B$23,"HIGH",IF($I16&gt;='09_PARAMETRI'!$B$24,"MEDIUM","LOW")))</f>
        <v/>
      </c>
      <c r="K16" s="16" t="n"/>
      <c r="L16" s="16" t="n"/>
      <c r="M16" s="16" t="n"/>
      <c r="N16" s="17" t="n"/>
      <c r="O16" s="16" t="n"/>
      <c r="P16" s="51" t="n"/>
      <c r="Q16" s="16" t="n"/>
    </row>
    <row r="17" ht="30" customHeight="1">
      <c r="A17" s="16" t="n"/>
      <c r="B17" s="16" t="n"/>
      <c r="C17" s="16" t="n"/>
      <c r="D17" s="16" t="n"/>
      <c r="E17" s="16" t="n"/>
      <c r="F17" s="51" t="n"/>
      <c r="G17" s="52" t="n"/>
      <c r="H17" s="52" t="n"/>
      <c r="I17" s="53">
        <f>IF($F17="","",N($F17)*N($G17)*N($H17))</f>
        <v/>
      </c>
      <c r="J17" s="54">
        <f>IF($I17="","",IF($I17&gt;='09_PARAMETRI'!$B$23,"HIGH",IF($I17&gt;='09_PARAMETRI'!$B$24,"MEDIUM","LOW")))</f>
        <v/>
      </c>
      <c r="K17" s="16" t="n"/>
      <c r="L17" s="16" t="n"/>
      <c r="M17" s="16" t="n"/>
      <c r="N17" s="17" t="n"/>
      <c r="O17" s="16" t="n"/>
      <c r="P17" s="51" t="n"/>
      <c r="Q17" s="16" t="n"/>
    </row>
    <row r="18" ht="30" customHeight="1">
      <c r="A18" s="16" t="n"/>
      <c r="B18" s="16" t="n"/>
      <c r="C18" s="16" t="n"/>
      <c r="D18" s="16" t="n"/>
      <c r="E18" s="16" t="n"/>
      <c r="F18" s="51" t="n"/>
      <c r="G18" s="52" t="n"/>
      <c r="H18" s="52" t="n"/>
      <c r="I18" s="53">
        <f>IF($F18="","",N($F18)*N($G18)*N($H18))</f>
        <v/>
      </c>
      <c r="J18" s="54">
        <f>IF($I18="","",IF($I18&gt;='09_PARAMETRI'!$B$23,"HIGH",IF($I18&gt;='09_PARAMETRI'!$B$24,"MEDIUM","LOW")))</f>
        <v/>
      </c>
      <c r="K18" s="16" t="n"/>
      <c r="L18" s="16" t="n"/>
      <c r="M18" s="16" t="n"/>
      <c r="N18" s="17" t="n"/>
      <c r="O18" s="16" t="n"/>
      <c r="P18" s="51" t="n"/>
      <c r="Q18" s="16" t="n"/>
    </row>
    <row r="19" ht="30" customHeight="1">
      <c r="A19" s="16" t="n"/>
      <c r="B19" s="16" t="n"/>
      <c r="C19" s="16" t="n"/>
      <c r="D19" s="16" t="n"/>
      <c r="E19" s="16" t="n"/>
      <c r="F19" s="51" t="n"/>
      <c r="G19" s="52" t="n"/>
      <c r="H19" s="52" t="n"/>
      <c r="I19" s="53">
        <f>IF($F19="","",N($F19)*N($G19)*N($H19))</f>
        <v/>
      </c>
      <c r="J19" s="54">
        <f>IF($I19="","",IF($I19&gt;='09_PARAMETRI'!$B$23,"HIGH",IF($I19&gt;='09_PARAMETRI'!$B$24,"MEDIUM","LOW")))</f>
        <v/>
      </c>
      <c r="K19" s="16" t="n"/>
      <c r="L19" s="16" t="n"/>
      <c r="M19" s="16" t="n"/>
      <c r="N19" s="17" t="n"/>
      <c r="O19" s="16" t="n"/>
      <c r="P19" s="51" t="n"/>
      <c r="Q19" s="16" t="n"/>
    </row>
    <row r="20" ht="30" customHeight="1">
      <c r="A20" s="16" t="n"/>
      <c r="B20" s="16" t="n"/>
      <c r="C20" s="16" t="n"/>
      <c r="D20" s="16" t="n"/>
      <c r="E20" s="16" t="n"/>
      <c r="F20" s="51" t="n"/>
      <c r="G20" s="52" t="n"/>
      <c r="H20" s="52" t="n"/>
      <c r="I20" s="53">
        <f>IF($F20="","",N($F20)*N($G20)*N($H20))</f>
        <v/>
      </c>
      <c r="J20" s="54">
        <f>IF($I20="","",IF($I20&gt;='09_PARAMETRI'!$B$23,"HIGH",IF($I20&gt;='09_PARAMETRI'!$B$24,"MEDIUM","LOW")))</f>
        <v/>
      </c>
      <c r="K20" s="16" t="n"/>
      <c r="L20" s="16" t="n"/>
      <c r="M20" s="16" t="n"/>
      <c r="N20" s="17" t="n"/>
      <c r="O20" s="16" t="n"/>
      <c r="P20" s="51" t="n"/>
      <c r="Q20" s="16" t="n"/>
    </row>
    <row r="21" ht="30" customHeight="1">
      <c r="A21" s="16" t="n"/>
      <c r="B21" s="16" t="n"/>
      <c r="C21" s="16" t="n"/>
      <c r="D21" s="16" t="n"/>
      <c r="E21" s="16" t="n"/>
      <c r="F21" s="51" t="n"/>
      <c r="G21" s="52" t="n"/>
      <c r="H21" s="52" t="n"/>
      <c r="I21" s="53">
        <f>IF($F21="","",N($F21)*N($G21)*N($H21))</f>
        <v/>
      </c>
      <c r="J21" s="54">
        <f>IF($I21="","",IF($I21&gt;='09_PARAMETRI'!$B$23,"HIGH",IF($I21&gt;='09_PARAMETRI'!$B$24,"MEDIUM","LOW")))</f>
        <v/>
      </c>
      <c r="K21" s="16" t="n"/>
      <c r="L21" s="16" t="n"/>
      <c r="M21" s="16" t="n"/>
      <c r="N21" s="17" t="n"/>
      <c r="O21" s="16" t="n"/>
      <c r="P21" s="51" t="n"/>
      <c r="Q21" s="16" t="n"/>
    </row>
    <row r="22" ht="30" customHeight="1">
      <c r="A22" s="16" t="n"/>
      <c r="B22" s="16" t="n"/>
      <c r="C22" s="16" t="n"/>
      <c r="D22" s="16" t="n"/>
      <c r="E22" s="16" t="n"/>
      <c r="F22" s="51" t="n"/>
      <c r="G22" s="52" t="n"/>
      <c r="H22" s="52" t="n"/>
      <c r="I22" s="53">
        <f>IF($F22="","",N($F22)*N($G22)*N($H22))</f>
        <v/>
      </c>
      <c r="J22" s="54">
        <f>IF($I22="","",IF($I22&gt;='09_PARAMETRI'!$B$23,"HIGH",IF($I22&gt;='09_PARAMETRI'!$B$24,"MEDIUM","LOW")))</f>
        <v/>
      </c>
      <c r="K22" s="16" t="n"/>
      <c r="L22" s="16" t="n"/>
      <c r="M22" s="16" t="n"/>
      <c r="N22" s="17" t="n"/>
      <c r="O22" s="16" t="n"/>
      <c r="P22" s="51" t="n"/>
      <c r="Q22" s="16" t="n"/>
    </row>
    <row r="23" ht="30" customHeight="1">
      <c r="A23" s="16" t="n"/>
      <c r="B23" s="16" t="n"/>
      <c r="C23" s="16" t="n"/>
      <c r="D23" s="16" t="n"/>
      <c r="E23" s="16" t="n"/>
      <c r="F23" s="51" t="n"/>
      <c r="G23" s="52" t="n"/>
      <c r="H23" s="52" t="n"/>
      <c r="I23" s="53">
        <f>IF($F23="","",N($F23)*N($G23)*N($H23))</f>
        <v/>
      </c>
      <c r="J23" s="54">
        <f>IF($I23="","",IF($I23&gt;='09_PARAMETRI'!$B$23,"HIGH",IF($I23&gt;='09_PARAMETRI'!$B$24,"MEDIUM","LOW")))</f>
        <v/>
      </c>
      <c r="K23" s="16" t="n"/>
      <c r="L23" s="16" t="n"/>
      <c r="M23" s="16" t="n"/>
      <c r="N23" s="17" t="n"/>
      <c r="O23" s="16" t="n"/>
      <c r="P23" s="51" t="n"/>
      <c r="Q23" s="16" t="n"/>
    </row>
    <row r="24" ht="30" customHeight="1">
      <c r="A24" s="16" t="n"/>
      <c r="B24" s="16" t="n"/>
      <c r="C24" s="16" t="n"/>
      <c r="D24" s="16" t="n"/>
      <c r="E24" s="16" t="n"/>
      <c r="F24" s="51" t="n"/>
      <c r="G24" s="52" t="n"/>
      <c r="H24" s="52" t="n"/>
      <c r="I24" s="53">
        <f>IF($F24="","",N($F24)*N($G24)*N($H24))</f>
        <v/>
      </c>
      <c r="J24" s="54">
        <f>IF($I24="","",IF($I24&gt;='09_PARAMETRI'!$B$23,"HIGH",IF($I24&gt;='09_PARAMETRI'!$B$24,"MEDIUM","LOW")))</f>
        <v/>
      </c>
      <c r="K24" s="16" t="n"/>
      <c r="L24" s="16" t="n"/>
      <c r="M24" s="16" t="n"/>
      <c r="N24" s="17" t="n"/>
      <c r="O24" s="16" t="n"/>
      <c r="P24" s="51" t="n"/>
      <c r="Q24" s="16" t="n"/>
    </row>
    <row r="25" ht="30" customHeight="1">
      <c r="A25" s="16" t="n"/>
      <c r="B25" s="16" t="n"/>
      <c r="C25" s="16" t="n"/>
      <c r="D25" s="16" t="n"/>
      <c r="E25" s="16" t="n"/>
      <c r="F25" s="51" t="n"/>
      <c r="G25" s="52" t="n"/>
      <c r="H25" s="52" t="n"/>
      <c r="I25" s="53">
        <f>IF($F25="","",N($F25)*N($G25)*N($H25))</f>
        <v/>
      </c>
      <c r="J25" s="54">
        <f>IF($I25="","",IF($I25&gt;='09_PARAMETRI'!$B$23,"HIGH",IF($I25&gt;='09_PARAMETRI'!$B$24,"MEDIUM","LOW")))</f>
        <v/>
      </c>
      <c r="K25" s="16" t="n"/>
      <c r="L25" s="16" t="n"/>
      <c r="M25" s="16" t="n"/>
      <c r="N25" s="17" t="n"/>
      <c r="O25" s="16" t="n"/>
      <c r="P25" s="51" t="n"/>
      <c r="Q25" s="16" t="n"/>
    </row>
    <row r="26" ht="30" customHeight="1">
      <c r="A26" s="16" t="n"/>
      <c r="B26" s="16" t="n"/>
      <c r="C26" s="16" t="n"/>
      <c r="D26" s="16" t="n"/>
      <c r="E26" s="16" t="n"/>
      <c r="F26" s="51" t="n"/>
      <c r="G26" s="52" t="n"/>
      <c r="H26" s="52" t="n"/>
      <c r="I26" s="53">
        <f>IF($F26="","",N($F26)*N($G26)*N($H26))</f>
        <v/>
      </c>
      <c r="J26" s="54">
        <f>IF($I26="","",IF($I26&gt;='09_PARAMETRI'!$B$23,"HIGH",IF($I26&gt;='09_PARAMETRI'!$B$24,"MEDIUM","LOW")))</f>
        <v/>
      </c>
      <c r="K26" s="16" t="n"/>
      <c r="L26" s="16" t="n"/>
      <c r="M26" s="16" t="n"/>
      <c r="N26" s="17" t="n"/>
      <c r="O26" s="16" t="n"/>
      <c r="P26" s="51" t="n"/>
      <c r="Q26" s="16" t="n"/>
    </row>
    <row r="27" ht="30" customHeight="1">
      <c r="A27" s="16" t="n"/>
      <c r="B27" s="16" t="n"/>
      <c r="C27" s="16" t="n"/>
      <c r="D27" s="16" t="n"/>
      <c r="E27" s="16" t="n"/>
      <c r="F27" s="51" t="n"/>
      <c r="G27" s="52" t="n"/>
      <c r="H27" s="52" t="n"/>
      <c r="I27" s="53">
        <f>IF($F27="","",N($F27)*N($G27)*N($H27))</f>
        <v/>
      </c>
      <c r="J27" s="54">
        <f>IF($I27="","",IF($I27&gt;='09_PARAMETRI'!$B$23,"HIGH",IF($I27&gt;='09_PARAMETRI'!$B$24,"MEDIUM","LOW")))</f>
        <v/>
      </c>
      <c r="K27" s="16" t="n"/>
      <c r="L27" s="16" t="n"/>
      <c r="M27" s="16" t="n"/>
      <c r="N27" s="17" t="n"/>
      <c r="O27" s="16" t="n"/>
      <c r="P27" s="51" t="n"/>
      <c r="Q27" s="16" t="n"/>
    </row>
    <row r="28" ht="30" customHeight="1">
      <c r="A28" s="16" t="n"/>
      <c r="B28" s="16" t="n"/>
      <c r="C28" s="16" t="n"/>
      <c r="D28" s="16" t="n"/>
      <c r="E28" s="16" t="n"/>
      <c r="F28" s="51" t="n"/>
      <c r="G28" s="52" t="n"/>
      <c r="H28" s="52" t="n"/>
      <c r="I28" s="53">
        <f>IF($F28="","",N($F28)*N($G28)*N($H28))</f>
        <v/>
      </c>
      <c r="J28" s="54">
        <f>IF($I28="","",IF($I28&gt;='09_PARAMETRI'!$B$23,"HIGH",IF($I28&gt;='09_PARAMETRI'!$B$24,"MEDIUM","LOW")))</f>
        <v/>
      </c>
      <c r="K28" s="16" t="n"/>
      <c r="L28" s="16" t="n"/>
      <c r="M28" s="16" t="n"/>
      <c r="N28" s="17" t="n"/>
      <c r="O28" s="16" t="n"/>
      <c r="P28" s="51" t="n"/>
      <c r="Q28" s="16" t="n"/>
    </row>
    <row r="29" ht="30" customHeight="1">
      <c r="A29" s="16" t="n"/>
      <c r="B29" s="16" t="n"/>
      <c r="C29" s="16" t="n"/>
      <c r="D29" s="16" t="n"/>
      <c r="E29" s="16" t="n"/>
      <c r="F29" s="51" t="n"/>
      <c r="G29" s="52" t="n"/>
      <c r="H29" s="52" t="n"/>
      <c r="I29" s="53">
        <f>IF($F29="","",N($F29)*N($G29)*N($H29))</f>
        <v/>
      </c>
      <c r="J29" s="54">
        <f>IF($I29="","",IF($I29&gt;='09_PARAMETRI'!$B$23,"HIGH",IF($I29&gt;='09_PARAMETRI'!$B$24,"MEDIUM","LOW")))</f>
        <v/>
      </c>
      <c r="K29" s="16" t="n"/>
      <c r="L29" s="16" t="n"/>
      <c r="M29" s="16" t="n"/>
      <c r="N29" s="17" t="n"/>
      <c r="O29" s="16" t="n"/>
      <c r="P29" s="51" t="n"/>
      <c r="Q29" s="16" t="n"/>
    </row>
    <row r="30" ht="30" customHeight="1">
      <c r="A30" s="16" t="n"/>
      <c r="B30" s="16" t="n"/>
      <c r="C30" s="16" t="n"/>
      <c r="D30" s="16" t="n"/>
      <c r="E30" s="16" t="n"/>
      <c r="F30" s="51" t="n"/>
      <c r="G30" s="52" t="n"/>
      <c r="H30" s="52" t="n"/>
      <c r="I30" s="53">
        <f>IF($F30="","",N($F30)*N($G30)*N($H30))</f>
        <v/>
      </c>
      <c r="J30" s="54">
        <f>IF($I30="","",IF($I30&gt;='09_PARAMETRI'!$B$23,"HIGH",IF($I30&gt;='09_PARAMETRI'!$B$24,"MEDIUM","LOW")))</f>
        <v/>
      </c>
      <c r="K30" s="16" t="n"/>
      <c r="L30" s="16" t="n"/>
      <c r="M30" s="16" t="n"/>
      <c r="N30" s="17" t="n"/>
      <c r="O30" s="16" t="n"/>
      <c r="P30" s="51" t="n"/>
      <c r="Q30" s="16" t="n"/>
    </row>
    <row r="31" ht="30" customHeight="1">
      <c r="A31" s="16" t="n"/>
      <c r="B31" s="16" t="n"/>
      <c r="C31" s="16" t="n"/>
      <c r="D31" s="16" t="n"/>
      <c r="E31" s="16" t="n"/>
      <c r="F31" s="51" t="n"/>
      <c r="G31" s="52" t="n"/>
      <c r="H31" s="52" t="n"/>
      <c r="I31" s="53">
        <f>IF($F31="","",N($F31)*N($G31)*N($H31))</f>
        <v/>
      </c>
      <c r="J31" s="54">
        <f>IF($I31="","",IF($I31&gt;='09_PARAMETRI'!$B$23,"HIGH",IF($I31&gt;='09_PARAMETRI'!$B$24,"MEDIUM","LOW")))</f>
        <v/>
      </c>
      <c r="K31" s="16" t="n"/>
      <c r="L31" s="16" t="n"/>
      <c r="M31" s="16" t="n"/>
      <c r="N31" s="17" t="n"/>
      <c r="O31" s="16" t="n"/>
      <c r="P31" s="51" t="n"/>
      <c r="Q31" s="16" t="n"/>
    </row>
    <row r="32" ht="30" customHeight="1">
      <c r="A32" s="16" t="n"/>
      <c r="B32" s="16" t="n"/>
      <c r="C32" s="16" t="n"/>
      <c r="D32" s="16" t="n"/>
      <c r="E32" s="16" t="n"/>
      <c r="F32" s="51" t="n"/>
      <c r="G32" s="52" t="n"/>
      <c r="H32" s="52" t="n"/>
      <c r="I32" s="53">
        <f>IF($F32="","",N($F32)*N($G32)*N($H32))</f>
        <v/>
      </c>
      <c r="J32" s="54">
        <f>IF($I32="","",IF($I32&gt;='09_PARAMETRI'!$B$23,"HIGH",IF($I32&gt;='09_PARAMETRI'!$B$24,"MEDIUM","LOW")))</f>
        <v/>
      </c>
      <c r="K32" s="16" t="n"/>
      <c r="L32" s="16" t="n"/>
      <c r="M32" s="16" t="n"/>
      <c r="N32" s="17" t="n"/>
      <c r="O32" s="16" t="n"/>
      <c r="P32" s="51" t="n"/>
      <c r="Q32" s="16" t="n"/>
    </row>
    <row r="33" ht="30" customHeight="1">
      <c r="A33" s="16" t="n"/>
      <c r="B33" s="16" t="n"/>
      <c r="C33" s="16" t="n"/>
      <c r="D33" s="16" t="n"/>
      <c r="E33" s="16" t="n"/>
      <c r="F33" s="51" t="n"/>
      <c r="G33" s="52" t="n"/>
      <c r="H33" s="52" t="n"/>
      <c r="I33" s="53">
        <f>IF($F33="","",N($F33)*N($G33)*N($H33))</f>
        <v/>
      </c>
      <c r="J33" s="54">
        <f>IF($I33="","",IF($I33&gt;='09_PARAMETRI'!$B$23,"HIGH",IF($I33&gt;='09_PARAMETRI'!$B$24,"MEDIUM","LOW")))</f>
        <v/>
      </c>
      <c r="K33" s="16" t="n"/>
      <c r="L33" s="16" t="n"/>
      <c r="M33" s="16" t="n"/>
      <c r="N33" s="17" t="n"/>
      <c r="O33" s="16" t="n"/>
      <c r="P33" s="51" t="n"/>
      <c r="Q33" s="16" t="n"/>
    </row>
    <row r="34" ht="30" customHeight="1">
      <c r="A34" s="16" t="n"/>
      <c r="B34" s="16" t="n"/>
      <c r="C34" s="16" t="n"/>
      <c r="D34" s="16" t="n"/>
      <c r="E34" s="16" t="n"/>
      <c r="F34" s="51" t="n"/>
      <c r="G34" s="52" t="n"/>
      <c r="H34" s="52" t="n"/>
      <c r="I34" s="53">
        <f>IF($F34="","",N($F34)*N($G34)*N($H34))</f>
        <v/>
      </c>
      <c r="J34" s="54">
        <f>IF($I34="","",IF($I34&gt;='09_PARAMETRI'!$B$23,"HIGH",IF($I34&gt;='09_PARAMETRI'!$B$24,"MEDIUM","LOW")))</f>
        <v/>
      </c>
      <c r="K34" s="16" t="n"/>
      <c r="L34" s="16" t="n"/>
      <c r="M34" s="16" t="n"/>
      <c r="N34" s="17" t="n"/>
      <c r="O34" s="16" t="n"/>
      <c r="P34" s="51" t="n"/>
      <c r="Q34" s="16" t="n"/>
    </row>
    <row r="35" ht="30" customHeight="1">
      <c r="A35" s="16" t="n"/>
      <c r="B35" s="16" t="n"/>
      <c r="C35" s="16" t="n"/>
      <c r="D35" s="16" t="n"/>
      <c r="E35" s="16" t="n"/>
      <c r="F35" s="51" t="n"/>
      <c r="G35" s="52" t="n"/>
      <c r="H35" s="52" t="n"/>
      <c r="I35" s="53">
        <f>IF($F35="","",N($F35)*N($G35)*N($H35))</f>
        <v/>
      </c>
      <c r="J35" s="54">
        <f>IF($I35="","",IF($I35&gt;='09_PARAMETRI'!$B$23,"HIGH",IF($I35&gt;='09_PARAMETRI'!$B$24,"MEDIUM","LOW")))</f>
        <v/>
      </c>
      <c r="K35" s="16" t="n"/>
      <c r="L35" s="16" t="n"/>
      <c r="M35" s="16" t="n"/>
      <c r="N35" s="17" t="n"/>
      <c r="O35" s="16" t="n"/>
      <c r="P35" s="51" t="n"/>
      <c r="Q35" s="16" t="n"/>
    </row>
    <row r="36" ht="30" customHeight="1">
      <c r="A36" s="16" t="n"/>
      <c r="B36" s="16" t="n"/>
      <c r="C36" s="16" t="n"/>
      <c r="D36" s="16" t="n"/>
      <c r="E36" s="16" t="n"/>
      <c r="F36" s="51" t="n"/>
      <c r="G36" s="52" t="n"/>
      <c r="H36" s="52" t="n"/>
      <c r="I36" s="53">
        <f>IF($F36="","",N($F36)*N($G36)*N($H36))</f>
        <v/>
      </c>
      <c r="J36" s="54">
        <f>IF($I36="","",IF($I36&gt;='09_PARAMETRI'!$B$23,"HIGH",IF($I36&gt;='09_PARAMETRI'!$B$24,"MEDIUM","LOW")))</f>
        <v/>
      </c>
      <c r="K36" s="16" t="n"/>
      <c r="L36" s="16" t="n"/>
      <c r="M36" s="16" t="n"/>
      <c r="N36" s="17" t="n"/>
      <c r="O36" s="16" t="n"/>
      <c r="P36" s="51" t="n"/>
      <c r="Q36" s="16" t="n"/>
    </row>
    <row r="37" ht="30" customHeight="1">
      <c r="A37" s="16" t="n"/>
      <c r="B37" s="16" t="n"/>
      <c r="C37" s="16" t="n"/>
      <c r="D37" s="16" t="n"/>
      <c r="E37" s="16" t="n"/>
      <c r="F37" s="51" t="n"/>
      <c r="G37" s="52" t="n"/>
      <c r="H37" s="52" t="n"/>
      <c r="I37" s="53">
        <f>IF($F37="","",N($F37)*N($G37)*N($H37))</f>
        <v/>
      </c>
      <c r="J37" s="54">
        <f>IF($I37="","",IF($I37&gt;='09_PARAMETRI'!$B$23,"HIGH",IF($I37&gt;='09_PARAMETRI'!$B$24,"MEDIUM","LOW")))</f>
        <v/>
      </c>
      <c r="K37" s="16" t="n"/>
      <c r="L37" s="16" t="n"/>
      <c r="M37" s="16" t="n"/>
      <c r="N37" s="17" t="n"/>
      <c r="O37" s="16" t="n"/>
      <c r="P37" s="51" t="n"/>
      <c r="Q37" s="16" t="n"/>
    </row>
    <row r="38" ht="30" customHeight="1">
      <c r="A38" s="16" t="n"/>
      <c r="B38" s="16" t="n"/>
      <c r="C38" s="16" t="n"/>
      <c r="D38" s="16" t="n"/>
      <c r="E38" s="16" t="n"/>
      <c r="F38" s="51" t="n"/>
      <c r="G38" s="52" t="n"/>
      <c r="H38" s="52" t="n"/>
      <c r="I38" s="53">
        <f>IF($F38="","",N($F38)*N($G38)*N($H38))</f>
        <v/>
      </c>
      <c r="J38" s="54">
        <f>IF($I38="","",IF($I38&gt;='09_PARAMETRI'!$B$23,"HIGH",IF($I38&gt;='09_PARAMETRI'!$B$24,"MEDIUM","LOW")))</f>
        <v/>
      </c>
      <c r="K38" s="16" t="n"/>
      <c r="L38" s="16" t="n"/>
      <c r="M38" s="16" t="n"/>
      <c r="N38" s="17" t="n"/>
      <c r="O38" s="16" t="n"/>
      <c r="P38" s="51" t="n"/>
      <c r="Q38" s="16" t="n"/>
    </row>
    <row r="39" ht="30" customHeight="1">
      <c r="A39" s="16" t="n"/>
      <c r="B39" s="16" t="n"/>
      <c r="C39" s="16" t="n"/>
      <c r="D39" s="16" t="n"/>
      <c r="E39" s="16" t="n"/>
      <c r="F39" s="51" t="n"/>
      <c r="G39" s="52" t="n"/>
      <c r="H39" s="52" t="n"/>
      <c r="I39" s="53">
        <f>IF($F39="","",N($F39)*N($G39)*N($H39))</f>
        <v/>
      </c>
      <c r="J39" s="54">
        <f>IF($I39="","",IF($I39&gt;='09_PARAMETRI'!$B$23,"HIGH",IF($I39&gt;='09_PARAMETRI'!$B$24,"MEDIUM","LOW")))</f>
        <v/>
      </c>
      <c r="K39" s="16" t="n"/>
      <c r="L39" s="16" t="n"/>
      <c r="M39" s="16" t="n"/>
      <c r="N39" s="17" t="n"/>
      <c r="O39" s="16" t="n"/>
      <c r="P39" s="51" t="n"/>
      <c r="Q39" s="16" t="n"/>
    </row>
    <row r="40" ht="30" customHeight="1">
      <c r="A40" s="16" t="n"/>
      <c r="B40" s="16" t="n"/>
      <c r="C40" s="16" t="n"/>
      <c r="D40" s="16" t="n"/>
      <c r="E40" s="16" t="n"/>
      <c r="F40" s="51" t="n"/>
      <c r="G40" s="52" t="n"/>
      <c r="H40" s="52" t="n"/>
      <c r="I40" s="53">
        <f>IF($F40="","",N($F40)*N($G40)*N($H40))</f>
        <v/>
      </c>
      <c r="J40" s="54">
        <f>IF($I40="","",IF($I40&gt;='09_PARAMETRI'!$B$23,"HIGH",IF($I40&gt;='09_PARAMETRI'!$B$24,"MEDIUM","LOW")))</f>
        <v/>
      </c>
      <c r="K40" s="16" t="n"/>
      <c r="L40" s="16" t="n"/>
      <c r="M40" s="16" t="n"/>
      <c r="N40" s="17" t="n"/>
      <c r="O40" s="16" t="n"/>
      <c r="P40" s="51" t="n"/>
      <c r="Q40" s="16" t="n"/>
    </row>
    <row r="41" ht="30" customHeight="1">
      <c r="A41" s="16" t="n"/>
      <c r="B41" s="16" t="n"/>
      <c r="C41" s="16" t="n"/>
      <c r="D41" s="16" t="n"/>
      <c r="E41" s="16" t="n"/>
      <c r="F41" s="51" t="n"/>
      <c r="G41" s="52" t="n"/>
      <c r="H41" s="52" t="n"/>
      <c r="I41" s="53">
        <f>IF($F41="","",N($F41)*N($G41)*N($H41))</f>
        <v/>
      </c>
      <c r="J41" s="54">
        <f>IF($I41="","",IF($I41&gt;='09_PARAMETRI'!$B$23,"HIGH",IF($I41&gt;='09_PARAMETRI'!$B$24,"MEDIUM","LOW")))</f>
        <v/>
      </c>
      <c r="K41" s="16" t="n"/>
      <c r="L41" s="16" t="n"/>
      <c r="M41" s="16" t="n"/>
      <c r="N41" s="17" t="n"/>
      <c r="O41" s="16" t="n"/>
      <c r="P41" s="51" t="n"/>
      <c r="Q41" s="16" t="n"/>
    </row>
    <row r="42" ht="30" customHeight="1">
      <c r="A42" s="16" t="n"/>
      <c r="B42" s="16" t="n"/>
      <c r="C42" s="16" t="n"/>
      <c r="D42" s="16" t="n"/>
      <c r="E42" s="16" t="n"/>
      <c r="F42" s="51" t="n"/>
      <c r="G42" s="52" t="n"/>
      <c r="H42" s="52" t="n"/>
      <c r="I42" s="53">
        <f>IF($F42="","",N($F42)*N($G42)*N($H42))</f>
        <v/>
      </c>
      <c r="J42" s="54">
        <f>IF($I42="","",IF($I42&gt;='09_PARAMETRI'!$B$23,"HIGH",IF($I42&gt;='09_PARAMETRI'!$B$24,"MEDIUM","LOW")))</f>
        <v/>
      </c>
      <c r="K42" s="16" t="n"/>
      <c r="L42" s="16" t="n"/>
      <c r="M42" s="16" t="n"/>
      <c r="N42" s="17" t="n"/>
      <c r="O42" s="16" t="n"/>
      <c r="P42" s="51" t="n"/>
      <c r="Q42" s="16" t="n"/>
    </row>
    <row r="43" ht="30" customHeight="1">
      <c r="A43" s="16" t="n"/>
      <c r="B43" s="16" t="n"/>
      <c r="C43" s="16" t="n"/>
      <c r="D43" s="16" t="n"/>
      <c r="E43" s="16" t="n"/>
      <c r="F43" s="51" t="n"/>
      <c r="G43" s="52" t="n"/>
      <c r="H43" s="52" t="n"/>
      <c r="I43" s="53">
        <f>IF($F43="","",N($F43)*N($G43)*N($H43))</f>
        <v/>
      </c>
      <c r="J43" s="54">
        <f>IF($I43="","",IF($I43&gt;='09_PARAMETRI'!$B$23,"HIGH",IF($I43&gt;='09_PARAMETRI'!$B$24,"MEDIUM","LOW")))</f>
        <v/>
      </c>
      <c r="K43" s="16" t="n"/>
      <c r="L43" s="16" t="n"/>
      <c r="M43" s="16" t="n"/>
      <c r="N43" s="17" t="n"/>
      <c r="O43" s="16" t="n"/>
      <c r="P43" s="51" t="n"/>
      <c r="Q43" s="16" t="n"/>
    </row>
    <row r="44" ht="30" customHeight="1">
      <c r="A44" s="16" t="n"/>
      <c r="B44" s="16" t="n"/>
      <c r="C44" s="16" t="n"/>
      <c r="D44" s="16" t="n"/>
      <c r="E44" s="16" t="n"/>
      <c r="F44" s="51" t="n"/>
      <c r="G44" s="52" t="n"/>
      <c r="H44" s="52" t="n"/>
      <c r="I44" s="53">
        <f>IF($F44="","",N($F44)*N($G44)*N($H44))</f>
        <v/>
      </c>
      <c r="J44" s="54">
        <f>IF($I44="","",IF($I44&gt;='09_PARAMETRI'!$B$23,"HIGH",IF($I44&gt;='09_PARAMETRI'!$B$24,"MEDIUM","LOW")))</f>
        <v/>
      </c>
      <c r="K44" s="16" t="n"/>
      <c r="L44" s="16" t="n"/>
      <c r="M44" s="16" t="n"/>
      <c r="N44" s="17" t="n"/>
      <c r="O44" s="16" t="n"/>
      <c r="P44" s="51" t="n"/>
      <c r="Q44" s="16" t="n"/>
    </row>
    <row r="45" ht="30" customHeight="1">
      <c r="A45" s="16" t="n"/>
      <c r="B45" s="16" t="n"/>
      <c r="C45" s="16" t="n"/>
      <c r="D45" s="16" t="n"/>
      <c r="E45" s="16" t="n"/>
      <c r="F45" s="51" t="n"/>
      <c r="G45" s="52" t="n"/>
      <c r="H45" s="52" t="n"/>
      <c r="I45" s="53">
        <f>IF($F45="","",N($F45)*N($G45)*N($H45))</f>
        <v/>
      </c>
      <c r="J45" s="54">
        <f>IF($I45="","",IF($I45&gt;='09_PARAMETRI'!$B$23,"HIGH",IF($I45&gt;='09_PARAMETRI'!$B$24,"MEDIUM","LOW")))</f>
        <v/>
      </c>
      <c r="K45" s="16" t="n"/>
      <c r="L45" s="16" t="n"/>
      <c r="M45" s="16" t="n"/>
      <c r="N45" s="17" t="n"/>
      <c r="O45" s="16" t="n"/>
      <c r="P45" s="51" t="n"/>
      <c r="Q45" s="16" t="n"/>
    </row>
    <row r="46" ht="30" customHeight="1">
      <c r="A46" s="16" t="n"/>
      <c r="B46" s="16" t="n"/>
      <c r="C46" s="16" t="n"/>
      <c r="D46" s="16" t="n"/>
      <c r="E46" s="16" t="n"/>
      <c r="F46" s="51" t="n"/>
      <c r="G46" s="52" t="n"/>
      <c r="H46" s="52" t="n"/>
      <c r="I46" s="53">
        <f>IF($F46="","",N($F46)*N($G46)*N($H46))</f>
        <v/>
      </c>
      <c r="J46" s="54">
        <f>IF($I46="","",IF($I46&gt;='09_PARAMETRI'!$B$23,"HIGH",IF($I46&gt;='09_PARAMETRI'!$B$24,"MEDIUM","LOW")))</f>
        <v/>
      </c>
      <c r="K46" s="16" t="n"/>
      <c r="L46" s="16" t="n"/>
      <c r="M46" s="16" t="n"/>
      <c r="N46" s="17" t="n"/>
      <c r="O46" s="16" t="n"/>
      <c r="P46" s="51" t="n"/>
      <c r="Q46" s="16" t="n"/>
    </row>
    <row r="47" ht="30" customHeight="1">
      <c r="A47" s="16" t="n"/>
      <c r="B47" s="16" t="n"/>
      <c r="C47" s="16" t="n"/>
      <c r="D47" s="16" t="n"/>
      <c r="E47" s="16" t="n"/>
      <c r="F47" s="51" t="n"/>
      <c r="G47" s="52" t="n"/>
      <c r="H47" s="52" t="n"/>
      <c r="I47" s="53">
        <f>IF($F47="","",N($F47)*N($G47)*N($H47))</f>
        <v/>
      </c>
      <c r="J47" s="54">
        <f>IF($I47="","",IF($I47&gt;='09_PARAMETRI'!$B$23,"HIGH",IF($I47&gt;='09_PARAMETRI'!$B$24,"MEDIUM","LOW")))</f>
        <v/>
      </c>
      <c r="K47" s="16" t="n"/>
      <c r="L47" s="16" t="n"/>
      <c r="M47" s="16" t="n"/>
      <c r="N47" s="17" t="n"/>
      <c r="O47" s="16" t="n"/>
      <c r="P47" s="51" t="n"/>
      <c r="Q47" s="16" t="n"/>
    </row>
    <row r="48" ht="30" customHeight="1">
      <c r="A48" s="16" t="n"/>
      <c r="B48" s="16" t="n"/>
      <c r="C48" s="16" t="n"/>
      <c r="D48" s="16" t="n"/>
      <c r="E48" s="16" t="n"/>
      <c r="F48" s="51" t="n"/>
      <c r="G48" s="52" t="n"/>
      <c r="H48" s="52" t="n"/>
      <c r="I48" s="53">
        <f>IF($F48="","",N($F48)*N($G48)*N($H48))</f>
        <v/>
      </c>
      <c r="J48" s="54">
        <f>IF($I48="","",IF($I48&gt;='09_PARAMETRI'!$B$23,"HIGH",IF($I48&gt;='09_PARAMETRI'!$B$24,"MEDIUM","LOW")))</f>
        <v/>
      </c>
      <c r="K48" s="16" t="n"/>
      <c r="L48" s="16" t="n"/>
      <c r="M48" s="16" t="n"/>
      <c r="N48" s="17" t="n"/>
      <c r="O48" s="16" t="n"/>
      <c r="P48" s="51" t="n"/>
      <c r="Q48" s="16" t="n"/>
    </row>
    <row r="49" ht="30" customHeight="1">
      <c r="A49" s="16" t="n"/>
      <c r="B49" s="16" t="n"/>
      <c r="C49" s="16" t="n"/>
      <c r="D49" s="16" t="n"/>
      <c r="E49" s="16" t="n"/>
      <c r="F49" s="51" t="n"/>
      <c r="G49" s="52" t="n"/>
      <c r="H49" s="52" t="n"/>
      <c r="I49" s="53">
        <f>IF($F49="","",N($F49)*N($G49)*N($H49))</f>
        <v/>
      </c>
      <c r="J49" s="54">
        <f>IF($I49="","",IF($I49&gt;='09_PARAMETRI'!$B$23,"HIGH",IF($I49&gt;='09_PARAMETRI'!$B$24,"MEDIUM","LOW")))</f>
        <v/>
      </c>
      <c r="K49" s="16" t="n"/>
      <c r="L49" s="16" t="n"/>
      <c r="M49" s="16" t="n"/>
      <c r="N49" s="17" t="n"/>
      <c r="O49" s="16" t="n"/>
      <c r="P49" s="51" t="n"/>
      <c r="Q49" s="16" t="n"/>
    </row>
    <row r="50" ht="30" customHeight="1">
      <c r="A50" s="16" t="n"/>
      <c r="B50" s="16" t="n"/>
      <c r="C50" s="16" t="n"/>
      <c r="D50" s="16" t="n"/>
      <c r="E50" s="16" t="n"/>
      <c r="F50" s="51" t="n"/>
      <c r="G50" s="52" t="n"/>
      <c r="H50" s="52" t="n"/>
      <c r="I50" s="53">
        <f>IF($F50="","",N($F50)*N($G50)*N($H50))</f>
        <v/>
      </c>
      <c r="J50" s="54">
        <f>IF($I50="","",IF($I50&gt;='09_PARAMETRI'!$B$23,"HIGH",IF($I50&gt;='09_PARAMETRI'!$B$24,"MEDIUM","LOW")))</f>
        <v/>
      </c>
      <c r="K50" s="16" t="n"/>
      <c r="L50" s="16" t="n"/>
      <c r="M50" s="16" t="n"/>
      <c r="N50" s="17" t="n"/>
      <c r="O50" s="16" t="n"/>
      <c r="P50" s="51" t="n"/>
      <c r="Q50" s="16" t="n"/>
    </row>
    <row r="51" ht="30" customHeight="1">
      <c r="A51" s="16" t="n"/>
      <c r="B51" s="16" t="n"/>
      <c r="C51" s="16" t="n"/>
      <c r="D51" s="16" t="n"/>
      <c r="E51" s="16" t="n"/>
      <c r="F51" s="51" t="n"/>
      <c r="G51" s="52" t="n"/>
      <c r="H51" s="52" t="n"/>
      <c r="I51" s="53">
        <f>IF($F51="","",N($F51)*N($G51)*N($H51))</f>
        <v/>
      </c>
      <c r="J51" s="54">
        <f>IF($I51="","",IF($I51&gt;='09_PARAMETRI'!$B$23,"HIGH",IF($I51&gt;='09_PARAMETRI'!$B$24,"MEDIUM","LOW")))</f>
        <v/>
      </c>
      <c r="K51" s="16" t="n"/>
      <c r="L51" s="16" t="n"/>
      <c r="M51" s="16" t="n"/>
      <c r="N51" s="17" t="n"/>
      <c r="O51" s="16" t="n"/>
      <c r="P51" s="51" t="n"/>
      <c r="Q51" s="16" t="n"/>
    </row>
    <row r="52" ht="30" customHeight="1">
      <c r="A52" s="16" t="n"/>
      <c r="B52" s="16" t="n"/>
      <c r="C52" s="16" t="n"/>
      <c r="D52" s="16" t="n"/>
      <c r="E52" s="16" t="n"/>
      <c r="F52" s="51" t="n"/>
      <c r="G52" s="52" t="n"/>
      <c r="H52" s="52" t="n"/>
      <c r="I52" s="53">
        <f>IF($F52="","",N($F52)*N($G52)*N($H52))</f>
        <v/>
      </c>
      <c r="J52" s="54">
        <f>IF($I52="","",IF($I52&gt;='09_PARAMETRI'!$B$23,"HIGH",IF($I52&gt;='09_PARAMETRI'!$B$24,"MEDIUM","LOW")))</f>
        <v/>
      </c>
      <c r="K52" s="16" t="n"/>
      <c r="L52" s="16" t="n"/>
      <c r="M52" s="16" t="n"/>
      <c r="N52" s="17" t="n"/>
      <c r="O52" s="16" t="n"/>
      <c r="P52" s="51" t="n"/>
      <c r="Q52" s="16" t="n"/>
    </row>
    <row r="53" ht="30" customHeight="1">
      <c r="A53" s="16" t="n"/>
      <c r="B53" s="16" t="n"/>
      <c r="C53" s="16" t="n"/>
      <c r="D53" s="16" t="n"/>
      <c r="E53" s="16" t="n"/>
      <c r="F53" s="51" t="n"/>
      <c r="G53" s="52" t="n"/>
      <c r="H53" s="52" t="n"/>
      <c r="I53" s="53">
        <f>IF($F53="","",N($F53)*N($G53)*N($H53))</f>
        <v/>
      </c>
      <c r="J53" s="54">
        <f>IF($I53="","",IF($I53&gt;='09_PARAMETRI'!$B$23,"HIGH",IF($I53&gt;='09_PARAMETRI'!$B$24,"MEDIUM","LOW")))</f>
        <v/>
      </c>
      <c r="K53" s="16" t="n"/>
      <c r="L53" s="16" t="n"/>
      <c r="M53" s="16" t="n"/>
      <c r="N53" s="17" t="n"/>
      <c r="O53" s="16" t="n"/>
      <c r="P53" s="51" t="n"/>
      <c r="Q53" s="16" t="n"/>
    </row>
    <row r="54" ht="30" customHeight="1">
      <c r="A54" s="16" t="n"/>
      <c r="B54" s="16" t="n"/>
      <c r="C54" s="16" t="n"/>
      <c r="D54" s="16" t="n"/>
      <c r="E54" s="16" t="n"/>
      <c r="F54" s="51" t="n"/>
      <c r="G54" s="52" t="n"/>
      <c r="H54" s="52" t="n"/>
      <c r="I54" s="53">
        <f>IF($F54="","",N($F54)*N($G54)*N($H54))</f>
        <v/>
      </c>
      <c r="J54" s="54">
        <f>IF($I54="","",IF($I54&gt;='09_PARAMETRI'!$B$23,"HIGH",IF($I54&gt;='09_PARAMETRI'!$B$24,"MEDIUM","LOW")))</f>
        <v/>
      </c>
      <c r="K54" s="16" t="n"/>
      <c r="L54" s="16" t="n"/>
      <c r="M54" s="16" t="n"/>
      <c r="N54" s="17" t="n"/>
      <c r="O54" s="16" t="n"/>
      <c r="P54" s="51" t="n"/>
      <c r="Q54" s="16" t="n"/>
    </row>
    <row r="55" ht="30" customHeight="1">
      <c r="A55" s="16" t="n"/>
      <c r="B55" s="16" t="n"/>
      <c r="C55" s="16" t="n"/>
      <c r="D55" s="16" t="n"/>
      <c r="E55" s="16" t="n"/>
      <c r="F55" s="51" t="n"/>
      <c r="G55" s="52" t="n"/>
      <c r="H55" s="52" t="n"/>
      <c r="I55" s="53">
        <f>IF($F55="","",N($F55)*N($G55)*N($H55))</f>
        <v/>
      </c>
      <c r="J55" s="54">
        <f>IF($I55="","",IF($I55&gt;='09_PARAMETRI'!$B$23,"HIGH",IF($I55&gt;='09_PARAMETRI'!$B$24,"MEDIUM","LOW")))</f>
        <v/>
      </c>
      <c r="K55" s="16" t="n"/>
      <c r="L55" s="16" t="n"/>
      <c r="M55" s="16" t="n"/>
      <c r="N55" s="17" t="n"/>
      <c r="O55" s="16" t="n"/>
      <c r="P55" s="51" t="n"/>
      <c r="Q55" s="16" t="n"/>
    </row>
    <row r="56" ht="30" customHeight="1">
      <c r="A56" s="16" t="n"/>
      <c r="B56" s="16" t="n"/>
      <c r="C56" s="16" t="n"/>
      <c r="D56" s="16" t="n"/>
      <c r="E56" s="16" t="n"/>
      <c r="F56" s="51" t="n"/>
      <c r="G56" s="52" t="n"/>
      <c r="H56" s="52" t="n"/>
      <c r="I56" s="53">
        <f>IF($F56="","",N($F56)*N($G56)*N($H56))</f>
        <v/>
      </c>
      <c r="J56" s="54">
        <f>IF($I56="","",IF($I56&gt;='09_PARAMETRI'!$B$23,"HIGH",IF($I56&gt;='09_PARAMETRI'!$B$24,"MEDIUM","LOW")))</f>
        <v/>
      </c>
      <c r="K56" s="16" t="n"/>
      <c r="L56" s="16" t="n"/>
      <c r="M56" s="16" t="n"/>
      <c r="N56" s="17" t="n"/>
      <c r="O56" s="16" t="n"/>
      <c r="P56" s="51" t="n"/>
      <c r="Q56" s="16" t="n"/>
    </row>
    <row r="57" ht="30" customHeight="1">
      <c r="A57" s="16" t="n"/>
      <c r="B57" s="16" t="n"/>
      <c r="C57" s="16" t="n"/>
      <c r="D57" s="16" t="n"/>
      <c r="E57" s="16" t="n"/>
      <c r="F57" s="51" t="n"/>
      <c r="G57" s="52" t="n"/>
      <c r="H57" s="52" t="n"/>
      <c r="I57" s="53">
        <f>IF($F57="","",N($F57)*N($G57)*N($H57))</f>
        <v/>
      </c>
      <c r="J57" s="54">
        <f>IF($I57="","",IF($I57&gt;='09_PARAMETRI'!$B$23,"HIGH",IF($I57&gt;='09_PARAMETRI'!$B$24,"MEDIUM","LOW")))</f>
        <v/>
      </c>
      <c r="K57" s="16" t="n"/>
      <c r="L57" s="16" t="n"/>
      <c r="M57" s="16" t="n"/>
      <c r="N57" s="17" t="n"/>
      <c r="O57" s="16" t="n"/>
      <c r="P57" s="51" t="n"/>
      <c r="Q57" s="16" t="n"/>
    </row>
    <row r="58" ht="30" customHeight="1">
      <c r="A58" s="16" t="n"/>
      <c r="B58" s="16" t="n"/>
      <c r="C58" s="16" t="n"/>
      <c r="D58" s="16" t="n"/>
      <c r="E58" s="16" t="n"/>
      <c r="F58" s="51" t="n"/>
      <c r="G58" s="52" t="n"/>
      <c r="H58" s="52" t="n"/>
      <c r="I58" s="53">
        <f>IF($F58="","",N($F58)*N($G58)*N($H58))</f>
        <v/>
      </c>
      <c r="J58" s="54">
        <f>IF($I58="","",IF($I58&gt;='09_PARAMETRI'!$B$23,"HIGH",IF($I58&gt;='09_PARAMETRI'!$B$24,"MEDIUM","LOW")))</f>
        <v/>
      </c>
      <c r="K58" s="16" t="n"/>
      <c r="L58" s="16" t="n"/>
      <c r="M58" s="16" t="n"/>
      <c r="N58" s="17" t="n"/>
      <c r="O58" s="16" t="n"/>
      <c r="P58" s="51" t="n"/>
      <c r="Q58" s="16" t="n"/>
    </row>
    <row r="59" ht="30" customHeight="1">
      <c r="A59" s="16" t="n"/>
      <c r="B59" s="16" t="n"/>
      <c r="C59" s="16" t="n"/>
      <c r="D59" s="16" t="n"/>
      <c r="E59" s="16" t="n"/>
      <c r="F59" s="51" t="n"/>
      <c r="G59" s="52" t="n"/>
      <c r="H59" s="52" t="n"/>
      <c r="I59" s="53">
        <f>IF($F59="","",N($F59)*N($G59)*N($H59))</f>
        <v/>
      </c>
      <c r="J59" s="54">
        <f>IF($I59="","",IF($I59&gt;='09_PARAMETRI'!$B$23,"HIGH",IF($I59&gt;='09_PARAMETRI'!$B$24,"MEDIUM","LOW")))</f>
        <v/>
      </c>
      <c r="K59" s="16" t="n"/>
      <c r="L59" s="16" t="n"/>
      <c r="M59" s="16" t="n"/>
      <c r="N59" s="17" t="n"/>
      <c r="O59" s="16" t="n"/>
      <c r="P59" s="51" t="n"/>
      <c r="Q59" s="16" t="n"/>
    </row>
    <row r="60" ht="30" customHeight="1">
      <c r="A60" s="16" t="n"/>
      <c r="B60" s="16" t="n"/>
      <c r="C60" s="16" t="n"/>
      <c r="D60" s="16" t="n"/>
      <c r="E60" s="16" t="n"/>
      <c r="F60" s="51" t="n"/>
      <c r="G60" s="52" t="n"/>
      <c r="H60" s="52" t="n"/>
      <c r="I60" s="53">
        <f>IF($F60="","",N($F60)*N($G60)*N($H60))</f>
        <v/>
      </c>
      <c r="J60" s="54">
        <f>IF($I60="","",IF($I60&gt;='09_PARAMETRI'!$B$23,"HIGH",IF($I60&gt;='09_PARAMETRI'!$B$24,"MEDIUM","LOW")))</f>
        <v/>
      </c>
      <c r="K60" s="16" t="n"/>
      <c r="L60" s="16" t="n"/>
      <c r="M60" s="16" t="n"/>
      <c r="N60" s="17" t="n"/>
      <c r="O60" s="16" t="n"/>
      <c r="P60" s="51" t="n"/>
      <c r="Q60" s="16" t="n"/>
    </row>
    <row r="61" ht="30" customHeight="1">
      <c r="A61" s="16" t="n"/>
      <c r="B61" s="16" t="n"/>
      <c r="C61" s="16" t="n"/>
      <c r="D61" s="16" t="n"/>
      <c r="E61" s="16" t="n"/>
      <c r="F61" s="51" t="n"/>
      <c r="G61" s="52" t="n"/>
      <c r="H61" s="52" t="n"/>
      <c r="I61" s="53">
        <f>IF($F61="","",N($F61)*N($G61)*N($H61))</f>
        <v/>
      </c>
      <c r="J61" s="54">
        <f>IF($I61="","",IF($I61&gt;='09_PARAMETRI'!$B$23,"HIGH",IF($I61&gt;='09_PARAMETRI'!$B$24,"MEDIUM","LOW")))</f>
        <v/>
      </c>
      <c r="K61" s="16" t="n"/>
      <c r="L61" s="16" t="n"/>
      <c r="M61" s="16" t="n"/>
      <c r="N61" s="17" t="n"/>
      <c r="O61" s="16" t="n"/>
      <c r="P61" s="51" t="n"/>
      <c r="Q61" s="16" t="n"/>
    </row>
    <row r="62" ht="30" customHeight="1">
      <c r="A62" s="16" t="n"/>
      <c r="B62" s="16" t="n"/>
      <c r="C62" s="16" t="n"/>
      <c r="D62" s="16" t="n"/>
      <c r="E62" s="16" t="n"/>
      <c r="F62" s="51" t="n"/>
      <c r="G62" s="52" t="n"/>
      <c r="H62" s="52" t="n"/>
      <c r="I62" s="53">
        <f>IF($F62="","",N($F62)*N($G62)*N($H62))</f>
        <v/>
      </c>
      <c r="J62" s="54">
        <f>IF($I62="","",IF($I62&gt;='09_PARAMETRI'!$B$23,"HIGH",IF($I62&gt;='09_PARAMETRI'!$B$24,"MEDIUM","LOW")))</f>
        <v/>
      </c>
      <c r="K62" s="16" t="n"/>
      <c r="L62" s="16" t="n"/>
      <c r="M62" s="16" t="n"/>
      <c r="N62" s="17" t="n"/>
      <c r="O62" s="16" t="n"/>
      <c r="P62" s="51" t="n"/>
      <c r="Q62" s="16" t="n"/>
    </row>
    <row r="63" ht="30" customHeight="1">
      <c r="A63" s="16" t="n"/>
      <c r="B63" s="16" t="n"/>
      <c r="C63" s="16" t="n"/>
      <c r="D63" s="16" t="n"/>
      <c r="E63" s="16" t="n"/>
      <c r="F63" s="51" t="n"/>
      <c r="G63" s="52" t="n"/>
      <c r="H63" s="52" t="n"/>
      <c r="I63" s="53">
        <f>IF($F63="","",N($F63)*N($G63)*N($H63))</f>
        <v/>
      </c>
      <c r="J63" s="54">
        <f>IF($I63="","",IF($I63&gt;='09_PARAMETRI'!$B$23,"HIGH",IF($I63&gt;='09_PARAMETRI'!$B$24,"MEDIUM","LOW")))</f>
        <v/>
      </c>
      <c r="K63" s="16" t="n"/>
      <c r="L63" s="16" t="n"/>
      <c r="M63" s="16" t="n"/>
      <c r="N63" s="17" t="n"/>
      <c r="O63" s="16" t="n"/>
      <c r="P63" s="51" t="n"/>
      <c r="Q63" s="16" t="n"/>
    </row>
    <row r="64" ht="30" customHeight="1">
      <c r="A64" s="16" t="n"/>
      <c r="B64" s="16" t="n"/>
      <c r="C64" s="16" t="n"/>
      <c r="D64" s="16" t="n"/>
      <c r="E64" s="16" t="n"/>
      <c r="F64" s="51" t="n"/>
      <c r="G64" s="52" t="n"/>
      <c r="H64" s="52" t="n"/>
      <c r="I64" s="53">
        <f>IF($F64="","",N($F64)*N($G64)*N($H64))</f>
        <v/>
      </c>
      <c r="J64" s="54">
        <f>IF($I64="","",IF($I64&gt;='09_PARAMETRI'!$B$23,"HIGH",IF($I64&gt;='09_PARAMETRI'!$B$24,"MEDIUM","LOW")))</f>
        <v/>
      </c>
      <c r="K64" s="16" t="n"/>
      <c r="L64" s="16" t="n"/>
      <c r="M64" s="16" t="n"/>
      <c r="N64" s="17" t="n"/>
      <c r="O64" s="16" t="n"/>
      <c r="P64" s="51" t="n"/>
      <c r="Q64" s="16" t="n"/>
    </row>
  </sheetData>
  <autoFilter ref="A4:Q64"/>
  <conditionalFormatting sqref="J5:J64">
    <cfRule type="cellIs" priority="1" operator="equal" dxfId="10">
      <formula>"HIGH"</formula>
    </cfRule>
    <cfRule type="cellIs" priority="2" operator="equal" dxfId="11">
      <formula>"MEDIUM"</formula>
    </cfRule>
    <cfRule type="cellIs" priority="3" operator="equal" dxfId="12">
      <formula>"LOW"</formula>
    </cfRule>
  </conditionalFormatting>
  <dataValidations count="2">
    <dataValidation sqref="C5:C64" showDropDown="0" showInputMessage="0" showErrorMessage="0" allowBlank="1" errorTitle="Valoare neacceptată" error="Valoare în afara listei permise. Alege din listă sau completează lista de valori." type="list">
      <formula1>='90_LISTE'!$F$2:$F$13</formula1>
    </dataValidation>
    <dataValidation sqref="O5:O64" showDropDown="0" showInputMessage="0" showErrorMessage="0" allowBlank="1" errorTitle="Valoare neacceptată" error="Valoare în afara listei permise. Alege din listă sau completează lista de valori." type="list">
      <formula1>='90_LISTE'!$H$2:$H$7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0" customWidth="1" min="3" max="3"/>
    <col width="54" customWidth="1" min="4" max="4"/>
  </cols>
  <sheetData>
    <row r="1" ht="26" customHeight="1">
      <c r="A1" s="1" t="inlineStr">
        <is>
          <t>EQUIL GROWTH INTELLIGENCE — RAPORT</t>
        </is>
      </c>
    </row>
    <row r="2"/>
    <row r="3"/>
    <row r="4" ht="20" customHeight="1">
      <c r="A4" s="10" t="inlineStr">
        <is>
          <t>IDENTIFICARE</t>
        </is>
      </c>
      <c r="B4" s="11" t="n"/>
      <c r="C4" s="11" t="n"/>
      <c r="D4" s="11" t="n"/>
    </row>
    <row r="5">
      <c r="A5" s="12" t="inlineStr">
        <is>
          <t>Client</t>
        </is>
      </c>
      <c r="B5" s="39">
        <f>'09_PARAMETRI'!$B$27</f>
        <v/>
      </c>
      <c r="D5" s="14" t="inlineStr">
        <is>
          <t>Se preia din 01_FIRMA.</t>
        </is>
      </c>
    </row>
    <row r="6">
      <c r="A6" s="12" t="inlineStr">
        <is>
          <t>Perioada analizată</t>
        </is>
      </c>
      <c r="B6" s="39">
        <f>YEAR('09_PARAMETRI'!$B$5)&amp;"-"&amp;RIGHT("0"&amp;MONTH('09_PARAMETRI'!$B$5),2)&amp;"-"&amp;RIGHT("0"&amp;DAY('09_PARAMETRI'!$B$5),2)&amp;" — "&amp;YEAR('09_PARAMETRI'!$B$6)&amp;"-"&amp;RIGHT("0"&amp;MONTH('09_PARAMETRI'!$B$6),2)&amp;"-"&amp;RIGHT("0"&amp;DAY('09_PARAMETRI'!$B$6),2)</f>
        <v/>
      </c>
    </row>
    <row r="7">
      <c r="A7" s="12" t="inlineStr">
        <is>
          <t>Comparat cu</t>
        </is>
      </c>
      <c r="B7" s="39">
        <f>YEAR('09_PARAMETRI'!$B$7)&amp;"-"&amp;RIGHT("0"&amp;MONTH('09_PARAMETRI'!$B$7),2)&amp;"-"&amp;RIGHT("0"&amp;DAY('09_PARAMETRI'!$B$7),2)&amp;" — "&amp;YEAR('09_PARAMETRI'!$B$8)&amp;"-"&amp;RIGHT("0"&amp;MONTH('09_PARAMETRI'!$B$8),2)&amp;"-"&amp;RIGHT("0"&amp;DAY('09_PARAMETRI'!$B$8),2)</f>
        <v/>
      </c>
    </row>
    <row r="8">
      <c r="A8" s="12" t="inlineStr">
        <is>
          <t>Monedă</t>
        </is>
      </c>
      <c r="B8" s="39">
        <f>'09_PARAMETRI'!$B$10</f>
        <v/>
      </c>
    </row>
    <row r="9">
      <c r="A9" s="12" t="inlineStr">
        <is>
          <t>Consultant EQUIL</t>
        </is>
      </c>
      <c r="B9" s="39">
        <f>'09_PARAMETRI'!$B$28</f>
        <v/>
      </c>
    </row>
    <row r="10"/>
    <row r="11" ht="20" customHeight="1">
      <c r="A11" s="10" t="inlineStr">
        <is>
          <t>CONCLUZII AUTOMATE (generate din date)</t>
        </is>
      </c>
      <c r="B11" s="11" t="n"/>
      <c r="C11" s="11" t="n"/>
      <c r="D11" s="11" t="n"/>
    </row>
    <row r="12" ht="30" customHeight="1">
      <c r="A12" s="12" t="inlineStr">
        <is>
          <t>Venit</t>
        </is>
      </c>
      <c r="B12" s="57">
        <f>IF('20_KPI'!$B$6=0,"Nu există date de vânzări în perioada selectată. Verifică 13_VANZARI și perioada din 09_PARAMETRI.","Venitul net al perioadei este "&amp;FIXED('20_KPI'!$B$6,0)&amp;" "&amp;'09_PARAMETRI'!$B$10&amp;IF(OR('20_KPI'!$E$6="",'20_KPI'!$E$6=0),", fără perioadă de comparație completată.",", "&amp;IF('20_KPI'!$E$6&gt;=0,"în creștere cu ","în scădere cu ")&amp;FIXED((ABS('20_KPI'!$E$6))*100,1)&amp;"%"&amp;" față de perioada comparativă."))</f>
        <v/>
      </c>
    </row>
    <row r="13" ht="30" customHeight="1">
      <c r="A13" s="12" t="inlineStr">
        <is>
          <t>Marjă</t>
        </is>
      </c>
      <c r="B13" s="57">
        <f>IF('20_KPI'!$B$6=0,"—","Marja brută este "&amp;FIXED(('20_KPI'!$B$8)*100,1)&amp;"%"&amp;", "&amp;IF('20_KPI'!$B$8&gt;='09_PARAMETRI'!$B$15,"peste","sub")&amp;" referința de "&amp;FIXED(('09_PARAMETRI'!$B$15)*100,1)&amp;"%"&amp;IF('20_KPI'!$B$8&gt;='09_PARAMETRI'!$B$15,". Marja se menține.",". Un singur punct procentual de marjă recuperat înseamnă "&amp;FIXED('20_KPI'!$B$6*0.01,0)&amp;" "&amp;'09_PARAMETRI'!$B$10&amp;"."))</f>
        <v/>
      </c>
    </row>
    <row r="14" ht="30" customHeight="1">
      <c r="A14" s="12" t="inlineStr">
        <is>
          <t>Clienți</t>
        </is>
      </c>
      <c r="B14" s="57">
        <f>IF('20_KPI'!$B$13=0,"—","Au cumpărat "&amp;FIXED('20_KPI'!$B$13,0)&amp;" clienți, din care "&amp;FIXED('20_KPI'!$B$14,0)&amp;" noi. Venitul mediu pe client este "&amp;FIXED('20_KPI'!$B$15,0)&amp;" "&amp;'09_PARAMETRI'!$B$10&amp;".")</f>
        <v/>
      </c>
    </row>
    <row r="15" ht="30" customHeight="1">
      <c r="A15" s="12" t="inlineStr">
        <is>
          <t>Concentrare</t>
        </is>
      </c>
      <c r="B15" s="57">
        <f>IF('20_KPI'!$B$6=0,"—","Cel mai mare client aduce "&amp;FIXED(('20_KPI'!$B$18)*100,1)&amp;"%"&amp;" din venit, "&amp;IF('20_KPI'!$B$18&gt;'09_PARAMETRI'!$B$19,"peste pragul de risc de "&amp;FIXED(('09_PARAMETRI'!$B$19)*100,1)&amp;"%"&amp;". Retenția lui este prioritate, nu opțiune.","sub pragul de risc. Baza de clienți este echilibrată."))</f>
        <v/>
      </c>
    </row>
    <row r="16" ht="30" customHeight="1">
      <c r="A16" s="12" t="inlineStr">
        <is>
          <t>Productivitate</t>
        </is>
      </c>
      <c r="B16" s="57">
        <f>IF('20_KPI'!$B$21=0,"—","Fiecare normă întreagă din echipă aduce "&amp;FIXED('20_KPI'!$B$21,0)&amp;" "&amp;'09_PARAMETRI'!$B$10&amp;" venit în perioada analizată.")</f>
        <v/>
      </c>
    </row>
    <row r="17" ht="30" customHeight="1">
      <c r="A17" s="12" t="inlineStr">
        <is>
          <t>NPS</t>
        </is>
      </c>
      <c r="B17" s="57">
        <f>IF('20_KPI'!$B$25=0,"Nu există răspunsuri NPS în perioadă. Fără ele, nemulțumirea clienților se vede abia când scad comenzile.","NPS-ul este "&amp;FIXED('20_KPI'!$B$24,0)&amp;", din "&amp;FIXED('20_KPI'!$B$25,0)&amp;" răspunsuri, cu "&amp;FIXED(('20_KPI'!$B$27)*100,0)&amp;"%"&amp;" detractori. "&amp;IF('20_KPI'!$B$24&lt;'09_PARAMETRI'!$B$17,"Este sub pragul agreat de "&amp;FIXED('09_PARAMETRI'!$B$17,0)&amp;"; detractorii intră în planul de acțiuni.","Este peste pragul agreat.")&amp;IF('20_KPI'!$B$25&lt;20," Atenție: sub 20 de răspunsuri, cifra este orientativă, nu concluzivă.",""))</f>
        <v/>
      </c>
    </row>
    <row r="18" ht="30" customHeight="1">
      <c r="A18" s="12" t="inlineStr">
        <is>
          <t>Țintă</t>
        </is>
      </c>
      <c r="B18" s="57">
        <f>IF('20_KPI'!$B$29=0,"Nu este completată o țintă de venit pentru perioadă (14_TINTE, nivel „Companie”). Fără ea nu se poate măsura gap-ul.","Atingerea țintei este "&amp;FIXED(('20_KPI'!$B$30)*100,1)&amp;"%"&amp;IF('20_KPI'!$B$31&gt;0,", mai lipsesc "&amp;FIXED('20_KPI'!$B$31,0)&amp;" "&amp;'09_PARAMETRI'!$B$10&amp;" până la plan.",", ținta este depășită."))</f>
        <v/>
      </c>
    </row>
    <row r="19" ht="30" customHeight="1">
      <c r="A19" s="12" t="inlineStr">
        <is>
          <t>Oportunități</t>
        </is>
      </c>
      <c r="B19" s="57">
        <f>IF('30_OPORTUNITATI'!$T$5=0,"Nu sunt încă oportunități completate în 30_OPORTUNITATI.","Sunt "&amp;FIXED('30_OPORTUNITATI'!$T$5,0)&amp;" oportunități identificate, cu valoare ponderată de "&amp;FIXED('30_OPORTUNITATI'!$T$7,0)&amp;" "&amp;'09_PARAMETRI'!$B$10&amp;IF(AND('20_KPI'!$B$31&gt;0,'30_OPORTUNITATI'!$T$11&lt;&gt;""),IF('30_OPORTUNITATI'!$T$11&gt;=1,", mai mult decât suficient cât să acopere gap-ul față de țintă ("&amp;FIXED(('30_OPORTUNITATI'!$T$11)*100,0)&amp;"%"&amp;" din el).",", adică "&amp;FIXED(('30_OPORTUNITATI'!$T$11)*100,0)&amp;"%"&amp;" din gap-ul față de țintă."),"."))</f>
        <v/>
      </c>
    </row>
    <row r="20">
      <c r="A20" s="58" t="inlineStr">
        <is>
          <t>Cum se folosesc</t>
        </is>
      </c>
      <c r="B20" s="58" t="inlineStr">
        <is>
          <t>Sunt materie primă, nu text final: le citești, le verifici și scrii mai jos sinteza în limbajul clientului.</t>
        </is>
      </c>
    </row>
    <row r="21"/>
    <row r="22" ht="20" customHeight="1">
      <c r="A22" s="10" t="inlineStr">
        <is>
          <t>SINTEZA EXECUTIVĂ</t>
        </is>
      </c>
      <c r="B22" s="11" t="n"/>
      <c r="C22" s="11" t="n"/>
      <c r="D22" s="11" t="n"/>
    </row>
    <row r="23" ht="54" customHeight="1">
      <c r="A23" s="12" t="inlineStr">
        <is>
          <t>Concluzii (se scriu manual)</t>
        </is>
      </c>
      <c r="B23" s="18" t="inlineStr">
        <is>
          <t>[3-5 concluzii, formulate în limbajul clientului, sprijinite de cifrele de mai jos]</t>
        </is>
      </c>
      <c r="D23" s="58" t="inlineStr">
        <is>
          <t>Regula: fiecare concluzie trebuie să aibă o cifră în spate și o acțiune în față.</t>
        </is>
      </c>
    </row>
    <row r="24"/>
    <row r="25" ht="20" customHeight="1">
      <c r="A25" s="10" t="inlineStr">
        <is>
          <t>INDICATORI CHEIE</t>
        </is>
      </c>
      <c r="B25" s="11" t="n"/>
      <c r="C25" s="11" t="n"/>
      <c r="D25" s="11" t="n"/>
    </row>
    <row r="26">
      <c r="A26" s="59" t="inlineStr">
        <is>
          <t>Indicator</t>
        </is>
      </c>
      <c r="B26" s="59" t="inlineStr">
        <is>
          <t>Perioada curentă</t>
        </is>
      </c>
      <c r="C26" s="59" t="inlineStr">
        <is>
          <t>Δ % vs. comparativ</t>
        </is>
      </c>
      <c r="D26" s="59" t="inlineStr">
        <is>
          <t>Comentariu</t>
        </is>
      </c>
    </row>
    <row r="27">
      <c r="A27" s="12" t="inlineStr">
        <is>
          <t>Venit net</t>
        </is>
      </c>
      <c r="B27" s="43">
        <f>'20_KPI'!$B$6</f>
        <v/>
      </c>
      <c r="C27" s="25">
        <f>'20_KPI'!$E$6</f>
        <v/>
      </c>
      <c r="D27" s="18" t="n"/>
    </row>
    <row r="28">
      <c r="A28" s="12" t="inlineStr">
        <is>
          <t>Profit brut</t>
        </is>
      </c>
      <c r="B28" s="43">
        <f>'20_KPI'!$B$7</f>
        <v/>
      </c>
      <c r="C28" s="25">
        <f>'20_KPI'!$E$7</f>
        <v/>
      </c>
      <c r="D28" s="18" t="n"/>
    </row>
    <row r="29">
      <c r="A29" s="12" t="inlineStr">
        <is>
          <t>Marjă brută %</t>
        </is>
      </c>
      <c r="B29" s="45">
        <f>'20_KPI'!$B$8</f>
        <v/>
      </c>
      <c r="C29" s="25">
        <f>'20_KPI'!$E$8</f>
        <v/>
      </c>
      <c r="D29" s="18" t="n"/>
    </row>
    <row r="30">
      <c r="A30" s="12" t="inlineStr">
        <is>
          <t>Clienți activi</t>
        </is>
      </c>
      <c r="B30" s="43">
        <f>'20_KPI'!$B$13</f>
        <v/>
      </c>
      <c r="C30" s="25">
        <f>'20_KPI'!$E$13</f>
        <v/>
      </c>
      <c r="D30" s="18" t="n"/>
    </row>
    <row r="31">
      <c r="A31" s="12" t="inlineStr">
        <is>
          <t>Venit mediu / client</t>
        </is>
      </c>
      <c r="B31" s="43">
        <f>'20_KPI'!$B$15</f>
        <v/>
      </c>
      <c r="C31" s="25">
        <f>'20_KPI'!$E$15</f>
        <v/>
      </c>
      <c r="D31" s="18" t="n"/>
    </row>
    <row r="32">
      <c r="A32" s="12" t="inlineStr">
        <is>
          <t>Venit / FTE</t>
        </is>
      </c>
      <c r="B32" s="43">
        <f>'20_KPI'!$B$21</f>
        <v/>
      </c>
      <c r="C32" s="25">
        <f>'20_KPI'!$E$21</f>
        <v/>
      </c>
      <c r="D32" s="18" t="n"/>
    </row>
    <row r="33">
      <c r="A33" s="12" t="inlineStr">
        <is>
          <t>NPS</t>
        </is>
      </c>
      <c r="B33" s="49">
        <f>'20_KPI'!$B$24</f>
        <v/>
      </c>
      <c r="C33" s="25">
        <f>'20_KPI'!$E$24</f>
        <v/>
      </c>
      <c r="D33" s="18" t="n"/>
    </row>
    <row r="34">
      <c r="A34" s="12" t="inlineStr">
        <is>
          <t>Atingere țintă %</t>
        </is>
      </c>
      <c r="B34" s="45">
        <f>'20_KPI'!$B$30</f>
        <v/>
      </c>
      <c r="C34" s="25">
        <f>'20_KPI'!$E$30</f>
        <v/>
      </c>
      <c r="D34" s="18" t="n"/>
    </row>
    <row r="35">
      <c r="A35" s="12" t="inlineStr">
        <is>
          <t>Gap față de țintă</t>
        </is>
      </c>
      <c r="B35" s="43">
        <f>'20_KPI'!$B$31</f>
        <v/>
      </c>
      <c r="C35" s="25">
        <f>'20_KPI'!$E$31</f>
        <v/>
      </c>
      <c r="D35" s="18" t="n"/>
    </row>
    <row r="36">
      <c r="A36" s="12" t="inlineStr">
        <is>
          <t>Concentrare — cel mai mare client</t>
        </is>
      </c>
      <c r="B36" s="45">
        <f>'20_KPI'!$B$18</f>
        <v/>
      </c>
      <c r="C36" s="25">
        <f>'20_KPI'!$E$18</f>
        <v/>
      </c>
      <c r="D36" s="18" t="n"/>
    </row>
    <row r="37"/>
    <row r="38" ht="20" customHeight="1">
      <c r="A38" s="10" t="inlineStr">
        <is>
          <t>TOP 5 OPORTUNITĂȚI (ordonate după scor)</t>
        </is>
      </c>
      <c r="B38" s="11" t="n"/>
      <c r="C38" s="11" t="n"/>
      <c r="D38" s="11" t="n"/>
    </row>
    <row r="39">
      <c r="A39" s="21" t="inlineStr">
        <is>
          <t>#</t>
        </is>
      </c>
      <c r="B39" s="21" t="inlineStr">
        <is>
          <t>Oportunitate</t>
        </is>
      </c>
      <c r="C39" s="21" t="inlineStr">
        <is>
          <t>Scor</t>
        </is>
      </c>
      <c r="D39" s="21" t="inlineStr">
        <is>
          <t>Acțiune recomandată</t>
        </is>
      </c>
    </row>
    <row r="40" ht="30" customHeight="1">
      <c r="A40" s="12" t="n">
        <v>1</v>
      </c>
      <c r="B40" s="60">
        <f>IFERROR(INDEX('30_OPORTUNITATI'!$C$5:$C$64,MATCH(LARGE('30_OPORTUNITATI'!$I$5:$I$64,1),'30_OPORTUNITATI'!$I$5:$I$64,0))&amp;IF(INDEX('30_OPORTUNITATI'!$D$5:$D$64,MATCH(LARGE('30_OPORTUNITATI'!$I$5:$I$64,1),'30_OPORTUNITATI'!$I$5:$I$64,0))="",""," — "&amp;INDEX('30_OPORTUNITATI'!$D$5:$D$64,MATCH(LARGE('30_OPORTUNITATI'!$I$5:$I$64,1),'30_OPORTUNITATI'!$I$5:$I$64,0))),"")</f>
        <v/>
      </c>
      <c r="C40" s="61">
        <f>IFERROR(LARGE('30_OPORTUNITATI'!$I$5:$I$64,1),"")</f>
        <v/>
      </c>
      <c r="D40" s="60">
        <f>IFERROR(INDEX('30_OPORTUNITATI'!$K$5:$K$64,MATCH(LARGE('30_OPORTUNITATI'!$I$5:$I$64,1),'30_OPORTUNITATI'!$I$5:$I$64,0)),"")</f>
        <v/>
      </c>
    </row>
    <row r="41" ht="30" customHeight="1">
      <c r="A41" s="12" t="n">
        <v>2</v>
      </c>
      <c r="B41" s="60">
        <f>IFERROR(INDEX('30_OPORTUNITATI'!$C$5:$C$64,MATCH(LARGE('30_OPORTUNITATI'!$I$5:$I$64,2),'30_OPORTUNITATI'!$I$5:$I$64,0))&amp;IF(INDEX('30_OPORTUNITATI'!$D$5:$D$64,MATCH(LARGE('30_OPORTUNITATI'!$I$5:$I$64,2),'30_OPORTUNITATI'!$I$5:$I$64,0))="",""," — "&amp;INDEX('30_OPORTUNITATI'!$D$5:$D$64,MATCH(LARGE('30_OPORTUNITATI'!$I$5:$I$64,2),'30_OPORTUNITATI'!$I$5:$I$64,0))),"")</f>
        <v/>
      </c>
      <c r="C41" s="61">
        <f>IFERROR(LARGE('30_OPORTUNITATI'!$I$5:$I$64,2),"")</f>
        <v/>
      </c>
      <c r="D41" s="60">
        <f>IFERROR(INDEX('30_OPORTUNITATI'!$K$5:$K$64,MATCH(LARGE('30_OPORTUNITATI'!$I$5:$I$64,2),'30_OPORTUNITATI'!$I$5:$I$64,0)),"")</f>
        <v/>
      </c>
    </row>
    <row r="42" ht="30" customHeight="1">
      <c r="A42" s="12" t="n">
        <v>3</v>
      </c>
      <c r="B42" s="60">
        <f>IFERROR(INDEX('30_OPORTUNITATI'!$C$5:$C$64,MATCH(LARGE('30_OPORTUNITATI'!$I$5:$I$64,3),'30_OPORTUNITATI'!$I$5:$I$64,0))&amp;IF(INDEX('30_OPORTUNITATI'!$D$5:$D$64,MATCH(LARGE('30_OPORTUNITATI'!$I$5:$I$64,3),'30_OPORTUNITATI'!$I$5:$I$64,0))="",""," — "&amp;INDEX('30_OPORTUNITATI'!$D$5:$D$64,MATCH(LARGE('30_OPORTUNITATI'!$I$5:$I$64,3),'30_OPORTUNITATI'!$I$5:$I$64,0))),"")</f>
        <v/>
      </c>
      <c r="C42" s="61">
        <f>IFERROR(LARGE('30_OPORTUNITATI'!$I$5:$I$64,3),"")</f>
        <v/>
      </c>
      <c r="D42" s="60">
        <f>IFERROR(INDEX('30_OPORTUNITATI'!$K$5:$K$64,MATCH(LARGE('30_OPORTUNITATI'!$I$5:$I$64,3),'30_OPORTUNITATI'!$I$5:$I$64,0)),"")</f>
        <v/>
      </c>
    </row>
    <row r="43" ht="30" customHeight="1">
      <c r="A43" s="12" t="n">
        <v>4</v>
      </c>
      <c r="B43" s="60">
        <f>IFERROR(INDEX('30_OPORTUNITATI'!$C$5:$C$64,MATCH(LARGE('30_OPORTUNITATI'!$I$5:$I$64,4),'30_OPORTUNITATI'!$I$5:$I$64,0))&amp;IF(INDEX('30_OPORTUNITATI'!$D$5:$D$64,MATCH(LARGE('30_OPORTUNITATI'!$I$5:$I$64,4),'30_OPORTUNITATI'!$I$5:$I$64,0))="",""," — "&amp;INDEX('30_OPORTUNITATI'!$D$5:$D$64,MATCH(LARGE('30_OPORTUNITATI'!$I$5:$I$64,4),'30_OPORTUNITATI'!$I$5:$I$64,0))),"")</f>
        <v/>
      </c>
      <c r="C43" s="61">
        <f>IFERROR(LARGE('30_OPORTUNITATI'!$I$5:$I$64,4),"")</f>
        <v/>
      </c>
      <c r="D43" s="60">
        <f>IFERROR(INDEX('30_OPORTUNITATI'!$K$5:$K$64,MATCH(LARGE('30_OPORTUNITATI'!$I$5:$I$64,4),'30_OPORTUNITATI'!$I$5:$I$64,0)),"")</f>
        <v/>
      </c>
    </row>
    <row r="44" ht="30" customHeight="1">
      <c r="A44" s="12" t="n">
        <v>5</v>
      </c>
      <c r="B44" s="60">
        <f>IFERROR(INDEX('30_OPORTUNITATI'!$C$5:$C$64,MATCH(LARGE('30_OPORTUNITATI'!$I$5:$I$64,5),'30_OPORTUNITATI'!$I$5:$I$64,0))&amp;IF(INDEX('30_OPORTUNITATI'!$D$5:$D$64,MATCH(LARGE('30_OPORTUNITATI'!$I$5:$I$64,5),'30_OPORTUNITATI'!$I$5:$I$64,0))="",""," — "&amp;INDEX('30_OPORTUNITATI'!$D$5:$D$64,MATCH(LARGE('30_OPORTUNITATI'!$I$5:$I$64,5),'30_OPORTUNITATI'!$I$5:$I$64,0))),"")</f>
        <v/>
      </c>
      <c r="C44" s="61">
        <f>IFERROR(LARGE('30_OPORTUNITATI'!$I$5:$I$64,5),"")</f>
        <v/>
      </c>
      <c r="D44" s="60">
        <f>IFERROR(INDEX('30_OPORTUNITATI'!$K$5:$K$64,MATCH(LARGE('30_OPORTUNITATI'!$I$5:$I$64,5),'30_OPORTUNITATI'!$I$5:$I$64,0)),"")</f>
        <v/>
      </c>
    </row>
    <row r="45"/>
    <row r="46" ht="20" customHeight="1">
      <c r="A46" s="10" t="inlineStr">
        <is>
          <t>VALOAREA TOTALĂ A PLANULUI</t>
        </is>
      </c>
      <c r="B46" s="11" t="n"/>
      <c r="C46" s="11" t="n"/>
      <c r="D46" s="11" t="n"/>
    </row>
    <row r="47">
      <c r="A47" s="12" t="inlineStr">
        <is>
          <t>Valoare ponderată a oportunităților</t>
        </is>
      </c>
      <c r="B47" s="24">
        <f>'30_OPORTUNITATI'!$T$7</f>
        <v/>
      </c>
      <c r="D47" s="14" t="inlineStr">
        <is>
          <t>Suma scorurilor: impact ajustat cu probabilitatea și ușurința.</t>
        </is>
      </c>
    </row>
    <row r="48">
      <c r="A48" s="12" t="inlineStr">
        <is>
          <t>Gap față de țintă</t>
        </is>
      </c>
      <c r="B48" s="24">
        <f>'20_KPI'!$B$31</f>
        <v/>
      </c>
      <c r="D48" s="14" t="inlineStr">
        <is>
          <t>Cât lipsește până la țintă în perioada analizată.</t>
        </is>
      </c>
    </row>
    <row r="49">
      <c r="A49" s="12" t="inlineStr">
        <is>
          <t>Acoperirea gapului</t>
        </is>
      </c>
      <c r="B49" s="25">
        <f>'30_OPORTUNITATI'!$T$11</f>
        <v/>
      </c>
      <c r="D49" s="14" t="inlineStr">
        <is>
          <t>Peste 100% înseamnă că planul acoperă integral deficitul, dacă se execută.</t>
        </is>
      </c>
    </row>
    <row r="50"/>
    <row r="51" ht="20" customHeight="1">
      <c r="A51" s="10" t="inlineStr">
        <is>
          <t>PRIMELE 30 DE ZILE</t>
        </is>
      </c>
      <c r="B51" s="11" t="n"/>
      <c r="C51" s="11" t="n"/>
      <c r="D51" s="11" t="n"/>
    </row>
    <row r="52">
      <c r="A52" s="21" t="inlineStr">
        <is>
          <t>#</t>
        </is>
      </c>
      <c r="B52" s="21" t="inlineStr">
        <is>
          <t>Acțiune</t>
        </is>
      </c>
      <c r="C52" s="21" t="inlineStr">
        <is>
          <t>Responsabil</t>
        </is>
      </c>
      <c r="D52" s="21" t="inlineStr">
        <is>
          <t>Termen / rezultat așteptat</t>
        </is>
      </c>
    </row>
    <row r="53" ht="22" customHeight="1">
      <c r="A53" s="12" t="n">
        <v>1</v>
      </c>
      <c r="B53" s="18" t="n"/>
      <c r="C53" s="18" t="n"/>
      <c r="D53" s="18" t="n"/>
    </row>
    <row r="54" ht="22" customHeight="1">
      <c r="A54" s="12" t="n">
        <v>2</v>
      </c>
      <c r="B54" s="18" t="n"/>
      <c r="C54" s="18" t="n"/>
      <c r="D54" s="18" t="n"/>
    </row>
    <row r="55" ht="22" customHeight="1">
      <c r="A55" s="12" t="n">
        <v>3</v>
      </c>
      <c r="B55" s="18" t="n"/>
      <c r="C55" s="18" t="n"/>
      <c r="D55" s="18" t="n"/>
    </row>
    <row r="56" ht="22" customHeight="1">
      <c r="A56" s="12" t="n">
        <v>4</v>
      </c>
      <c r="B56" s="18" t="n"/>
      <c r="C56" s="18" t="n"/>
      <c r="D56" s="18" t="n"/>
    </row>
    <row r="57" ht="22" customHeight="1">
      <c r="A57" s="12" t="n">
        <v>5</v>
      </c>
      <c r="B57" s="18" t="n"/>
      <c r="C57" s="18" t="n"/>
      <c r="D57" s="18" t="n"/>
    </row>
    <row r="58"/>
    <row r="59" ht="32" customHeight="1">
      <c r="A59" s="12" t="inlineStr">
        <is>
          <t>Notă de metodă</t>
        </is>
      </c>
      <c r="B59" s="62" t="inlineStr">
        <is>
          <t>Cifrele provin exclusiv din datele furnizate de client în perioada indicată. Estimările de impact sunt scenarii, nu garanții, și se recalibrează după primele 30 de zile de execuție.</t>
        </is>
      </c>
    </row>
  </sheetData>
  <mergeCells count="8">
    <mergeCell ref="B19:D19"/>
    <mergeCell ref="B14:D14"/>
    <mergeCell ref="B15:D15"/>
    <mergeCell ref="B17:D17"/>
    <mergeCell ref="B18:D18"/>
    <mergeCell ref="B13:D13"/>
    <mergeCell ref="B12:D12"/>
    <mergeCell ref="B16:D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3" customWidth="1" min="5" max="5"/>
    <col width="10" customWidth="1" min="6" max="6"/>
    <col width="26" customWidth="1" min="8" max="8"/>
    <col width="13" customWidth="1" min="9" max="9"/>
    <col width="26" customWidth="1" min="11" max="11"/>
    <col width="13" customWidth="1" min="12" max="12"/>
    <col width="16" customWidth="1" min="14" max="14"/>
    <col width="12" customWidth="1" min="15" max="15"/>
    <col width="14" customWidth="1" min="17" max="17"/>
    <col width="15" customWidth="1" min="18" max="18"/>
  </cols>
  <sheetData>
    <row r="1" ht="26" customHeight="1">
      <c r="A1" s="1" t="inlineStr">
        <is>
          <t>41 — GRAFICE</t>
        </is>
      </c>
    </row>
    <row r="2" ht="16" customHeight="1">
      <c r="A2" s="2" t="inlineStr">
        <is>
          <t>Se desenează singure din datele introduse. Dacă par goale, apasă Ctrl+Alt+F9 (recalculare completă). Zona de calcul de sub grafice nu se editează.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63" t="inlineStr">
        <is>
          <t>ZONA DE CALCUL PENTRU GRAFICE — nu se editează, nu se șterge.</t>
        </is>
      </c>
    </row>
    <row r="60">
      <c r="A60" s="64" t="inlineStr">
        <is>
          <t>Lună</t>
        </is>
      </c>
      <c r="B60" s="64" t="inlineStr">
        <is>
          <t>Etichetă</t>
        </is>
      </c>
      <c r="C60" s="64" t="inlineStr">
        <is>
          <t>Venit net</t>
        </is>
      </c>
      <c r="D60" s="64" t="inlineStr">
        <is>
          <t>Profit brut</t>
        </is>
      </c>
      <c r="E60" s="64" t="inlineStr">
        <is>
          <t>Țintă</t>
        </is>
      </c>
      <c r="F60" s="64" t="inlineStr">
        <is>
          <t>Marjă %</t>
        </is>
      </c>
      <c r="H60" s="64" t="inlineStr">
        <is>
          <t>Top 10 clienți</t>
        </is>
      </c>
      <c r="I60" s="64" t="inlineStr">
        <is>
          <t>Venit net</t>
        </is>
      </c>
      <c r="K60" s="64" t="inlineStr">
        <is>
          <t>Top 10 produse</t>
        </is>
      </c>
      <c r="L60" s="64" t="inlineStr">
        <is>
          <t>Venit net</t>
        </is>
      </c>
      <c r="N60" s="64" t="inlineStr">
        <is>
          <t>Categorie NPS</t>
        </is>
      </c>
      <c r="O60" s="64" t="inlineStr">
        <is>
          <t>Răspunsuri</t>
        </is>
      </c>
      <c r="Q60" s="64" t="inlineStr">
        <is>
          <t>Prioritate</t>
        </is>
      </c>
      <c r="R60" s="64" t="inlineStr">
        <is>
          <t>Valoare ponderată</t>
        </is>
      </c>
    </row>
    <row r="61">
      <c r="A61" s="65">
        <f>DATE(YEAR('09_PARAMETRI'!$B$6),MONTH('09_PARAMETRI'!$B$6)+1-12,1)</f>
        <v/>
      </c>
      <c r="B61" s="66">
        <f>YEAR($A61)&amp;"-"&amp;RIGHT("0"&amp;MONTH($A61),2)</f>
        <v/>
      </c>
      <c r="C61" s="67">
        <f>SUMIFS('13_VANZARI'!$H$5:$H$1004,'13_VANZARI'!$A$5:$A$1004,"&gt;="&amp;$A61,'13_VANZARI'!$A$5:$A$1004,"&lt;="&amp;DATE(YEAR($A61),MONTH($A61)+1,0))</f>
        <v/>
      </c>
      <c r="D61" s="67">
        <f>SUMIFS('13_VANZARI'!$K$5:$K$1004,'13_VANZARI'!$A$5:$A$1004,"&gt;="&amp;$A61,'13_VANZARI'!$A$5:$A$1004,"&lt;="&amp;DATE(YEAR($A61),MONTH($A61)+1,0))</f>
        <v/>
      </c>
      <c r="E61" s="67">
        <f>SUMIFS('14_TINTE'!$E$5:$E$304,'14_TINTE'!$A$5:$A$304,"&gt;="&amp;$A61,'14_TINTE'!$A$5:$A$304,"&lt;="&amp;DATE(YEAR($A61),MONTH($A61)+1,0),'14_TINTE'!$D$5:$D$304,"Venit",'14_TINTE'!$B$5:$B$304,"Companie")</f>
        <v/>
      </c>
      <c r="F61" s="68">
        <f>IFERROR($D61/$C61,0)</f>
        <v/>
      </c>
      <c r="H61" s="66">
        <f>IFERROR(INDEX('21_ANALIZA_CLIENTI'!$B$5:$B$204,MATCH(LARGE('21_ANALIZA_CLIENTI'!$R$5:$R$204,1),'21_ANALIZA_CLIENTI'!$R$5:$R$204,0)),"")</f>
        <v/>
      </c>
      <c r="I61" s="67">
        <f>IFERROR(INDEX('21_ANALIZA_CLIENTI'!$E$5:$E$204,MATCH(LARGE('21_ANALIZA_CLIENTI'!$R$5:$R$204,1),'21_ANALIZA_CLIENTI'!$R$5:$R$204,0)),0)</f>
        <v/>
      </c>
      <c r="K61" s="66">
        <f>IFERROR(INDEX('22_ANALIZA_PRODUSE'!$B$5:$B$104,MATCH(LARGE('22_ANALIZA_PRODUSE'!$P$5:$P$104,1),'22_ANALIZA_PRODUSE'!$P$5:$P$104,0)),"")</f>
        <v/>
      </c>
      <c r="L61" s="67">
        <f>IFERROR(INDEX('22_ANALIZA_PRODUSE'!$D$5:$D$104,MATCH(LARGE('22_ANALIZA_PRODUSE'!$P$5:$P$104,1),'22_ANALIZA_PRODUSE'!$P$5:$P$104,0)),0)</f>
        <v/>
      </c>
      <c r="N61" s="66">
        <f>"Promotori (9-10)"</f>
        <v/>
      </c>
      <c r="O61" s="67">
        <f>SUMPRODUCT(('15_NPS'!$B$5:$B$504&gt;='09_PARAMETRI'!$B$5)*('15_NPS'!$B$5:$B$504&lt;='09_PARAMETRI'!$B$6)*('15_NPS'!$F$5:$F$504&gt;=9))</f>
        <v/>
      </c>
      <c r="Q61" s="66">
        <f>"HIGH"</f>
        <v/>
      </c>
      <c r="R61" s="67">
        <f>SUMIF('30_OPORTUNITATI'!$J$5:$J$64,"HIGH",'30_OPORTUNITATI'!$I$5:$I$64)</f>
        <v/>
      </c>
    </row>
    <row r="62">
      <c r="A62" s="65">
        <f>DATE(YEAR('09_PARAMETRI'!$B$6),MONTH('09_PARAMETRI'!$B$6)+2-12,1)</f>
        <v/>
      </c>
      <c r="B62" s="66">
        <f>YEAR($A62)&amp;"-"&amp;RIGHT("0"&amp;MONTH($A62),2)</f>
        <v/>
      </c>
      <c r="C62" s="67">
        <f>SUMIFS('13_VANZARI'!$H$5:$H$1004,'13_VANZARI'!$A$5:$A$1004,"&gt;="&amp;$A62,'13_VANZARI'!$A$5:$A$1004,"&lt;="&amp;DATE(YEAR($A62),MONTH($A62)+1,0))</f>
        <v/>
      </c>
      <c r="D62" s="67">
        <f>SUMIFS('13_VANZARI'!$K$5:$K$1004,'13_VANZARI'!$A$5:$A$1004,"&gt;="&amp;$A62,'13_VANZARI'!$A$5:$A$1004,"&lt;="&amp;DATE(YEAR($A62),MONTH($A62)+1,0))</f>
        <v/>
      </c>
      <c r="E62" s="67">
        <f>SUMIFS('14_TINTE'!$E$5:$E$304,'14_TINTE'!$A$5:$A$304,"&gt;="&amp;$A62,'14_TINTE'!$A$5:$A$304,"&lt;="&amp;DATE(YEAR($A62),MONTH($A62)+1,0),'14_TINTE'!$D$5:$D$304,"Venit",'14_TINTE'!$B$5:$B$304,"Companie")</f>
        <v/>
      </c>
      <c r="F62" s="68">
        <f>IFERROR($D62/$C62,0)</f>
        <v/>
      </c>
      <c r="H62" s="66">
        <f>IFERROR(INDEX('21_ANALIZA_CLIENTI'!$B$5:$B$204,MATCH(LARGE('21_ANALIZA_CLIENTI'!$R$5:$R$204,2),'21_ANALIZA_CLIENTI'!$R$5:$R$204,0)),"")</f>
        <v/>
      </c>
      <c r="I62" s="67">
        <f>IFERROR(INDEX('21_ANALIZA_CLIENTI'!$E$5:$E$204,MATCH(LARGE('21_ANALIZA_CLIENTI'!$R$5:$R$204,2),'21_ANALIZA_CLIENTI'!$R$5:$R$204,0)),0)</f>
        <v/>
      </c>
      <c r="K62" s="66">
        <f>IFERROR(INDEX('22_ANALIZA_PRODUSE'!$B$5:$B$104,MATCH(LARGE('22_ANALIZA_PRODUSE'!$P$5:$P$104,2),'22_ANALIZA_PRODUSE'!$P$5:$P$104,0)),"")</f>
        <v/>
      </c>
      <c r="L62" s="67">
        <f>IFERROR(INDEX('22_ANALIZA_PRODUSE'!$D$5:$D$104,MATCH(LARGE('22_ANALIZA_PRODUSE'!$P$5:$P$104,2),'22_ANALIZA_PRODUSE'!$P$5:$P$104,0)),0)</f>
        <v/>
      </c>
      <c r="N62" s="66">
        <f>"Pasivi (7-8)"</f>
        <v/>
      </c>
      <c r="O62" s="67">
        <f>SUMPRODUCT(('15_NPS'!$B$5:$B$504&gt;='09_PARAMETRI'!$B$5)*('15_NPS'!$B$5:$B$504&lt;='09_PARAMETRI'!$B$6)*('15_NPS'!$F$5:$F$504&gt;=7)*('15_NPS'!$F$5:$F$504&lt;=8))</f>
        <v/>
      </c>
      <c r="Q62" s="66">
        <f>"MEDIUM"</f>
        <v/>
      </c>
      <c r="R62" s="67">
        <f>SUMIF('30_OPORTUNITATI'!$J$5:$J$64,"MEDIUM",'30_OPORTUNITATI'!$I$5:$I$64)</f>
        <v/>
      </c>
    </row>
    <row r="63">
      <c r="A63" s="65">
        <f>DATE(YEAR('09_PARAMETRI'!$B$6),MONTH('09_PARAMETRI'!$B$6)+3-12,1)</f>
        <v/>
      </c>
      <c r="B63" s="66">
        <f>YEAR($A63)&amp;"-"&amp;RIGHT("0"&amp;MONTH($A63),2)</f>
        <v/>
      </c>
      <c r="C63" s="67">
        <f>SUMIFS('13_VANZARI'!$H$5:$H$1004,'13_VANZARI'!$A$5:$A$1004,"&gt;="&amp;$A63,'13_VANZARI'!$A$5:$A$1004,"&lt;="&amp;DATE(YEAR($A63),MONTH($A63)+1,0))</f>
        <v/>
      </c>
      <c r="D63" s="67">
        <f>SUMIFS('13_VANZARI'!$K$5:$K$1004,'13_VANZARI'!$A$5:$A$1004,"&gt;="&amp;$A63,'13_VANZARI'!$A$5:$A$1004,"&lt;="&amp;DATE(YEAR($A63),MONTH($A63)+1,0))</f>
        <v/>
      </c>
      <c r="E63" s="67">
        <f>SUMIFS('14_TINTE'!$E$5:$E$304,'14_TINTE'!$A$5:$A$304,"&gt;="&amp;$A63,'14_TINTE'!$A$5:$A$304,"&lt;="&amp;DATE(YEAR($A63),MONTH($A63)+1,0),'14_TINTE'!$D$5:$D$304,"Venit",'14_TINTE'!$B$5:$B$304,"Companie")</f>
        <v/>
      </c>
      <c r="F63" s="68">
        <f>IFERROR($D63/$C63,0)</f>
        <v/>
      </c>
      <c r="H63" s="66">
        <f>IFERROR(INDEX('21_ANALIZA_CLIENTI'!$B$5:$B$204,MATCH(LARGE('21_ANALIZA_CLIENTI'!$R$5:$R$204,3),'21_ANALIZA_CLIENTI'!$R$5:$R$204,0)),"")</f>
        <v/>
      </c>
      <c r="I63" s="67">
        <f>IFERROR(INDEX('21_ANALIZA_CLIENTI'!$E$5:$E$204,MATCH(LARGE('21_ANALIZA_CLIENTI'!$R$5:$R$204,3),'21_ANALIZA_CLIENTI'!$R$5:$R$204,0)),0)</f>
        <v/>
      </c>
      <c r="K63" s="66">
        <f>IFERROR(INDEX('22_ANALIZA_PRODUSE'!$B$5:$B$104,MATCH(LARGE('22_ANALIZA_PRODUSE'!$P$5:$P$104,3),'22_ANALIZA_PRODUSE'!$P$5:$P$104,0)),"")</f>
        <v/>
      </c>
      <c r="L63" s="67">
        <f>IFERROR(INDEX('22_ANALIZA_PRODUSE'!$D$5:$D$104,MATCH(LARGE('22_ANALIZA_PRODUSE'!$P$5:$P$104,3),'22_ANALIZA_PRODUSE'!$P$5:$P$104,0)),0)</f>
        <v/>
      </c>
      <c r="N63" s="66">
        <f>"Detractori (0-6)"</f>
        <v/>
      </c>
      <c r="O63" s="67">
        <f>SUMPRODUCT(('15_NPS'!$B$5:$B$504&gt;='09_PARAMETRI'!$B$5)*('15_NPS'!$B$5:$B$504&lt;='09_PARAMETRI'!$B$6)*('15_NPS'!$F$5:$F$504&lt;=6)*('15_NPS'!$F$5:$F$504&lt;&gt;""))</f>
        <v/>
      </c>
      <c r="Q63" s="66">
        <f>"LOW"</f>
        <v/>
      </c>
      <c r="R63" s="67">
        <f>SUMIF('30_OPORTUNITATI'!$J$5:$J$64,"LOW",'30_OPORTUNITATI'!$I$5:$I$64)</f>
        <v/>
      </c>
    </row>
    <row r="64">
      <c r="A64" s="65">
        <f>DATE(YEAR('09_PARAMETRI'!$B$6),MONTH('09_PARAMETRI'!$B$6)+4-12,1)</f>
        <v/>
      </c>
      <c r="B64" s="66">
        <f>YEAR($A64)&amp;"-"&amp;RIGHT("0"&amp;MONTH($A64),2)</f>
        <v/>
      </c>
      <c r="C64" s="67">
        <f>SUMIFS('13_VANZARI'!$H$5:$H$1004,'13_VANZARI'!$A$5:$A$1004,"&gt;="&amp;$A64,'13_VANZARI'!$A$5:$A$1004,"&lt;="&amp;DATE(YEAR($A64),MONTH($A64)+1,0))</f>
        <v/>
      </c>
      <c r="D64" s="67">
        <f>SUMIFS('13_VANZARI'!$K$5:$K$1004,'13_VANZARI'!$A$5:$A$1004,"&gt;="&amp;$A64,'13_VANZARI'!$A$5:$A$1004,"&lt;="&amp;DATE(YEAR($A64),MONTH($A64)+1,0))</f>
        <v/>
      </c>
      <c r="E64" s="67">
        <f>SUMIFS('14_TINTE'!$E$5:$E$304,'14_TINTE'!$A$5:$A$304,"&gt;="&amp;$A64,'14_TINTE'!$A$5:$A$304,"&lt;="&amp;DATE(YEAR($A64),MONTH($A64)+1,0),'14_TINTE'!$D$5:$D$304,"Venit",'14_TINTE'!$B$5:$B$304,"Companie")</f>
        <v/>
      </c>
      <c r="F64" s="68">
        <f>IFERROR($D64/$C64,0)</f>
        <v/>
      </c>
      <c r="H64" s="66">
        <f>IFERROR(INDEX('21_ANALIZA_CLIENTI'!$B$5:$B$204,MATCH(LARGE('21_ANALIZA_CLIENTI'!$R$5:$R$204,4),'21_ANALIZA_CLIENTI'!$R$5:$R$204,0)),"")</f>
        <v/>
      </c>
      <c r="I64" s="67">
        <f>IFERROR(INDEX('21_ANALIZA_CLIENTI'!$E$5:$E$204,MATCH(LARGE('21_ANALIZA_CLIENTI'!$R$5:$R$204,4),'21_ANALIZA_CLIENTI'!$R$5:$R$204,0)),0)</f>
        <v/>
      </c>
      <c r="K64" s="66">
        <f>IFERROR(INDEX('22_ANALIZA_PRODUSE'!$B$5:$B$104,MATCH(LARGE('22_ANALIZA_PRODUSE'!$P$5:$P$104,4),'22_ANALIZA_PRODUSE'!$P$5:$P$104,0)),"")</f>
        <v/>
      </c>
      <c r="L64" s="67">
        <f>IFERROR(INDEX('22_ANALIZA_PRODUSE'!$D$5:$D$104,MATCH(LARGE('22_ANALIZA_PRODUSE'!$P$5:$P$104,4),'22_ANALIZA_PRODUSE'!$P$5:$P$104,0)),0)</f>
        <v/>
      </c>
    </row>
    <row r="65">
      <c r="A65" s="65">
        <f>DATE(YEAR('09_PARAMETRI'!$B$6),MONTH('09_PARAMETRI'!$B$6)+5-12,1)</f>
        <v/>
      </c>
      <c r="B65" s="66">
        <f>YEAR($A65)&amp;"-"&amp;RIGHT("0"&amp;MONTH($A65),2)</f>
        <v/>
      </c>
      <c r="C65" s="67">
        <f>SUMIFS('13_VANZARI'!$H$5:$H$1004,'13_VANZARI'!$A$5:$A$1004,"&gt;="&amp;$A65,'13_VANZARI'!$A$5:$A$1004,"&lt;="&amp;DATE(YEAR($A65),MONTH($A65)+1,0))</f>
        <v/>
      </c>
      <c r="D65" s="67">
        <f>SUMIFS('13_VANZARI'!$K$5:$K$1004,'13_VANZARI'!$A$5:$A$1004,"&gt;="&amp;$A65,'13_VANZARI'!$A$5:$A$1004,"&lt;="&amp;DATE(YEAR($A65),MONTH($A65)+1,0))</f>
        <v/>
      </c>
      <c r="E65" s="67">
        <f>SUMIFS('14_TINTE'!$E$5:$E$304,'14_TINTE'!$A$5:$A$304,"&gt;="&amp;$A65,'14_TINTE'!$A$5:$A$304,"&lt;="&amp;DATE(YEAR($A65),MONTH($A65)+1,0),'14_TINTE'!$D$5:$D$304,"Venit",'14_TINTE'!$B$5:$B$304,"Companie")</f>
        <v/>
      </c>
      <c r="F65" s="68">
        <f>IFERROR($D65/$C65,0)</f>
        <v/>
      </c>
      <c r="H65" s="66">
        <f>IFERROR(INDEX('21_ANALIZA_CLIENTI'!$B$5:$B$204,MATCH(LARGE('21_ANALIZA_CLIENTI'!$R$5:$R$204,5),'21_ANALIZA_CLIENTI'!$R$5:$R$204,0)),"")</f>
        <v/>
      </c>
      <c r="I65" s="67">
        <f>IFERROR(INDEX('21_ANALIZA_CLIENTI'!$E$5:$E$204,MATCH(LARGE('21_ANALIZA_CLIENTI'!$R$5:$R$204,5),'21_ANALIZA_CLIENTI'!$R$5:$R$204,0)),0)</f>
        <v/>
      </c>
      <c r="K65" s="66">
        <f>IFERROR(INDEX('22_ANALIZA_PRODUSE'!$B$5:$B$104,MATCH(LARGE('22_ANALIZA_PRODUSE'!$P$5:$P$104,5),'22_ANALIZA_PRODUSE'!$P$5:$P$104,0)),"")</f>
        <v/>
      </c>
      <c r="L65" s="67">
        <f>IFERROR(INDEX('22_ANALIZA_PRODUSE'!$D$5:$D$104,MATCH(LARGE('22_ANALIZA_PRODUSE'!$P$5:$P$104,5),'22_ANALIZA_PRODUSE'!$P$5:$P$104,0)),0)</f>
        <v/>
      </c>
    </row>
    <row r="66">
      <c r="A66" s="65">
        <f>DATE(YEAR('09_PARAMETRI'!$B$6),MONTH('09_PARAMETRI'!$B$6)+6-12,1)</f>
        <v/>
      </c>
      <c r="B66" s="66">
        <f>YEAR($A66)&amp;"-"&amp;RIGHT("0"&amp;MONTH($A66),2)</f>
        <v/>
      </c>
      <c r="C66" s="67">
        <f>SUMIFS('13_VANZARI'!$H$5:$H$1004,'13_VANZARI'!$A$5:$A$1004,"&gt;="&amp;$A66,'13_VANZARI'!$A$5:$A$1004,"&lt;="&amp;DATE(YEAR($A66),MONTH($A66)+1,0))</f>
        <v/>
      </c>
      <c r="D66" s="67">
        <f>SUMIFS('13_VANZARI'!$K$5:$K$1004,'13_VANZARI'!$A$5:$A$1004,"&gt;="&amp;$A66,'13_VANZARI'!$A$5:$A$1004,"&lt;="&amp;DATE(YEAR($A66),MONTH($A66)+1,0))</f>
        <v/>
      </c>
      <c r="E66" s="67">
        <f>SUMIFS('14_TINTE'!$E$5:$E$304,'14_TINTE'!$A$5:$A$304,"&gt;="&amp;$A66,'14_TINTE'!$A$5:$A$304,"&lt;="&amp;DATE(YEAR($A66),MONTH($A66)+1,0),'14_TINTE'!$D$5:$D$304,"Venit",'14_TINTE'!$B$5:$B$304,"Companie")</f>
        <v/>
      </c>
      <c r="F66" s="68">
        <f>IFERROR($D66/$C66,0)</f>
        <v/>
      </c>
      <c r="H66" s="66">
        <f>IFERROR(INDEX('21_ANALIZA_CLIENTI'!$B$5:$B$204,MATCH(LARGE('21_ANALIZA_CLIENTI'!$R$5:$R$204,6),'21_ANALIZA_CLIENTI'!$R$5:$R$204,0)),"")</f>
        <v/>
      </c>
      <c r="I66" s="67">
        <f>IFERROR(INDEX('21_ANALIZA_CLIENTI'!$E$5:$E$204,MATCH(LARGE('21_ANALIZA_CLIENTI'!$R$5:$R$204,6),'21_ANALIZA_CLIENTI'!$R$5:$R$204,0)),0)</f>
        <v/>
      </c>
      <c r="K66" s="66">
        <f>IFERROR(INDEX('22_ANALIZA_PRODUSE'!$B$5:$B$104,MATCH(LARGE('22_ANALIZA_PRODUSE'!$P$5:$P$104,6),'22_ANALIZA_PRODUSE'!$P$5:$P$104,0)),"")</f>
        <v/>
      </c>
      <c r="L66" s="67">
        <f>IFERROR(INDEX('22_ANALIZA_PRODUSE'!$D$5:$D$104,MATCH(LARGE('22_ANALIZA_PRODUSE'!$P$5:$P$104,6),'22_ANALIZA_PRODUSE'!$P$5:$P$104,0)),0)</f>
        <v/>
      </c>
    </row>
    <row r="67">
      <c r="A67" s="65">
        <f>DATE(YEAR('09_PARAMETRI'!$B$6),MONTH('09_PARAMETRI'!$B$6)+7-12,1)</f>
        <v/>
      </c>
      <c r="B67" s="66">
        <f>YEAR($A67)&amp;"-"&amp;RIGHT("0"&amp;MONTH($A67),2)</f>
        <v/>
      </c>
      <c r="C67" s="67">
        <f>SUMIFS('13_VANZARI'!$H$5:$H$1004,'13_VANZARI'!$A$5:$A$1004,"&gt;="&amp;$A67,'13_VANZARI'!$A$5:$A$1004,"&lt;="&amp;DATE(YEAR($A67),MONTH($A67)+1,0))</f>
        <v/>
      </c>
      <c r="D67" s="67">
        <f>SUMIFS('13_VANZARI'!$K$5:$K$1004,'13_VANZARI'!$A$5:$A$1004,"&gt;="&amp;$A67,'13_VANZARI'!$A$5:$A$1004,"&lt;="&amp;DATE(YEAR($A67),MONTH($A67)+1,0))</f>
        <v/>
      </c>
      <c r="E67" s="67">
        <f>SUMIFS('14_TINTE'!$E$5:$E$304,'14_TINTE'!$A$5:$A$304,"&gt;="&amp;$A67,'14_TINTE'!$A$5:$A$304,"&lt;="&amp;DATE(YEAR($A67),MONTH($A67)+1,0),'14_TINTE'!$D$5:$D$304,"Venit",'14_TINTE'!$B$5:$B$304,"Companie")</f>
        <v/>
      </c>
      <c r="F67" s="68">
        <f>IFERROR($D67/$C67,0)</f>
        <v/>
      </c>
      <c r="H67" s="66">
        <f>IFERROR(INDEX('21_ANALIZA_CLIENTI'!$B$5:$B$204,MATCH(LARGE('21_ANALIZA_CLIENTI'!$R$5:$R$204,7),'21_ANALIZA_CLIENTI'!$R$5:$R$204,0)),"")</f>
        <v/>
      </c>
      <c r="I67" s="67">
        <f>IFERROR(INDEX('21_ANALIZA_CLIENTI'!$E$5:$E$204,MATCH(LARGE('21_ANALIZA_CLIENTI'!$R$5:$R$204,7),'21_ANALIZA_CLIENTI'!$R$5:$R$204,0)),0)</f>
        <v/>
      </c>
      <c r="K67" s="66">
        <f>IFERROR(INDEX('22_ANALIZA_PRODUSE'!$B$5:$B$104,MATCH(LARGE('22_ANALIZA_PRODUSE'!$P$5:$P$104,7),'22_ANALIZA_PRODUSE'!$P$5:$P$104,0)),"")</f>
        <v/>
      </c>
      <c r="L67" s="67">
        <f>IFERROR(INDEX('22_ANALIZA_PRODUSE'!$D$5:$D$104,MATCH(LARGE('22_ANALIZA_PRODUSE'!$P$5:$P$104,7),'22_ANALIZA_PRODUSE'!$P$5:$P$104,0)),0)</f>
        <v/>
      </c>
    </row>
    <row r="68">
      <c r="A68" s="65">
        <f>DATE(YEAR('09_PARAMETRI'!$B$6),MONTH('09_PARAMETRI'!$B$6)+8-12,1)</f>
        <v/>
      </c>
      <c r="B68" s="66">
        <f>YEAR($A68)&amp;"-"&amp;RIGHT("0"&amp;MONTH($A68),2)</f>
        <v/>
      </c>
      <c r="C68" s="67">
        <f>SUMIFS('13_VANZARI'!$H$5:$H$1004,'13_VANZARI'!$A$5:$A$1004,"&gt;="&amp;$A68,'13_VANZARI'!$A$5:$A$1004,"&lt;="&amp;DATE(YEAR($A68),MONTH($A68)+1,0))</f>
        <v/>
      </c>
      <c r="D68" s="67">
        <f>SUMIFS('13_VANZARI'!$K$5:$K$1004,'13_VANZARI'!$A$5:$A$1004,"&gt;="&amp;$A68,'13_VANZARI'!$A$5:$A$1004,"&lt;="&amp;DATE(YEAR($A68),MONTH($A68)+1,0))</f>
        <v/>
      </c>
      <c r="E68" s="67">
        <f>SUMIFS('14_TINTE'!$E$5:$E$304,'14_TINTE'!$A$5:$A$304,"&gt;="&amp;$A68,'14_TINTE'!$A$5:$A$304,"&lt;="&amp;DATE(YEAR($A68),MONTH($A68)+1,0),'14_TINTE'!$D$5:$D$304,"Venit",'14_TINTE'!$B$5:$B$304,"Companie")</f>
        <v/>
      </c>
      <c r="F68" s="68">
        <f>IFERROR($D68/$C68,0)</f>
        <v/>
      </c>
      <c r="H68" s="66">
        <f>IFERROR(INDEX('21_ANALIZA_CLIENTI'!$B$5:$B$204,MATCH(LARGE('21_ANALIZA_CLIENTI'!$R$5:$R$204,8),'21_ANALIZA_CLIENTI'!$R$5:$R$204,0)),"")</f>
        <v/>
      </c>
      <c r="I68" s="67">
        <f>IFERROR(INDEX('21_ANALIZA_CLIENTI'!$E$5:$E$204,MATCH(LARGE('21_ANALIZA_CLIENTI'!$R$5:$R$204,8),'21_ANALIZA_CLIENTI'!$R$5:$R$204,0)),0)</f>
        <v/>
      </c>
      <c r="K68" s="66">
        <f>IFERROR(INDEX('22_ANALIZA_PRODUSE'!$B$5:$B$104,MATCH(LARGE('22_ANALIZA_PRODUSE'!$P$5:$P$104,8),'22_ANALIZA_PRODUSE'!$P$5:$P$104,0)),"")</f>
        <v/>
      </c>
      <c r="L68" s="67">
        <f>IFERROR(INDEX('22_ANALIZA_PRODUSE'!$D$5:$D$104,MATCH(LARGE('22_ANALIZA_PRODUSE'!$P$5:$P$104,8),'22_ANALIZA_PRODUSE'!$P$5:$P$104,0)),0)</f>
        <v/>
      </c>
    </row>
    <row r="69">
      <c r="A69" s="65">
        <f>DATE(YEAR('09_PARAMETRI'!$B$6),MONTH('09_PARAMETRI'!$B$6)+9-12,1)</f>
        <v/>
      </c>
      <c r="B69" s="66">
        <f>YEAR($A69)&amp;"-"&amp;RIGHT("0"&amp;MONTH($A69),2)</f>
        <v/>
      </c>
      <c r="C69" s="67">
        <f>SUMIFS('13_VANZARI'!$H$5:$H$1004,'13_VANZARI'!$A$5:$A$1004,"&gt;="&amp;$A69,'13_VANZARI'!$A$5:$A$1004,"&lt;="&amp;DATE(YEAR($A69),MONTH($A69)+1,0))</f>
        <v/>
      </c>
      <c r="D69" s="67">
        <f>SUMIFS('13_VANZARI'!$K$5:$K$1004,'13_VANZARI'!$A$5:$A$1004,"&gt;="&amp;$A69,'13_VANZARI'!$A$5:$A$1004,"&lt;="&amp;DATE(YEAR($A69),MONTH($A69)+1,0))</f>
        <v/>
      </c>
      <c r="E69" s="67">
        <f>SUMIFS('14_TINTE'!$E$5:$E$304,'14_TINTE'!$A$5:$A$304,"&gt;="&amp;$A69,'14_TINTE'!$A$5:$A$304,"&lt;="&amp;DATE(YEAR($A69),MONTH($A69)+1,0),'14_TINTE'!$D$5:$D$304,"Venit",'14_TINTE'!$B$5:$B$304,"Companie")</f>
        <v/>
      </c>
      <c r="F69" s="68">
        <f>IFERROR($D69/$C69,0)</f>
        <v/>
      </c>
      <c r="H69" s="66">
        <f>IFERROR(INDEX('21_ANALIZA_CLIENTI'!$B$5:$B$204,MATCH(LARGE('21_ANALIZA_CLIENTI'!$R$5:$R$204,9),'21_ANALIZA_CLIENTI'!$R$5:$R$204,0)),"")</f>
        <v/>
      </c>
      <c r="I69" s="67">
        <f>IFERROR(INDEX('21_ANALIZA_CLIENTI'!$E$5:$E$204,MATCH(LARGE('21_ANALIZA_CLIENTI'!$R$5:$R$204,9),'21_ANALIZA_CLIENTI'!$R$5:$R$204,0)),0)</f>
        <v/>
      </c>
      <c r="K69" s="66">
        <f>IFERROR(INDEX('22_ANALIZA_PRODUSE'!$B$5:$B$104,MATCH(LARGE('22_ANALIZA_PRODUSE'!$P$5:$P$104,9),'22_ANALIZA_PRODUSE'!$P$5:$P$104,0)),"")</f>
        <v/>
      </c>
      <c r="L69" s="67">
        <f>IFERROR(INDEX('22_ANALIZA_PRODUSE'!$D$5:$D$104,MATCH(LARGE('22_ANALIZA_PRODUSE'!$P$5:$P$104,9),'22_ANALIZA_PRODUSE'!$P$5:$P$104,0)),0)</f>
        <v/>
      </c>
    </row>
    <row r="70">
      <c r="A70" s="65">
        <f>DATE(YEAR('09_PARAMETRI'!$B$6),MONTH('09_PARAMETRI'!$B$6)+10-12,1)</f>
        <v/>
      </c>
      <c r="B70" s="66">
        <f>YEAR($A70)&amp;"-"&amp;RIGHT("0"&amp;MONTH($A70),2)</f>
        <v/>
      </c>
      <c r="C70" s="67">
        <f>SUMIFS('13_VANZARI'!$H$5:$H$1004,'13_VANZARI'!$A$5:$A$1004,"&gt;="&amp;$A70,'13_VANZARI'!$A$5:$A$1004,"&lt;="&amp;DATE(YEAR($A70),MONTH($A70)+1,0))</f>
        <v/>
      </c>
      <c r="D70" s="67">
        <f>SUMIFS('13_VANZARI'!$K$5:$K$1004,'13_VANZARI'!$A$5:$A$1004,"&gt;="&amp;$A70,'13_VANZARI'!$A$5:$A$1004,"&lt;="&amp;DATE(YEAR($A70),MONTH($A70)+1,0))</f>
        <v/>
      </c>
      <c r="E70" s="67">
        <f>SUMIFS('14_TINTE'!$E$5:$E$304,'14_TINTE'!$A$5:$A$304,"&gt;="&amp;$A70,'14_TINTE'!$A$5:$A$304,"&lt;="&amp;DATE(YEAR($A70),MONTH($A70)+1,0),'14_TINTE'!$D$5:$D$304,"Venit",'14_TINTE'!$B$5:$B$304,"Companie")</f>
        <v/>
      </c>
      <c r="F70" s="68">
        <f>IFERROR($D70/$C70,0)</f>
        <v/>
      </c>
      <c r="H70" s="66">
        <f>IFERROR(INDEX('21_ANALIZA_CLIENTI'!$B$5:$B$204,MATCH(LARGE('21_ANALIZA_CLIENTI'!$R$5:$R$204,10),'21_ANALIZA_CLIENTI'!$R$5:$R$204,0)),"")</f>
        <v/>
      </c>
      <c r="I70" s="67">
        <f>IFERROR(INDEX('21_ANALIZA_CLIENTI'!$E$5:$E$204,MATCH(LARGE('21_ANALIZA_CLIENTI'!$R$5:$R$204,10),'21_ANALIZA_CLIENTI'!$R$5:$R$204,0)),0)</f>
        <v/>
      </c>
      <c r="K70" s="66">
        <f>IFERROR(INDEX('22_ANALIZA_PRODUSE'!$B$5:$B$104,MATCH(LARGE('22_ANALIZA_PRODUSE'!$P$5:$P$104,10),'22_ANALIZA_PRODUSE'!$P$5:$P$104,0)),"")</f>
        <v/>
      </c>
      <c r="L70" s="67">
        <f>IFERROR(INDEX('22_ANALIZA_PRODUSE'!$D$5:$D$104,MATCH(LARGE('22_ANALIZA_PRODUSE'!$P$5:$P$104,10),'22_ANALIZA_PRODUSE'!$P$5:$P$104,0)),0)</f>
        <v/>
      </c>
    </row>
    <row r="71">
      <c r="A71" s="65">
        <f>DATE(YEAR('09_PARAMETRI'!$B$6),MONTH('09_PARAMETRI'!$B$6)+11-12,1)</f>
        <v/>
      </c>
      <c r="B71" s="66">
        <f>YEAR($A71)&amp;"-"&amp;RIGHT("0"&amp;MONTH($A71),2)</f>
        <v/>
      </c>
      <c r="C71" s="67">
        <f>SUMIFS('13_VANZARI'!$H$5:$H$1004,'13_VANZARI'!$A$5:$A$1004,"&gt;="&amp;$A71,'13_VANZARI'!$A$5:$A$1004,"&lt;="&amp;DATE(YEAR($A71),MONTH($A71)+1,0))</f>
        <v/>
      </c>
      <c r="D71" s="67">
        <f>SUMIFS('13_VANZARI'!$K$5:$K$1004,'13_VANZARI'!$A$5:$A$1004,"&gt;="&amp;$A71,'13_VANZARI'!$A$5:$A$1004,"&lt;="&amp;DATE(YEAR($A71),MONTH($A71)+1,0))</f>
        <v/>
      </c>
      <c r="E71" s="67">
        <f>SUMIFS('14_TINTE'!$E$5:$E$304,'14_TINTE'!$A$5:$A$304,"&gt;="&amp;$A71,'14_TINTE'!$A$5:$A$304,"&lt;="&amp;DATE(YEAR($A71),MONTH($A71)+1,0),'14_TINTE'!$D$5:$D$304,"Venit",'14_TINTE'!$B$5:$B$304,"Companie")</f>
        <v/>
      </c>
      <c r="F71" s="68">
        <f>IFERROR($D71/$C71,0)</f>
        <v/>
      </c>
    </row>
    <row r="72">
      <c r="A72" s="65">
        <f>DATE(YEAR('09_PARAMETRI'!$B$6),MONTH('09_PARAMETRI'!$B$6)+12-12,1)</f>
        <v/>
      </c>
      <c r="B72" s="66">
        <f>YEAR($A72)&amp;"-"&amp;RIGHT("0"&amp;MONTH($A72),2)</f>
        <v/>
      </c>
      <c r="C72" s="67">
        <f>SUMIFS('13_VANZARI'!$H$5:$H$1004,'13_VANZARI'!$A$5:$A$1004,"&gt;="&amp;$A72,'13_VANZARI'!$A$5:$A$1004,"&lt;="&amp;DATE(YEAR($A72),MONTH($A72)+1,0))</f>
        <v/>
      </c>
      <c r="D72" s="67">
        <f>SUMIFS('13_VANZARI'!$K$5:$K$1004,'13_VANZARI'!$A$5:$A$1004,"&gt;="&amp;$A72,'13_VANZARI'!$A$5:$A$1004,"&lt;="&amp;DATE(YEAR($A72),MONTH($A72)+1,0))</f>
        <v/>
      </c>
      <c r="E72" s="67">
        <f>SUMIFS('14_TINTE'!$E$5:$E$304,'14_TINTE'!$A$5:$A$304,"&gt;="&amp;$A72,'14_TINTE'!$A$5:$A$304,"&lt;="&amp;DATE(YEAR($A72),MONTH($A72)+1,0),'14_TINTE'!$D$5:$D$304,"Venit",'14_TINTE'!$B$5:$B$304,"Companie")</f>
        <v/>
      </c>
      <c r="F72" s="68">
        <f>IFERROR($D72/$C72,0)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  <col width="20" customWidth="1" min="6" max="6"/>
    <col width="16" customWidth="1" min="7" max="7"/>
    <col width="23" customWidth="1" min="8" max="8"/>
    <col width="16" customWidth="1" min="9" max="9"/>
    <col width="16" customWidth="1" min="10" max="10"/>
    <col width="17" customWidth="1" min="11" max="11"/>
    <col width="16" customWidth="1" min="12" max="12"/>
    <col width="18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9" customWidth="1" min="19" max="19"/>
  </cols>
  <sheetData>
    <row r="1" ht="22" customHeight="1">
      <c r="A1" s="69" t="inlineStr">
        <is>
          <t>Roluri</t>
        </is>
      </c>
      <c r="B1" s="69" t="inlineStr">
        <is>
          <t>Status_date</t>
        </is>
      </c>
      <c r="C1" s="69" t="inlineStr">
        <is>
          <t>Obligativitate</t>
        </is>
      </c>
      <c r="D1" s="69" t="inlineStr">
        <is>
          <t>Segment_client</t>
        </is>
      </c>
      <c r="E1" s="69" t="inlineStr">
        <is>
          <t>Canal</t>
        </is>
      </c>
      <c r="F1" s="69" t="inlineStr">
        <is>
          <t>Tip_oportunitate</t>
        </is>
      </c>
      <c r="G1" s="69" t="inlineStr">
        <is>
          <t>Prioritate</t>
        </is>
      </c>
      <c r="H1" s="69" t="inlineStr">
        <is>
          <t>Status_oportunitate</t>
        </is>
      </c>
      <c r="I1" s="69" t="inlineStr">
        <is>
          <t>Set_de_date</t>
        </is>
      </c>
      <c r="J1" s="69" t="inlineStr">
        <is>
          <t>Sursa_date</t>
        </is>
      </c>
      <c r="K1" s="69" t="inlineStr">
        <is>
          <t>Metrica_tinta</t>
        </is>
      </c>
      <c r="L1" s="69" t="inlineStr">
        <is>
          <t>Nivel_tinta</t>
        </is>
      </c>
      <c r="M1" s="69" t="inlineStr">
        <is>
          <t>Status_generic</t>
        </is>
      </c>
      <c r="N1" s="69" t="inlineStr">
        <is>
          <t>Da_Nu</t>
        </is>
      </c>
      <c r="O1" s="69" t="inlineStr">
        <is>
          <t>Categorie_NPS</t>
        </is>
      </c>
      <c r="P1" s="69" t="inlineStr">
        <is>
          <t>Tema_NPS</t>
        </is>
      </c>
      <c r="Q1" s="69" t="inlineStr">
        <is>
          <t>Tip_document</t>
        </is>
      </c>
      <c r="R1" s="69" t="inlineStr">
        <is>
          <t>Moneda</t>
        </is>
      </c>
      <c r="S1" s="69" t="inlineStr">
        <is>
          <t>Status_followup</t>
        </is>
      </c>
    </row>
    <row r="2">
      <c r="A2" s="70" t="inlineStr">
        <is>
          <t>CEO / Administrator</t>
        </is>
      </c>
      <c r="B2" s="70" t="inlineStr">
        <is>
          <t>Nesolicitat</t>
        </is>
      </c>
      <c r="C2" s="70" t="inlineStr">
        <is>
          <t>Obligatoriu</t>
        </is>
      </c>
      <c r="D2" s="70" t="inlineStr">
        <is>
          <t>Key Account</t>
        </is>
      </c>
      <c r="E2" s="70" t="inlineStr">
        <is>
          <t>Retail</t>
        </is>
      </c>
      <c r="F2" s="70" t="inlineStr">
        <is>
          <t>Recuperare client</t>
        </is>
      </c>
      <c r="G2" s="70" t="inlineStr">
        <is>
          <t>HIGH</t>
        </is>
      </c>
      <c r="H2" s="70" t="inlineStr">
        <is>
          <t>Identificată</t>
        </is>
      </c>
      <c r="I2" s="70" t="inlineStr">
        <is>
          <t>Profil firmă</t>
        </is>
      </c>
      <c r="J2" s="70" t="inlineStr">
        <is>
          <t>ERP / Facturare</t>
        </is>
      </c>
      <c r="K2" s="70" t="inlineStr">
        <is>
          <t>Venit</t>
        </is>
      </c>
      <c r="L2" s="70" t="inlineStr">
        <is>
          <t>Companie</t>
        </is>
      </c>
      <c r="M2" s="70" t="inlineStr">
        <is>
          <t>Activ</t>
        </is>
      </c>
      <c r="N2" s="70" t="inlineStr">
        <is>
          <t>Da</t>
        </is>
      </c>
      <c r="O2" s="70" t="inlineStr">
        <is>
          <t>Promotor</t>
        </is>
      </c>
      <c r="P2" s="70" t="inlineStr">
        <is>
          <t>Preț</t>
        </is>
      </c>
      <c r="Q2" s="70" t="inlineStr">
        <is>
          <t>Factură</t>
        </is>
      </c>
      <c r="R2" s="70" t="inlineStr">
        <is>
          <t>RON</t>
        </is>
      </c>
      <c r="S2" s="70" t="inlineStr">
        <is>
          <t>Neînceput</t>
        </is>
      </c>
    </row>
    <row r="3">
      <c r="A3" s="70" t="inlineStr">
        <is>
          <t>CFO / Contabilitate</t>
        </is>
      </c>
      <c r="B3" s="70" t="inlineStr">
        <is>
          <t>Solicitat</t>
        </is>
      </c>
      <c r="C3" s="70" t="inlineStr">
        <is>
          <t>Recomandat</t>
        </is>
      </c>
      <c r="D3" s="70" t="inlineStr">
        <is>
          <t>Mid-market</t>
        </is>
      </c>
      <c r="E3" s="70" t="inlineStr">
        <is>
          <t>Wholesale</t>
        </is>
      </c>
      <c r="F3" s="70" t="inlineStr">
        <is>
          <t>Cross-sell</t>
        </is>
      </c>
      <c r="G3" s="70" t="inlineStr">
        <is>
          <t>MEDIUM</t>
        </is>
      </c>
      <c r="H3" s="70" t="inlineStr">
        <is>
          <t>Validată cu clientul</t>
        </is>
      </c>
      <c r="I3" s="70" t="inlineStr">
        <is>
          <t>Clienți</t>
        </is>
      </c>
      <c r="J3" s="70" t="inlineStr">
        <is>
          <t>CRM</t>
        </is>
      </c>
      <c r="K3" s="70" t="inlineStr">
        <is>
          <t>Profit brut</t>
        </is>
      </c>
      <c r="L3" s="70" t="inlineStr">
        <is>
          <t>Persoană</t>
        </is>
      </c>
      <c r="M3" s="70" t="inlineStr">
        <is>
          <t>Inactiv</t>
        </is>
      </c>
      <c r="N3" s="70" t="inlineStr">
        <is>
          <t>Nu</t>
        </is>
      </c>
      <c r="O3" s="70" t="inlineStr">
        <is>
          <t>Pasiv</t>
        </is>
      </c>
      <c r="P3" s="70" t="inlineStr">
        <is>
          <t>Calitate</t>
        </is>
      </c>
      <c r="Q3" s="70" t="inlineStr">
        <is>
          <t>Storno</t>
        </is>
      </c>
      <c r="R3" s="70" t="inlineStr">
        <is>
          <t>EUR</t>
        </is>
      </c>
      <c r="S3" s="70" t="inlineStr">
        <is>
          <t>În lucru</t>
        </is>
      </c>
    </row>
    <row r="4">
      <c r="A4" s="70" t="inlineStr">
        <is>
          <t>Director Vânzări</t>
        </is>
      </c>
      <c r="B4" s="70" t="inlineStr">
        <is>
          <t>Primit parțial</t>
        </is>
      </c>
      <c r="C4" s="70" t="inlineStr">
        <is>
          <t>Opțional</t>
        </is>
      </c>
      <c r="D4" s="70" t="inlineStr">
        <is>
          <t>Small</t>
        </is>
      </c>
      <c r="E4" s="70" t="inlineStr">
        <is>
          <t>Online</t>
        </is>
      </c>
      <c r="F4" s="70" t="inlineStr">
        <is>
          <t>Up-sell</t>
        </is>
      </c>
      <c r="G4" s="70" t="inlineStr">
        <is>
          <t>LOW</t>
        </is>
      </c>
      <c r="H4" s="70" t="inlineStr">
        <is>
          <t>În execuție</t>
        </is>
      </c>
      <c r="I4" s="70" t="inlineStr">
        <is>
          <t>Produse</t>
        </is>
      </c>
      <c r="J4" s="70" t="inlineStr">
        <is>
          <t>Excel intern</t>
        </is>
      </c>
      <c r="K4" s="70" t="inlineStr">
        <is>
          <t>Unități</t>
        </is>
      </c>
      <c r="L4" s="70" t="inlineStr">
        <is>
          <t>Produs</t>
        </is>
      </c>
      <c r="M4" s="70" t="inlineStr">
        <is>
          <t>Prospect</t>
        </is>
      </c>
      <c r="O4" s="70" t="inlineStr">
        <is>
          <t>Detractor</t>
        </is>
      </c>
      <c r="P4" s="70" t="inlineStr">
        <is>
          <t>Livrare</t>
        </is>
      </c>
      <c r="Q4" s="70" t="inlineStr">
        <is>
          <t>Avans</t>
        </is>
      </c>
      <c r="R4" s="70" t="inlineStr">
        <is>
          <t>USD</t>
        </is>
      </c>
      <c r="S4" s="70" t="inlineStr">
        <is>
          <t>Rezolvat</t>
        </is>
      </c>
    </row>
    <row r="5">
      <c r="A5" s="70" t="inlineStr">
        <is>
          <t>Sales Ops / CRM</t>
        </is>
      </c>
      <c r="B5" s="70" t="inlineStr">
        <is>
          <t>Primit</t>
        </is>
      </c>
      <c r="C5" s="70" t="inlineStr">
        <is>
          <t>Auto</t>
        </is>
      </c>
      <c r="D5" s="70" t="inlineStr">
        <is>
          <t>Online</t>
        </is>
      </c>
      <c r="E5" s="70" t="inlineStr">
        <is>
          <t>Direct</t>
        </is>
      </c>
      <c r="F5" s="70" t="inlineStr">
        <is>
          <t>Marjă / preț</t>
        </is>
      </c>
      <c r="H5" s="70" t="inlineStr">
        <is>
          <t>Realizată</t>
        </is>
      </c>
      <c r="I5" s="70" t="inlineStr">
        <is>
          <t>Oameni</t>
        </is>
      </c>
      <c r="J5" s="70" t="inlineStr">
        <is>
          <t>Balanță / Contabilitate</t>
        </is>
      </c>
      <c r="L5" s="70" t="inlineStr">
        <is>
          <t>Client</t>
        </is>
      </c>
      <c r="M5" s="70" t="inlineStr">
        <is>
          <t>Pierdut</t>
        </is>
      </c>
      <c r="P5" s="70" t="inlineStr">
        <is>
          <t>Suport</t>
        </is>
      </c>
      <c r="Q5" s="70" t="inlineStr">
        <is>
          <t>Abonament</t>
        </is>
      </c>
      <c r="R5" s="70" t="inlineStr">
        <is>
          <t>GBP</t>
        </is>
      </c>
      <c r="S5" s="70" t="inlineStr">
        <is>
          <t>Escaladat</t>
        </is>
      </c>
    </row>
    <row r="6">
      <c r="A6" s="70" t="inlineStr">
        <is>
          <t>Marketing</t>
        </is>
      </c>
      <c r="B6" s="70" t="inlineStr">
        <is>
          <t>Validat</t>
        </is>
      </c>
      <c r="D6" s="70" t="inlineStr">
        <is>
          <t>Distribuitor</t>
        </is>
      </c>
      <c r="E6" s="70" t="inlineStr">
        <is>
          <t>Partener</t>
        </is>
      </c>
      <c r="F6" s="70" t="inlineStr">
        <is>
          <t>Productivitate vânzări</t>
        </is>
      </c>
      <c r="H6" s="70" t="inlineStr">
        <is>
          <t>Respinsă</t>
        </is>
      </c>
      <c r="I6" s="70" t="inlineStr">
        <is>
          <t>Vânzări</t>
        </is>
      </c>
      <c r="J6" s="70" t="inlineStr">
        <is>
          <t>HR / State de plată</t>
        </is>
      </c>
      <c r="M6" s="70" t="inlineStr">
        <is>
          <t>În pilot</t>
        </is>
      </c>
      <c r="P6" s="70" t="inlineStr">
        <is>
          <t>Produs</t>
        </is>
      </c>
    </row>
    <row r="7">
      <c r="A7" s="70" t="inlineStr">
        <is>
          <t>HR / Resurse Umane</t>
        </is>
      </c>
      <c r="B7" s="70" t="inlineStr">
        <is>
          <t>Blocat</t>
        </is>
      </c>
      <c r="D7" s="70" t="inlineStr">
        <is>
          <t>Altele</t>
        </is>
      </c>
      <c r="E7" s="70" t="inlineStr">
        <is>
          <t>Marketplace</t>
        </is>
      </c>
      <c r="F7" s="70" t="inlineStr">
        <is>
          <t>Risc concentrare</t>
        </is>
      </c>
      <c r="H7" s="70" t="inlineStr">
        <is>
          <t>Amânată</t>
        </is>
      </c>
      <c r="I7" s="70" t="inlineStr">
        <is>
          <t>Ținte / buget</t>
        </is>
      </c>
      <c r="J7" s="70" t="inlineStr">
        <is>
          <t>Chestionar NPS</t>
        </is>
      </c>
      <c r="M7" s="70" t="inlineStr">
        <is>
          <t>Retras</t>
        </is>
      </c>
      <c r="P7" s="70" t="inlineStr">
        <is>
          <t>Relație</t>
        </is>
      </c>
    </row>
    <row r="8">
      <c r="A8" s="70" t="inlineStr">
        <is>
          <t>IT / ERP</t>
        </is>
      </c>
      <c r="B8" s="70" t="inlineStr">
        <is>
          <t>Nu există</t>
        </is>
      </c>
      <c r="F8" s="70" t="inlineStr">
        <is>
          <t>Recuperare NPS</t>
        </is>
      </c>
      <c r="I8" s="70" t="inlineStr">
        <is>
          <t>NPS / feedback</t>
        </is>
      </c>
      <c r="J8" s="70" t="inlineStr">
        <is>
          <t>Interviu / Workshop</t>
        </is>
      </c>
      <c r="P8" s="70" t="inlineStr">
        <is>
          <t>Proces comandă</t>
        </is>
      </c>
    </row>
    <row r="9">
      <c r="A9" s="70" t="inlineStr">
        <is>
          <t>Operațiuni / Logistică</t>
        </is>
      </c>
      <c r="B9" s="70" t="inlineStr">
        <is>
          <t>Nu se aplică</t>
        </is>
      </c>
      <c r="F9" s="70" t="inlineStr">
        <is>
          <t>Creștere produs</t>
        </is>
      </c>
      <c r="I9" s="70" t="inlineStr">
        <is>
          <t>Financiar</t>
        </is>
      </c>
      <c r="J9" s="70" t="inlineStr">
        <is>
          <t>Site / public</t>
        </is>
      </c>
      <c r="P9" s="70" t="inlineStr">
        <is>
          <t>Altele</t>
        </is>
      </c>
    </row>
    <row r="10">
      <c r="A10" s="70" t="inlineStr">
        <is>
          <t>Customer Service</t>
        </is>
      </c>
      <c r="F10" s="70" t="inlineStr">
        <is>
          <t>Gap față de țintă</t>
        </is>
      </c>
      <c r="I10" s="70" t="inlineStr">
        <is>
          <t>Documente / context</t>
        </is>
      </c>
      <c r="J10" s="70" t="inlineStr">
        <is>
          <t>Calculat automat</t>
        </is>
      </c>
    </row>
    <row r="11">
      <c r="A11" s="70" t="inlineStr">
        <is>
          <t>Achiziții</t>
        </is>
      </c>
      <c r="F11" s="70" t="inlineStr">
        <is>
          <t>Reactivare client</t>
        </is>
      </c>
    </row>
    <row r="12">
      <c r="A12" s="70" t="inlineStr">
        <is>
          <t>Consultant extern</t>
        </is>
      </c>
      <c r="F12" s="70" t="inlineStr">
        <is>
          <t>Dezvoltare oameni</t>
        </is>
      </c>
    </row>
    <row r="13">
      <c r="A13" s="70" t="inlineStr">
        <is>
          <t>EQUIL (calculat)</t>
        </is>
      </c>
      <c r="F13" s="70" t="inlineStr">
        <is>
          <t>Proces / operațional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2026-09-11T09:56:46Z</dcterms:created>
  <dcterms:modified xsi:type="dcterms:W3CDTF">2026-09-11T09:56:49Z</dcterms:modified>
</cp:coreProperties>
</file>